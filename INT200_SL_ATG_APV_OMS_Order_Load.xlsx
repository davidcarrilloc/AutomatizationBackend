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4"/>
    <sheet state="visible" name="Metadata &amp; Header" sheetId="2" r:id="rId5"/>
    <sheet state="visible" name="Revision History" sheetId="3" r:id="rId6"/>
    <sheet state="visible" name="Assumptions" sheetId="4" r:id="rId7"/>
    <sheet state="visible" name="Input Message" sheetId="5" r:id="rId8"/>
    <sheet state="visible" name="NA Error Message" sheetId="6" r:id="rId9"/>
    <sheet state="visible" name="Sample XML" sheetId="7" r:id="rId10"/>
    <sheet state="visible" name="Approval" sheetId="8" r:id="rId11"/>
    <sheet state="hidden" name="Reference" sheetId="9" r:id="rId12"/>
    <sheet state="hidden" name="Appendix" sheetId="10" r:id="rId13"/>
  </sheets>
  <definedNames>
    <definedName hidden="1" localSheetId="4" name="_xlnm._FilterDatabase">'Input Message'!$A$5:$Q$1409</definedName>
  </definedNames>
  <calcPr/>
  <extLst>
    <ext uri="GoogleSheetsCustomDataVersion2">
      <go:sheetsCustomData xmlns:go="http://customooxmlschemas.google.com/" r:id="rId14" roundtripDataChecksum="WxVtU9SiGTqxOSQ72Zfdq3KTsyOSfVvrsRE++cVQ8c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347">
      <text>
        <t xml:space="preserve">======
ID#AAABfzUTm-A
tc={1F61053E-6D54-43B6-87EA-44C59B394C1A}    (2025-03-15 02:02:57)
[Threaded comment]
Your version of Excel allows you to read this threaded comment; however, any edits to it will get removed if the file is opened in a newer version of Excel. Learn more: https://go.microsoft.com/fwlink/?linkid=870924
Comment:
    Is applicable for SL?</t>
      </text>
    </comment>
    <comment authorId="0" ref="F290">
      <text>
        <t xml:space="preserve">======
ID#AAABfzUTm9o
tc={B1EC713D-C68D-4107-BC2A-AEB4EBF65094}    (2025-03-15 02:02:57)
[Threaded comment]
Your version of Excel allows you to read this threaded comment; however, any edits to it will get removed if the file is opened in a newer version of Excel. Learn more: https://go.microsoft.com/fwlink/?linkid=870924
Comment:
    Is applicable for SL?</t>
      </text>
    </comment>
    <comment authorId="0" ref="F286">
      <text>
        <t xml:space="preserve">======
ID#AAABfzUTm9Q
tc={6C6883BF-6BE5-4DC7-B6E1-AB2754ADE6EC}    (2025-03-15 02:02:57)
[Threaded comment]
Your version of Excel allows you to read this threaded comment; however, any edits to it will get removed if the file is opened in a newer version of Excel. Learn more: https://go.microsoft.com/fwlink/?linkid=870924
Comment:
    Is applicable for SL?</t>
      </text>
    </comment>
    <comment authorId="0" ref="R327">
      <text>
        <t xml:space="preserve">Calle y Número
======</t>
      </text>
    </comment>
    <comment authorId="0" ref="F282">
      <text>
        <t xml:space="preserve">======
ID#AAABfzUTm_U
tc={22AACA28-8103-4AB9-9948-B584D1B3EF91}    (2025-03-15 02:02:57)
[Threaded comment]
Your version of Excel allows you to read this threaded comment; however, any edits to it will get removed if the file is opened in a newer version of Excel. Learn more: https://go.microsoft.com/fwlink/?linkid=870924
Comment:
    Will update for SL since SL has custom table In use</t>
      </text>
    </comment>
    <comment authorId="0" ref="B51">
      <text>
        <t xml:space="preserve">======
ID#AAAB2iextIA
Sowjanya Tummala    (2026-03-26 00:14:16)
Stop using from CnC</t>
      </text>
    </comment>
    <comment authorId="0" ref="F1335">
      <text>
        <t xml:space="preserve">======
ID#AAABfzUTm_E
tc={C0B80379-94D1-43CA-816C-FF307D8DCF3F}    (2025-03-15 02:02:57)
[Threaded comment]
Your version of Excel allows you to read this threaded comment; however, any edits to it will get removed if the file is opened in a newer version of Excel. Learn more: https://go.microsoft.com/fwlink/?linkid=870924
Comment:
    Is applicable for SL?</t>
      </text>
    </comment>
    <comment authorId="0" ref="F1331">
      <text>
        <t xml:space="preserve">======
ID#AAABfzUTm9E
tc={01EDFCC4-E269-4F2D-A95A-9566A9F0E465}    (2025-03-15 02:02:57)
[Threaded comment]
Your version of Excel allows you to read this threaded comment; however, any edits to it will get removed if the file is opened in a newer version of Excel. Learn more: https://go.microsoft.com/fwlink/?linkid=870924
Comment:
    Is it required if continue OOTB attributes?</t>
      </text>
    </comment>
    <comment authorId="0" ref="F175">
      <text>
        <t xml:space="preserve">======
ID#AAABfzUTm9c
tc={B484ED28-7628-4362-AFC4-1328BD6CE7AB}    (2025-03-15 02:02:57)
[Threaded comment]
Your version of Excel allows you to read this threaded comment; however, any edits to it will get removed if the file is opened in a newer version of Excel. Learn more: https://go.microsoft.com/fwlink/?linkid=870924
Comment:
    Will update for SL</t>
      </text>
    </comment>
    <comment authorId="0" ref="G204">
      <text>
        <t xml:space="preserve">======
ID#AAAAQXetJZw
VICTOR HUGO MENDOZA    (2021-10-25 17:37:37)
Es mandatorio si la entrega es C&amp;C</t>
      </text>
    </comment>
    <comment authorId="0" ref="M753">
      <text>
        <t xml:space="preserve">Calle y Número
======</t>
      </text>
    </comment>
    <comment authorId="0" ref="N753">
      <text>
        <t xml:space="preserve">Calle y Número
======</t>
      </text>
    </comment>
    <comment authorId="0" ref="O753">
      <text>
        <t xml:space="preserve">Calle y Número
======</t>
      </text>
    </comment>
    <comment authorId="0" ref="P753">
      <text>
        <t xml:space="preserve">Calle y Número
======</t>
      </text>
    </comment>
    <comment authorId="0" ref="Q753">
      <text>
        <t xml:space="preserve">Calle y Número
======</t>
      </text>
    </comment>
    <comment authorId="0" ref="F1348">
      <text>
        <t xml:space="preserve">======
ID#AAABfzUTm_Q
tc={28967031-0B11-47B6-A712-2003075ACFF2}    (2025-03-15 02:02:57)
[Threaded comment]
Your version of Excel allows you to read this threaded comment; however, any edits to it will get removed if the file is opened in a newer version of Excel. Learn more: https://go.microsoft.com/fwlink/?linkid=870924
Comment:
    Is applicable for SL?</t>
      </text>
    </comment>
    <comment authorId="0" ref="F324">
      <text>
        <t xml:space="preserve">======
ID#AAABfzUTm-I
tc={297EB423-D0B8-4EB6-ABAC-24EA18D76B54}    (2025-03-15 02:02:57)
[Threaded comment]
Your version of Excel allows you to read this threaded comment; however, any edits to it will get removed if the file is opened in a newer version of Excel. Learn more: https://go.microsoft.com/fwlink/?linkid=870924
Comment:
    Is applicable for SL?</t>
      </text>
    </comment>
    <comment authorId="0" ref="F291">
      <text>
        <t xml:space="preserve">======
ID#AAABfzUTm9U
tc={DE327301-AD9B-46BD-BAF9-BA76B1EDA079}    (2025-03-15 02:02:57)
[Threaded comment]
Your version of Excel allows you to read this threaded comment; however, any edits to it will get removed if the file is opened in a newer version of Excel. Learn more: https://go.microsoft.com/fwlink/?linkid=870924
Comment:
    Is applicable for SL?</t>
      </text>
    </comment>
    <comment authorId="0" ref="F155">
      <text>
        <t xml:space="preserve">======
ID#AAABfzUTm_A
tc={EB46BC8A-D258-45F0-A499-387F23FC133E}    (2025-03-15 02:02:57)
[Threaded comment]
Your version of Excel allows you to read this threaded comment; however, any edits to it will get removed if the file is opened in a newer version of Excel. Learn more: https://go.microsoft.com/fwlink/?linkid=870924
Comment:
    Will update with SL related</t>
      </text>
    </comment>
    <comment authorId="0" ref="B52">
      <text>
        <t xml:space="preserve">======
ID#AAAB2iextH4
Sowjanya Tummala    (2026-03-26 00:12:38)
Stop using from CnC</t>
      </text>
    </comment>
    <comment authorId="0" ref="F1336">
      <text>
        <t xml:space="preserve">======
ID#AAABfzUTm-E
tc={7B100DA2-F744-4355-AD31-EE7B2A473466}    (2025-03-15 02:02:57)
[Threaded comment]
Your version of Excel allows you to read this threaded comment; however, any edits to it will get removed if the file is opened in a newer version of Excel. Learn more: https://go.microsoft.com/fwlink/?linkid=870924
Comment:
    Is applicable for SL?</t>
      </text>
    </comment>
    <comment authorId="0" ref="F279">
      <text>
        <t xml:space="preserve">======
ID#AAABfzUTm-c
tc={81E232A2-58F4-4602-8290-00AE62D45CD6}    (2025-03-15 02:02:57)
[Threaded comment]
Your version of Excel allows you to read this threaded comment; however, any edits to it will get removed if the file is opened in a newer version of Excel. Learn more: https://go.microsoft.com/fwlink/?linkid=870924
Comment:
    Is it applicable for SL?</t>
      </text>
    </comment>
    <comment authorId="0" ref="F407">
      <text>
        <t xml:space="preserve">======
ID#AAABfzUTm9M
tc={36C39D4D-1E84-4AF1-9879-9656A29B7AAE}    (2025-03-15 02:02:57)
[Threaded comment]
Your version of Excel allows you to read this threaded comment; however, any edits to it will get removed if the file is opened in a newer version of Excel. Learn more: https://go.microsoft.com/fwlink/?linkid=870924
Comment:
    Is applicable for SL?</t>
      </text>
    </comment>
    <comment authorId="0" ref="F1332">
      <text>
        <t xml:space="preserve">======
ID#AAABfzUTm-Y
tc={48A271AC-3EF0-4136-B319-02F95DCDA2AE}    (2025-03-15 02:02:57)
[Threaded comment]
Your version of Excel allows you to read this threaded comment; however, any edits to it will get removed if the file is opened in a newer version of Excel. Learn more: https://go.microsoft.com/fwlink/?linkid=870924
Comment:
    Is it required if continue OOTB attributes?</t>
      </text>
    </comment>
    <comment authorId="0" ref="F209">
      <text>
        <t xml:space="preserve">======
ID#AAABfzUTm9A
tc={FA06EB60-A456-428E-8612-41BA5BE68A7A}    (2025-03-15 02:02:57)
[Threaded comment]
Your version of Excel allows you to read this threaded comment; however, any edits to it will get removed if the file is opened in a newer version of Excel. Learn more: https://go.microsoft.com/fwlink/?linkid=870924
Comment:
    Will update for SL if applicable</t>
      </text>
    </comment>
    <comment authorId="0" ref="F1320">
      <text>
        <t xml:space="preserve">======
ID#AAABfzUTm90
tc={36892387-4228-4C29-A9CC-FF0E18A73886}    (2025-03-15 02:02:57)
[Threaded comment]
Your version of Excel allows you to read this threaded comment; however, any edits to it will get removed if the file is opened in a newer version of Excel. Learn more: https://go.microsoft.com/fwlink/?linkid=870924
Comment:
    Is applicable for SL?</t>
      </text>
    </comment>
    <comment authorId="0" ref="M717">
      <text>
        <t xml:space="preserve">Calle y Número
======</t>
      </text>
    </comment>
    <comment authorId="0" ref="N717">
      <text>
        <t xml:space="preserve">Calle y Número
======</t>
      </text>
    </comment>
    <comment authorId="0" ref="F325">
      <text>
        <t xml:space="preserve">======
ID#AAABfzUTm9I
tc={EF9116AC-D251-4B6A-AEC1-7E64022DDE87}    (2025-03-15 02:02:57)
[Threaded comment]
Your version of Excel allows you to read this threaded comment; however, any edits to it will get removed if the file is opened in a newer version of Excel. Learn more: https://go.microsoft.com/fwlink/?linkid=870924
Comment:
    Is applicable for SL?</t>
      </text>
    </comment>
    <comment authorId="0" ref="O717">
      <text>
        <t xml:space="preserve">Calle y Número
======</t>
      </text>
    </comment>
    <comment authorId="0" ref="F292">
      <text>
        <t xml:space="preserve">======
ID#AAABfzUTm_M
tc={E58935F1-56B0-4C8F-8F7E-0E06E1888964}    (2025-03-15 02:02:57)
[Threaded comment]
Your version of Excel allows you to read this threaded comment; however, any edits to it will get removed if the file is opened in a newer version of Excel. Learn more: https://go.microsoft.com/fwlink/?linkid=870924
Comment:
    Is applicable for SL?</t>
      </text>
    </comment>
    <comment authorId="0" ref="P717">
      <text>
        <t xml:space="preserve">Calle y Número
======</t>
      </text>
    </comment>
    <comment authorId="0" ref="M1353">
      <text>
        <t xml:space="preserve">Calle y Número
======</t>
      </text>
    </comment>
    <comment authorId="0" ref="Q717">
      <text>
        <t xml:space="preserve">Calle y Número
======</t>
      </text>
    </comment>
    <comment authorId="0" ref="N1353">
      <text>
        <t xml:space="preserve">Calle y Número
======</t>
      </text>
    </comment>
    <comment authorId="0" ref="O1353">
      <text>
        <t xml:space="preserve">Calle y Número
======</t>
      </text>
    </comment>
    <comment authorId="0" ref="P1353">
      <text>
        <t xml:space="preserve">Calle y Número
======</t>
      </text>
    </comment>
    <comment authorId="0" ref="Q1353">
      <text>
        <t xml:space="preserve">Calle y Número
======</t>
      </text>
    </comment>
    <comment authorId="0" ref="F284">
      <text>
        <t xml:space="preserve">======
ID#AAABfzUTm-w
tc={89BAA9A6-949E-4E44-AF7C-5A05FE96C6D5}    (2025-03-15 02:02:57)
[Threaded comment]
Your version of Excel allows you to read this threaded comment; however, any edits to it will get removed if the file is opened in a newer version of Excel. Learn more: https://go.microsoft.com/fwlink/?linkid=870924
Comment:
    Is customer’s Appt applicable to SL?</t>
      </text>
    </comment>
    <comment authorId="0" ref="F280">
      <text>
        <t xml:space="preserve">======
ID#AAABfzUTm-4
tc={88D74498-9EBE-4EF8-BB38-BF5F8C80A828}    (2025-03-15 02:02:57)
[Threaded comment]
Your version of Excel allows you to read this threaded comment; however, any edits to it will get removed if the file is opened in a newer version of Excel. Learn more: https://go.microsoft.com/fwlink/?linkid=870924
Comment:
    Is it applicable for SL?</t>
      </text>
    </comment>
    <comment authorId="0" ref="F177">
      <text>
        <t xml:space="preserve">======
ID#AAABfzUTm-o
tc={57E4361D-0B19-423F-A284-E067F4DD022A}    (2025-03-15 02:02:57)
[Threaded comment]
Your version of Excel allows you to read this threaded comment; however, any edits to it will get removed if the file is opened in a newer version of Excel. Learn more: https://go.microsoft.com/fwlink/?linkid=870924
Comment:
    Will update for SL</t>
      </text>
    </comment>
    <comment authorId="0" ref="F8">
      <text>
        <t xml:space="preserve">======
ID#AAABfzUTm-0
tc={E9BF24C2-A0E8-4977-9A7A-4D8AE41E4F59}    (2025-03-15 02:02:57)
[Threaded comment]
Your version of Excel allows you to read this threaded comment; however, any edits to it will get removed if the file is opened in a newer version of Excel. Learn more: https://go.microsoft.com/fwlink/?linkid=870924
Comment:
    Will review for SL</t>
      </text>
    </comment>
    <comment authorId="0" ref="F293">
      <text>
        <t xml:space="preserve">======
ID#AAABfzUTm-Q
tc={95078539-15DF-46A2-A727-294954D69F8D}    (2025-03-15 02:02:57)
[Threaded comment]
Your version of Excel allows you to read this threaded comment; however, any edits to it will get removed if the file is opened in a newer version of Excel. Learn more: https://go.microsoft.com/fwlink/?linkid=870924
Comment:
    Is applicable for SL?
For CnC, AddressLine1 is using to inform Brand &amp; Store.</t>
      </text>
    </comment>
    <comment authorId="0" ref="F194">
      <text>
        <t xml:space="preserve">======
ID#AAABfzUTm-8
tc={A42A83A8-6A7B-4AB6-ABE8-B57D3B871332}    (2025-03-15 02:02:57)
[Threaded comment]
Your version of Excel allows you to read this threaded comment; however, any edits to it will get removed if the file is opened in a newer version of Excel. Learn more: https://go.microsoft.com/fwlink/?linkid=870924
Comment:
    Is it applicable to SL?</t>
      </text>
    </comment>
    <comment authorId="0" ref="F1346">
      <text>
        <t xml:space="preserve">======
ID#AAABfzUTm9s
tc={4372BD24-4E38-440B-93A0-A671A13721EA}    (2025-03-15 02:02:57)
[Threaded comment]
Your version of Excel allows you to read this threaded comment; however, any edits to it will get removed if the file is opened in a newer version of Excel. Learn more: https://go.microsoft.com/fwlink/?linkid=870924
Comment:
    Is applicable for SL?</t>
      </text>
    </comment>
    <comment authorId="0" ref="F289">
      <text>
        <t xml:space="preserve">======
ID#AAABfzUTm84
tc={73872DCA-BC5C-41D2-8170-F506AB17C0B5}    (2025-03-15 02:02:57)
[Threaded comment]
Your version of Excel allows you to read this threaded comment; however, any edits to it will get removed if the file is opened in a newer version of Excel. Learn more: https://go.microsoft.com/fwlink/?linkid=870924
Comment:
    Is applicable for SL?</t>
      </text>
    </comment>
    <comment authorId="0" ref="F223">
      <text>
        <t xml:space="preserve">======
ID#AAABfzUTm9k
tc={C9277962-67CC-4216-B515-E6EE52C300A0}    (2025-03-15 02:02:57)
[Threaded comment]
Your version of Excel allows you to read this threaded comment; however, any edits to it will get removed if the file is opened in a newer version of Excel. Learn more: https://go.microsoft.com/fwlink/?linkid=870924
Comment:
    Will review for SL</t>
      </text>
    </comment>
    <comment authorId="0" ref="F413">
      <text>
        <t xml:space="preserve">======
ID#AAABfzUTm-k
tc={C3E3A0FD-DABE-4421-A7E1-0D3BA65A7C89}    (2025-03-15 02:02:57)
[Threaded comment]
Your version of Excel allows you to read this threaded comment; however, any edits to it will get removed if the file is opened in a newer version of Excel. Learn more: https://go.microsoft.com/fwlink/?linkid=870924
Comment:
    Will update with list of Reference/Name for SL</t>
      </text>
    </comment>
    <comment authorId="0" ref="F285">
      <text>
        <t xml:space="preserve">======
ID#AAABfzUTm9w
tc={85CCE7D5-8C81-4B58-89C7-C9D486FD953C}    (2025-03-15 02:02:57)
[Threaded comment]
Your version of Excel allows you to read this threaded comment; however, any edits to it will get removed if the file is opened in a newer version of Excel. Learn more: https://go.microsoft.com/fwlink/?linkid=870924
Comment:
    Is applicable for SL?</t>
      </text>
    </comment>
    <comment authorId="0" ref="F281">
      <text>
        <t xml:space="preserve">======
ID#AAABfzUTm-s
tc={834FE249-34DA-411B-BAF8-D57795E472AB}    (2025-03-15 02:02:57)
[Threaded comment]
Your version of Excel allows you to read this threaded comment; however, any edits to it will get removed if the file is opened in a newer version of Excel. Learn more: https://go.microsoft.com/fwlink/?linkid=870924
Comment:
    Is it applicable for SL?</t>
      </text>
    </comment>
    <comment authorId="0" ref="F215">
      <text>
        <t xml:space="preserve">======
ID#AAABfzUTm-g
tc={5859D36E-ECD6-4B65-A2E3-43BD0258E0BD}    (2025-03-15 02:02:57)
[Threaded comment]
Your version of Excel allows you to read this threaded comment; however, any edits to it will get removed if the file is opened in a newer version of Excel. Learn more: https://go.microsoft.com/fwlink/?linkid=870924
Comment:
    Will review for SL</t>
      </text>
    </comment>
    <comment authorId="0" ref="F182">
      <text>
        <t xml:space="preserve">======
ID#AAABfzUTm_I
tc={45ADE835-7EA3-4712-84E9-ECF673818321}    (2025-03-15 02:02:57)
[Threaded comment]
Your version of Excel allows you to read this threaded comment; however, any edits to it will get removed if the file is opened in a newer version of Excel. Learn more: https://go.microsoft.com/fwlink/?linkid=870924
Comment:
    Is it applicable to SL?</t>
      </text>
    </comment>
    <comment authorId="0" ref="F1330">
      <text>
        <t xml:space="preserve">======
ID#AAABfzUTm88
tc={C0317CA3-6DBE-4514-A967-E21610C1F436}    (2025-03-15 02:02:57)
[Threaded comment]
Your version of Excel allows you to read this threaded comment; however, any edits to it will get removed if the file is opened in a newer version of Excel. Learn more: https://go.microsoft.com/fwlink/?linkid=870924
Comment:
    Is it required if Order/@OrderType uses?</t>
      </text>
    </comment>
    <comment authorId="0" ref="F880">
      <text>
        <t xml:space="preserve">======
ID#AAABfzUTm-M
tc={26C63CAF-A3D3-4A6C-A6E9-371E3E814AFD}    (2025-03-15 02:02:57)
[Threaded comment]
Your version of Excel allows you to read this threaded comment; however, any edits to it will get removed if the file is opened in a newer version of Excel. Learn more: https://go.microsoft.com/fwlink/?linkid=870924
Comment:
    Will review List of Reference/Name for SL</t>
      </text>
    </comment>
    <comment authorId="0" ref="F269">
      <text>
        <t xml:space="preserve">======
ID#AAABfzUTm9g
tc={56CF9FEA-41B0-4982-9DC5-623A09C3D872}    (2025-03-15 02:02:57)
[Threaded comment]
Your version of Excel allows you to read this threaded comment; however, any edits to it will get removed if the file is opened in a newer version of Excel. Learn more: https://go.microsoft.com/fwlink/?linkid=870924
Comment:
    Is it applicable for SL?</t>
      </text>
    </comment>
    <comment authorId="0" ref="F876">
      <text>
        <t xml:space="preserve">======
ID#AAABfzUTm-U
tc={35E35C41-CDA9-41F0-8614-20648E03F5F9}    (2025-03-15 02:02:57)
[Threaded comment]
Your version of Excel allows you to read this threaded comment; however, any edits to it will get removed if the file is opened in a newer version of Excel. Learn more: https://go.microsoft.com/fwlink/?linkid=870924
Comment:
    Is applicable for SL?</t>
      </text>
    </comment>
    <comment authorId="0" ref="F203">
      <text>
        <t xml:space="preserve">======
ID#AAABfzUTm9Y
tc={974262C7-0991-452E-BA48-3213ED0EEEEE}    (2025-03-15 02:02:57)
[Threaded comment]
Your version of Excel allows you to read this threaded comment; however, any edits to it will get removed if the file is opened in a newer version of Excel. Learn more: https://go.microsoft.com/fwlink/?linkid=870924
Comment:
    Will update for SL if applicable</t>
      </text>
    </comment>
  </commentList>
  <extLst>
    <ext uri="GoogleSheetsCustomDataVersion2">
      <go:sheetsCustomData xmlns:go="http://customooxmlschemas.google.com/" r:id="rId1" roundtripDataSignature="AMtx7mi2fGaaOyW6V9r3R0ayoULbvfalS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
ID#AAAAKFsyMX4
Joseph C. Teate    (2020-08-12 18:27:19)
Fault ID must be between 0 - 8999.</t>
      </text>
    </comment>
  </commentList>
  <extLst>
    <ext uri="GoogleSheetsCustomDataVersion2">
      <go:sheetsCustomData xmlns:go="http://customooxmlschemas.google.com/" r:id="rId1" roundtripDataSignature="AMtx7miBlFXXBkWsKtMaZxvITKzFMNpRwg=="/>
    </ext>
  </extLst>
</comments>
</file>

<file path=xl/sharedStrings.xml><?xml version="1.0" encoding="utf-8"?>
<sst xmlns="http://schemas.openxmlformats.org/spreadsheetml/2006/main" count="4043" uniqueCount="1356">
  <si>
    <t>#</t>
  </si>
  <si>
    <t>Assumption</t>
  </si>
  <si>
    <t>Metadata &amp; Header</t>
  </si>
  <si>
    <t>Validated By</t>
  </si>
  <si>
    <t>Date</t>
  </si>
  <si>
    <t>Channel must inform flash promo, flash promising details if order purchased as Flash by customer.</t>
  </si>
  <si>
    <t>Reviewer</t>
  </si>
  <si>
    <t>Channel is responsible to inform EDD range details if EDD provided on the cart.</t>
  </si>
  <si>
    <t>Initial Draft</t>
  </si>
  <si>
    <t>Channel is responsible to provide additional details as Reference fields.</t>
  </si>
  <si>
    <t>Channel is responsible to provide price, promotional sales, special sales.</t>
  </si>
  <si>
    <t>Element</t>
  </si>
  <si>
    <t>03/26/2025</t>
  </si>
  <si>
    <t>Value</t>
  </si>
  <si>
    <t>Comments</t>
  </si>
  <si>
    <t>Technical Review of attributes for Sprint2</t>
  </si>
  <si>
    <t>Channel is responsible to split the cart into multiple orders as per rules defined in BRD like order by promotional 2*1 / 3*2, Gift plus purchase, SL+SI, etc</t>
  </si>
  <si>
    <t>Ruben, POS, AVP, IBM</t>
  </si>
  <si>
    <t>Channel is responsible to generate order number as-is today before sending order to OMS</t>
  </si>
  <si>
    <t>Added Instructions</t>
  </si>
  <si>
    <t>Service/Interface Name:</t>
  </si>
  <si>
    <t>Channel is reposible to send order to OMS only if payment confirmed</t>
  </si>
  <si>
    <t xml:space="preserve">IBM OMS uses this interface to create sales order in OMS. </t>
  </si>
  <si>
    <t>Channel must provide fileds as per agrement in interface mapping like EntryType, Gift Registry fields, Ticket, Sales Credit Store, Type of email, department of SKU, etc,.</t>
  </si>
  <si>
    <t>Channel is responsible to provide indicator to identify the 'OMS' order for co-existence of systems</t>
  </si>
  <si>
    <t>For MKP, Channel is resposible to provide Supplier of the SKU in check out message.</t>
  </si>
  <si>
    <t>Means of Communication:</t>
  </si>
  <si>
    <t>Asynchronous MQSeries JMS</t>
  </si>
  <si>
    <t>Source System:</t>
  </si>
  <si>
    <t>ATG/APV/ POS</t>
  </si>
  <si>
    <t>Destination System(s):</t>
  </si>
  <si>
    <t>Data Mapping Sheet</t>
  </si>
  <si>
    <t>Integrator:</t>
  </si>
  <si>
    <t>Message Exchange Pattern</t>
  </si>
  <si>
    <t>EPL OMS SL [INT200_ATG_APV_OMS_Order_Load]"</t>
  </si>
  <si>
    <t>Components/API's:</t>
  </si>
  <si>
    <t>Integration SDF service</t>
  </si>
  <si>
    <t>EPLCreateOrderAsyncService</t>
  </si>
  <si>
    <t>version 0.1</t>
  </si>
  <si>
    <t>Source XSD/XML File:</t>
  </si>
  <si>
    <t>Source Sample File:</t>
  </si>
  <si>
    <t>Response XSD/XML File:</t>
  </si>
  <si>
    <t>None</t>
  </si>
  <si>
    <t>Response Sample File:</t>
  </si>
  <si>
    <t>Timing:</t>
  </si>
  <si>
    <t>MQ Queue Name</t>
  </si>
  <si>
    <t>QA.VAD.OMS.ORDER.CREATE.IN</t>
  </si>
  <si>
    <t>Notes</t>
  </si>
  <si>
    <t>garan</t>
  </si>
  <si>
    <t xml:space="preserve">The information gathered in this workbook should be used by the delivery organization </t>
  </si>
  <si>
    <t>to create the appropriate technical interface (e.g., an XSD) as well as an example.</t>
  </si>
  <si>
    <t>This workbook is intended to be a detailed data mapping, in support of a system design document.</t>
  </si>
  <si>
    <t xml:space="preserve"> (e.g., extra database columns) are beyond the scope of this document.</t>
  </si>
  <si>
    <t>Integration Comments (some are copied from the suburbia implementation for reference)</t>
  </si>
  <si>
    <t>Using in OMS SL (Sprint1)</t>
  </si>
  <si>
    <t>ATG LIV SL + MKP &amp; SBB MKP</t>
  </si>
  <si>
    <r>
      <rPr>
        <rFont val="Arial"/>
        <b/>
        <color theme="1"/>
        <sz val="11.0"/>
      </rPr>
      <t xml:space="preserve">Commerce tools LIV SL + MKP &amp; SBB MKP
</t>
    </r>
    <r>
      <rPr>
        <rFont val="Arial"/>
        <b/>
        <color rgb="FF1155CC"/>
        <sz val="11.0"/>
        <u/>
      </rPr>
      <t>Facade</t>
    </r>
  </si>
  <si>
    <t xml:space="preserve"> Such information should be part of the application's design.</t>
  </si>
  <si>
    <t>Instructions</t>
  </si>
  <si>
    <t>POS M LIV SL + MKP &amp; SBB MKP</t>
  </si>
  <si>
    <t>POS F</t>
  </si>
  <si>
    <t>KIOSCO SBB MKP</t>
  </si>
  <si>
    <t>SOMS</t>
  </si>
  <si>
    <t>DataType SOMS</t>
  </si>
  <si>
    <t>EntradaÚnica</t>
  </si>
  <si>
    <t>DataType EU</t>
  </si>
  <si>
    <t>Y</t>
  </si>
  <si>
    <t>This workbook contains 4 separate Tabs that should be filled out, depending on the type of interface, plus an Appendix.</t>
  </si>
  <si>
    <t xml:space="preserve">     TAB 1:  "Metadata &amp; Header" </t>
  </si>
  <si>
    <t xml:space="preserve">     TAB 3:  "Sample XMLs"</t>
  </si>
  <si>
    <t xml:space="preserve">     TAB 5:  "Reference"</t>
  </si>
  <si>
    <t>The namespace of the document.</t>
  </si>
  <si>
    <t xml:space="preserve">     TAB 2:  "Input Message"</t>
  </si>
  <si>
    <t xml:space="preserve">     TAB 4:  "NA Error Message"</t>
  </si>
  <si>
    <t xml:space="preserve">     TAB 6:  "Appendix"</t>
  </si>
  <si>
    <t>This workbook should be filled out for each message.</t>
  </si>
  <si>
    <r>
      <rPr>
        <rFont val="Arial"/>
        <color theme="1"/>
        <sz val="11.0"/>
      </rPr>
      <t xml:space="preserve">Identifies the scheduling rule used by the Schedule API or time-triggered transaction.
Use FWD_RULES
</t>
    </r>
    <r>
      <rPr>
        <rFont val="Arial"/>
        <color rgb="FF0000FF"/>
        <sz val="11.0"/>
      </rPr>
      <t>[2026/3/26] This is not required from Channels to set. Therefore, optional. Remove in MW</t>
    </r>
  </si>
  <si>
    <t>O</t>
  </si>
  <si>
    <r>
      <rPr>
        <rFont val="Arial"/>
        <color theme="1"/>
        <sz val="11.0"/>
      </rPr>
      <t xml:space="preserve">AllocationRuleID
Posible values: FWD_RULES
</t>
    </r>
    <r>
      <rPr>
        <rFont val="Arial"/>
        <color rgb="FF0000FF"/>
        <sz val="11.0"/>
      </rPr>
      <t>[2026/3/26] This is not required from Channels to set. Therefore, optional. Remove in MW</t>
    </r>
  </si>
  <si>
    <r>
      <rPr>
        <rFont val="Arial"/>
        <color theme="1"/>
        <sz val="11.0"/>
      </rPr>
      <t xml:space="preserve">AllocationRuleID
Posible values: FWD_RULES
</t>
    </r>
    <r>
      <rPr>
        <rFont val="Arial"/>
        <color rgb="FF0000FF"/>
        <sz val="11.0"/>
      </rPr>
      <t>[2026/3/26] This is not required from Channels to set. Therefore, optional. Remove it in MW</t>
    </r>
  </si>
  <si>
    <r>
      <rPr>
        <rFont val="Arial"/>
        <color theme="1"/>
        <sz val="11.0"/>
      </rPr>
      <t xml:space="preserve">AllocationRuleID
Posible values: FWD_RULES
</t>
    </r>
    <r>
      <rPr>
        <rFont val="Arial"/>
        <color rgb="FF0000FF"/>
        <sz val="11.0"/>
      </rPr>
      <t>[2026/3/26] This is not required from Channels to set. Therefore, optional. Remove in MW</t>
    </r>
  </si>
  <si>
    <r>
      <rPr>
        <rFont val="Arial"/>
        <color theme="1"/>
        <sz val="11.0"/>
      </rPr>
      <t xml:space="preserve">AllocationRuleID
Posible values: FWD_RULES
</t>
    </r>
    <r>
      <rPr>
        <rFont val="Arial"/>
        <color rgb="FF0000FF"/>
        <sz val="11.0"/>
      </rPr>
      <t>[2026/3/26] This is not required from Channels to set. Therefore, optional. Remove in MW</t>
    </r>
  </si>
  <si>
    <r>
      <rPr>
        <rFont val="Arial"/>
        <color theme="1"/>
        <sz val="11.0"/>
      </rPr>
      <t xml:space="preserve">AllocationRuleID
Posible values: FWD_RULES
[2026/3/26] This is not required from Channels to set. </t>
    </r>
    <r>
      <rPr>
        <rFont val="Arial"/>
        <color rgb="FF0000FF"/>
        <sz val="11.0"/>
      </rPr>
      <t>Therefore, optional. Remove in MW</t>
    </r>
  </si>
  <si>
    <t/>
  </si>
  <si>
    <t>Revision History</t>
  </si>
  <si>
    <t>If</t>
  </si>
  <si>
    <t>Optional. AuditTransactionID is a user defined data. If this field is passed to the API it is not persisted in DB but passed on to orderReprice user exit so that any special pricing if needed can be considered.</t>
  </si>
  <si>
    <t>The owner channel of the order.</t>
  </si>
  <si>
    <t xml:space="preserve">   - This tab should be filled out for every interface.  It contains basic information that applies to all interfaces.</t>
  </si>
  <si>
    <t>Date on which order will automatically cancelled. If not provided, it is defaulted as null date during order creation. If provided, the order monitor agent is will cancel the orders automatically after this Date.</t>
  </si>
  <si>
    <t xml:space="preserve">   - Contains information that needs to be provided by the receiver for the header as part of the agreement.</t>
  </si>
  <si>
    <t xml:space="preserve">   - Other header information is populated by the sender at send-time.</t>
  </si>
  <si>
    <t>N</t>
  </si>
  <si>
    <t>The identifier of the bill to customer. If a customer definition representing the buyer organization exists within the system, the BillToID can represent the CustomerID of the customer. Otherwise, the BillToID can represent the PersonID of the bill to add</t>
  </si>
  <si>
    <t xml:space="preserve">   - This tab is not required for non compliant interfaces (e.g., batch).</t>
  </si>
  <si>
    <t>The bill to address that is associated with this order.</t>
  </si>
  <si>
    <t>Input Message</t>
  </si>
  <si>
    <t>Mark For Node as identified by the buyer for eg: it could be a person,store,DC.</t>
  </si>
  <si>
    <t xml:space="preserve">   - Define all of the elements and their associated attributes that make up the request body (data) of the interface.</t>
  </si>
  <si>
    <t>Identifies the buying organization. The value must be a valid organization defined in the system.</t>
  </si>
  <si>
    <t>Sample XMLs</t>
  </si>
  <si>
    <t>Receiving node as identified by the buyer for eg:Store,DC Number.</t>
  </si>
  <si>
    <t xml:space="preserve">   - Provides sample XMLs as expected from the Sterling OMS system.</t>
  </si>
  <si>
    <t>This is the User Id of the customer for which order is created. This field maps to User_Id field of YFS_Customer_Contact. If</t>
  </si>
  <si>
    <t>Optional. This flag indicates whether processing for pricing should be performed.</t>
  </si>
  <si>
    <t>Error Message</t>
  </si>
  <si>
    <t>This flag indicates whether the order needs to be cancelled in case of inventory shortage. If not specified, most restrictive rule will be used from customer preference or scheduling rule.</t>
  </si>
  <si>
    <t xml:space="preserve">   - Provides information that may be needed by the sender (within a synchronous context) to process errors returned by the Sterling OMS</t>
  </si>
  <si>
    <t>The account number of the customer with the carrier.</t>
  </si>
  <si>
    <t>Reference</t>
  </si>
  <si>
    <t xml:space="preserve">The carrier service used to ship for the order. For example, a carrier service might be Next Day Air. </t>
  </si>
  <si>
    <t xml:space="preserve">   - </t>
  </si>
  <si>
    <t>Indicates if actual freight charges should be passed on to the customer.</t>
  </si>
  <si>
    <t>This flag indicates whether the order was created by a node. This field is used during blind return creation at the nodes.</t>
  </si>
  <si>
    <t>The PO number of the customer's customer. In some situations, this may need to be printed on the actual packaging.</t>
  </si>
  <si>
    <t>Appendix</t>
  </si>
  <si>
    <t xml:space="preserve">   - Links to relevant documentation, if any.</t>
  </si>
  <si>
    <t xml:space="preserve">This is the customer contact ID for the order. This field maps to contact ID field of YFS_Customer_Contact. If both BuyerUserId and CustomerContactID are passed, then both the fields must map to a unique customer contact. If CustomerContactID is passed, the customer contact is looked up only for the customer and not in the entire customer hierarchy. </t>
  </si>
  <si>
    <t xml:space="preserve">The E-mail ID of the customer.
</t>
  </si>
  <si>
    <t>M ?? Es necesario para mesa de regalos, influye en OMS ie se envia o no</t>
  </si>
  <si>
    <t>yes, atg will send</t>
  </si>
  <si>
    <t>CustomerEMailID
Email del cliente</t>
  </si>
  <si>
    <t>json.customer.email</t>
  </si>
  <si>
    <t>correoLoggin</t>
  </si>
  <si>
    <t>[2026/5/4] For CT - SOMS integration only. Not applicable to OMS orders.</t>
  </si>
  <si>
    <t>NA</t>
  </si>
  <si>
    <r>
      <rPr>
        <rFont val="Arial"/>
        <b/>
        <color theme="1"/>
        <sz val="11.0"/>
      </rPr>
      <t xml:space="preserve">correoLoggin
</t>
    </r>
    <r>
      <rPr>
        <rFont val="Arial"/>
        <b/>
        <color rgb="FF0000FF"/>
        <sz val="11.0"/>
      </rPr>
      <t>[2026/5/4] For CT - SOMS integration only. Not applicable to OMS orders.</t>
    </r>
  </si>
  <si>
    <r>
      <rPr>
        <rFont val="Arial"/>
        <color theme="1"/>
        <sz val="11.0"/>
      </rPr>
      <t xml:space="preserve">RMQ-PSH-COR-LOGIN (Se obtiene de CustomerEMailID)
</t>
    </r>
    <r>
      <rPr>
        <rFont val="Arial"/>
        <color rgb="FF9900FF"/>
        <sz val="11.0"/>
      </rPr>
      <t>correoLoggin</t>
    </r>
  </si>
  <si>
    <t>X(256)</t>
  </si>
  <si>
    <t>CustomerPhoneNo</t>
  </si>
  <si>
    <t>yfs_order_header.customer_phone_no</t>
  </si>
  <si>
    <t>string</t>
  </si>
  <si>
    <t>40</t>
  </si>
  <si>
    <t>Phone number of the customer placing the order.</t>
  </si>
  <si>
    <t>M</t>
  </si>
  <si>
    <t>CustomerPhoneNo
Teléfono de casa</t>
  </si>
  <si>
    <t>CustomerFirstName</t>
  </si>
  <si>
    <t xml:space="preserve">First name of the customer placing the order. 
</t>
  </si>
  <si>
    <t>CustomerFirstName
Nombre del cliente</t>
  </si>
  <si>
    <r>
      <rPr>
        <rFont val="Arial"/>
        <color theme="1"/>
        <sz val="11.0"/>
      </rPr>
      <t xml:space="preserve">RMQ-DST-NOMBRE
</t>
    </r>
    <r>
      <rPr>
        <rFont val="Arial"/>
        <color rgb="FF9900FF"/>
        <sz val="11.0"/>
      </rPr>
      <t>FirstName</t>
    </r>
  </si>
  <si>
    <t>X(50)</t>
  </si>
  <si>
    <t>json.customer.firstname</t>
  </si>
  <si>
    <t>CustomerLastName</t>
  </si>
  <si>
    <t>yfs_order_header.customer_last_name</t>
  </si>
  <si>
    <t xml:space="preserve">Last name of the customer placing the order. 
</t>
  </si>
  <si>
    <t>CustomerLastName
Apellido del cliente</t>
  </si>
  <si>
    <t>X(20)
X(20)</t>
  </si>
  <si>
    <t>json.customer.lastname</t>
  </si>
  <si>
    <t>CustomerPONo</t>
  </si>
  <si>
    <t>yfs_order_header.customer_po_no</t>
  </si>
  <si>
    <t>The PO number of the customer.</t>
  </si>
  <si>
    <t>CustomerPONo
Identificador de orden de Ctools</t>
  </si>
  <si>
    <t>CustomerPONo
Empty</t>
  </si>
  <si>
    <t>The PO number of the customer. For purchase orders, this can be used for storing the purchase order number of the purchasing system if that number is not already stored as part of the order number.</t>
  </si>
  <si>
    <t>The identifier of the customer's rewards number. Customer Loyalty #</t>
  </si>
  <si>
    <t>Indicates if the billing, shiping, payment, tax, and currency information on the order should be defaulted from the customer information. When the flag is set to "Y", and a valid customer is found, the billing, shipping, and tax information on the order w</t>
  </si>
  <si>
    <t>This flag indicates whether this order is to be used as the default template. For this order to be used as a default template, the document type of the order being created should be configured to set the template document type as this orders document type</t>
  </si>
  <si>
    <t>Indicates what organization will pay the freight charges. If predefined values such as SUPPLIER, ENTERPRISE and MARKETPLACE are used, then the organization specified will pay for the freight. Other values can be passed. The value passed must be a valid sh</t>
  </si>
  <si>
    <t>This field can be used for order classification and reporting purposes.</t>
  </si>
  <si>
    <t>The order classification attribute. This field can be used for reporting purposes. Sterling Selling And Fulfillment Suite system has no logic based on this field.</t>
  </si>
  <si>
    <t>This flag indicates whether shipment constraints and routing based constraints should be used during release creation.</t>
  </si>
  <si>
    <t>CustomerZipCode</t>
  </si>
  <si>
    <t>Using in 94</t>
  </si>
  <si>
    <t>CustomerRewardsNo</t>
  </si>
  <si>
    <t>DeliveryCode</t>
  </si>
  <si>
    <t>using in 94</t>
  </si>
  <si>
    <t>DepartmentCode</t>
  </si>
  <si>
    <t>using in 94 to store Gift Registry Order information</t>
  </si>
  <si>
    <t>Division</t>
  </si>
  <si>
    <t>yfs_order_header.customer_rewards_no</t>
  </si>
  <si>
    <t>[2026/3/26] OOTB BillToID purpose to persiste CustomerID. Is it different ID in ATG? Review in mapping discssuion.</t>
  </si>
  <si>
    <r>
      <rPr>
        <rFont val="Arial"/>
        <color theme="1"/>
        <sz val="11.0"/>
      </rPr>
      <t xml:space="preserve">CustomerRewardsNo
Customer Id of ATG
</t>
    </r>
    <r>
      <rPr>
        <rFont val="Arial"/>
        <color rgb="FF0000FF"/>
        <sz val="11.0"/>
      </rPr>
      <t>Remove in MW</t>
    </r>
  </si>
  <si>
    <r>
      <rPr>
        <rFont val="Arial"/>
        <color theme="1"/>
        <sz val="11.0"/>
      </rPr>
      <t xml:space="preserve">CustomerRewardsNo
Customer Id of ATG
</t>
    </r>
    <r>
      <rPr>
        <rFont val="Arial"/>
        <color rgb="FF0000FF"/>
        <sz val="11.0"/>
      </rPr>
      <t>Remove it in MW</t>
    </r>
  </si>
  <si>
    <r>
      <rPr>
        <rFont val="Arial"/>
        <color theme="1"/>
        <sz val="11.0"/>
      </rPr>
      <t xml:space="preserve">CustomerRewardsNo
Customer Id of ATG
</t>
    </r>
    <r>
      <rPr>
        <rFont val="Arial"/>
        <color rgb="FF0000FF"/>
        <sz val="11.0"/>
      </rPr>
      <t>Remove in MW</t>
    </r>
  </si>
  <si>
    <r>
      <rPr>
        <rFont val="Arial"/>
        <color theme="1"/>
        <sz val="11.0"/>
      </rPr>
      <t xml:space="preserve">CustomerRewardsNo
Customer Id of ATG
</t>
    </r>
    <r>
      <rPr>
        <rFont val="Arial"/>
        <color rgb="FF0000FF"/>
        <sz val="11.0"/>
      </rPr>
      <t>Remove in MW</t>
    </r>
  </si>
  <si>
    <r>
      <rPr>
        <rFont val="Arial"/>
        <color theme="1"/>
        <sz val="11.0"/>
      </rPr>
      <t xml:space="preserve">NA
</t>
    </r>
    <r>
      <rPr>
        <rFont val="Arial"/>
        <color rgb="FF0000FF"/>
        <sz val="11.0"/>
      </rPr>
      <t>Remove in MW. Kiosco no lo envía</t>
    </r>
  </si>
  <si>
    <t>yfs_order_header.department_code</t>
  </si>
  <si>
    <r>
      <rPr>
        <rFont val="Arial"/>
        <color theme="1"/>
        <sz val="11.0"/>
      </rPr>
      <t xml:space="preserve">Gift registry EventNo
</t>
    </r>
    <r>
      <rPr>
        <rFont val="Arial"/>
        <color rgb="FFFF0000"/>
        <sz val="11.0"/>
      </rPr>
      <t>[2026/3/26 update] don't use once CnC migrated to OMS. Review in mapping discssuion.</t>
    </r>
  </si>
  <si>
    <r>
      <rPr>
        <rFont val="Arial"/>
        <color rgb="FF202124"/>
        <sz val="11.0"/>
      </rPr>
      <t xml:space="preserve">DepartmentCode
Gift registry EventNo
</t>
    </r>
    <r>
      <rPr>
        <rFont val="Arial"/>
        <color rgb="FF0000FF"/>
        <sz val="11.0"/>
      </rPr>
      <t>Not map for OMS orders. The correct field is ExtnGREventID</t>
    </r>
  </si>
  <si>
    <r>
      <rPr>
        <rFont val="Arial"/>
        <color rgb="FF202124"/>
        <sz val="11.0"/>
      </rPr>
      <t xml:space="preserve">DepartmentCode
Gift registry EventNo
</t>
    </r>
    <r>
      <rPr>
        <rFont val="Arial"/>
        <color rgb="FF0000FF"/>
        <sz val="11.0"/>
      </rPr>
      <t>Not map for OMS orders. The correct field is ExtnGREventID</t>
    </r>
  </si>
  <si>
    <r>
      <rPr>
        <rFont val="Arial"/>
        <color rgb="FF202124"/>
        <sz val="11.0"/>
      </rPr>
      <t xml:space="preserve">DepartmentCode
Gift registry EventNo
</t>
    </r>
    <r>
      <rPr>
        <rFont val="Arial"/>
        <color rgb="FF0000FF"/>
        <sz val="11.0"/>
      </rPr>
      <t>Not map for OMS orders. The correct field is ExtnGREventID</t>
    </r>
  </si>
  <si>
    <r>
      <rPr>
        <rFont val="Arial"/>
        <color rgb="FF202124"/>
        <sz val="11.0"/>
      </rPr>
      <t xml:space="preserve">DepartmentCode
Gift registry EventNo
</t>
    </r>
    <r>
      <rPr>
        <rFont val="Arial"/>
        <color rgb="FF0000FF"/>
        <sz val="11.0"/>
      </rPr>
      <t>Not map for OMS orders. The correct field is ExtnGREventID</t>
    </r>
  </si>
  <si>
    <t>DepartmentCode
Empty</t>
  </si>
  <si>
    <t>yfs_order_header.division</t>
  </si>
  <si>
    <r>
      <rPr>
        <rFont val="Arial"/>
        <color theme="1"/>
        <sz val="11.0"/>
      </rPr>
      <t xml:space="preserve">EventyType like marriage, etc
</t>
    </r>
    <r>
      <rPr>
        <rFont val="Arial"/>
        <color rgb="FFFF0000"/>
        <sz val="11.0"/>
      </rPr>
      <t>[2026/3/26 update] don't use once CnC migrated to OMS. Review in mapping discssuion.</t>
    </r>
  </si>
  <si>
    <r>
      <rPr>
        <rFont val="Arial"/>
        <color rgb="FF202124"/>
        <sz val="11.0"/>
      </rPr>
      <t xml:space="preserve">Division
Gift registry type
</t>
    </r>
    <r>
      <rPr>
        <rFont val="Arial"/>
        <color rgb="FF0000FF"/>
        <sz val="11.0"/>
      </rPr>
      <t>Not map for OMS orders. The correct field is ExtnGREventType</t>
    </r>
  </si>
  <si>
    <r>
      <rPr>
        <rFont val="Arial"/>
        <color rgb="FF202124"/>
        <sz val="11.0"/>
      </rPr>
      <t xml:space="preserve">Division
Gift registry type
</t>
    </r>
    <r>
      <rPr>
        <rFont val="Arial"/>
        <color rgb="FF0000FF"/>
        <sz val="11.0"/>
      </rPr>
      <t>Not map for OMS orders. The correct field is ExtnGREventType</t>
    </r>
  </si>
  <si>
    <r>
      <rPr>
        <rFont val="Arial"/>
        <color rgb="FF202124"/>
        <sz val="11.0"/>
      </rPr>
      <t xml:space="preserve">Division
Gift registry type
</t>
    </r>
    <r>
      <rPr>
        <rFont val="Arial"/>
        <color rgb="FF0000FF"/>
        <sz val="11.0"/>
      </rPr>
      <t>Not map for OMS orders. The correct field is ExtnGREventType</t>
    </r>
  </si>
  <si>
    <r>
      <rPr>
        <rFont val="Arial"/>
        <color rgb="FF202124"/>
        <sz val="11.0"/>
      </rPr>
      <t xml:space="preserve">Division
Gift registry type
</t>
    </r>
    <r>
      <rPr>
        <rFont val="Arial"/>
        <color rgb="FF0000FF"/>
        <sz val="11.0"/>
      </rPr>
      <t>Not map for OMS orders. The correct field is ExtnGREventType</t>
    </r>
  </si>
  <si>
    <r>
      <rPr>
        <rFont val="Arial"/>
        <color theme="1"/>
        <sz val="11.0"/>
      </rPr>
      <t xml:space="preserve">Division
Empty
</t>
    </r>
    <r>
      <rPr>
        <rFont val="Arial"/>
        <color rgb="FF0000FF"/>
        <sz val="11.0"/>
      </rPr>
      <t>Not map for OMS orders. The correct field is ExtnGREventType</t>
    </r>
  </si>
  <si>
    <t>The document type used to describe the order. Part of the unique key for the order. Use 0001 for Sales Order and 0003 for Return Order. Use 0006 for external transfer orders.</t>
  </si>
  <si>
    <t>DocumentType
Posibles valores
0001 = SalesOrder</t>
  </si>
  <si>
    <r>
      <rPr>
        <rFont val="Arial"/>
        <color theme="1"/>
        <sz val="11.0"/>
      </rPr>
      <t xml:space="preserve">RMQ-TIP-DOC
</t>
    </r>
    <r>
      <rPr>
        <rFont val="Arial"/>
        <color rgb="FF9900FF"/>
        <sz val="11.0"/>
      </rPr>
      <t>DocumentType</t>
    </r>
  </si>
  <si>
    <t>X(04)</t>
  </si>
  <si>
    <t>Flag describing if the order is waiting to be confirmed.</t>
  </si>
  <si>
    <t>The system or sales person who created the order.</t>
  </si>
  <si>
    <t>yfs_order_header.enterprise_key</t>
  </si>
  <si>
    <t>Organization Code. Code to identify to which organization the order belongs.</t>
  </si>
  <si>
    <t>Liverpool</t>
  </si>
  <si>
    <t>EnterpriseCode
Posibles valores:
Liverpool</t>
  </si>
  <si>
    <r>
      <rPr>
        <rFont val="Arial"/>
        <color theme="1"/>
        <sz val="11.0"/>
      </rPr>
      <t xml:space="preserve">If EnterpriseCode=Liverpool then RMQ-TDA-ID='LIVERPOOL'
If EnterpriseCode=Suburbia then RMQ-TDA-ID='SUBURBIA'
</t>
    </r>
    <r>
      <rPr>
        <rFont val="Arial"/>
        <color rgb="FF9900FF"/>
        <sz val="11.0"/>
      </rPr>
      <t>EnterpriseCode</t>
    </r>
  </si>
  <si>
    <t>X(09)</t>
  </si>
  <si>
    <t>The channel through which this order was created. The possible values are:
WEB for any digital/e-commerce channel
APV for POS Mobile
POSF for POS Fix
KIO for Kiosk</t>
  </si>
  <si>
    <t>WEB, APV, POSF, KIO</t>
  </si>
  <si>
    <t>WEB</t>
  </si>
  <si>
    <t>EntryType
Posibles valores: WEB</t>
  </si>
  <si>
    <t>EntryType
Posibles valores: APV</t>
  </si>
  <si>
    <t>EntryType
Posibles valores: POSF</t>
  </si>
  <si>
    <t>EntryType
Posibles valores: KIO</t>
  </si>
  <si>
    <t>EntryType
If EntryType = WEB then JSON.channel_code = "1"
If EntryType = POSF then JSON.channel_code = "2"
If EntryType = APV then JSON.channel_code = "2"
If EntryType = CSC then JSON.channel_code = "4"
If EntryType = KIO then JSON.channel_code="2"</t>
  </si>
  <si>
    <t>Conditional. Identifies the exchange type of the order. The payment processing logic is dependent on this attribute. Valid values are: REGULAR, ADVANCED_PP, ADVANCED. If</t>
  </si>
  <si>
    <t>The date by which the quote has to be accepted by customer. This only applies to Quotes. The expiration date is computed by the expiration policy before presenting a quote to the customer. The expiration date is computed by adding EXPIRATION_PERIOD rule t</t>
  </si>
  <si>
    <t>This flag indicates whether the order has any derived parent.</t>
  </si>
  <si>
    <t>This attribute is deprecated as of Sterling Supply Chain Applications 7.1. If you want to use deprecated functionality, set the rule 'Use deprecated hold Functionality'. If it is used in deprecated mode, HoldFlag will indicate if order is on hold. If orde</t>
  </si>
  <si>
    <t>The reason code for putting the order on hold.</t>
  </si>
  <si>
    <t>The number of hours between iterations. If null, then it is assumed to be 0. Default is Null.</t>
  </si>
  <si>
    <t>This flag indicates if this order line will have its payment processed later. When set, the line's total will be added to the postponed amount.</t>
  </si>
  <si>
    <t>This flag indicates whether the expiration date is overridden or whether it is computed by the default expiration policy. The value is Y if expiration date is overridden. This flag only applies to Quotes.</t>
  </si>
  <si>
    <t>This flag indicates whether the complete line needs to be shipped. If not specified, most restrictive rule will be used from customer preference or scheduling rule.</t>
  </si>
  <si>
    <t>This flag indicates whether the complete order line needs to be shipped from a single ship node. If not specified, most restrictive rule will be used from customer preference or scheduling rule.</t>
  </si>
  <si>
    <t>This flag indicates whether the complete order needs to be shipped. If not specified, most restrictive rule will be used from customer preference or scheduling rule.The constraint only applies to Order Lines eligible for schedule or release.</t>
  </si>
  <si>
    <t>This flag indicates whether the complete order needs to be shipped from a single ship node. If not specified, most restrictive rule will be used from customer preference or scheduling rule.</t>
  </si>
  <si>
    <t>Indicates the level of service required for this order. Default is Null.</t>
  </si>
  <si>
    <t>This field is used to link an order of a different document classification to this order record. e.g. Order header key of the quote is stored in this column.</t>
  </si>
  <si>
    <t>The date when the next iteration will be run. Default is Null.</t>
  </si>
  <si>
    <t>The next sequence number for the next iteration run. This only applies to Master Orders. If null, it is assumed to be 1. Default is Null.</t>
  </si>
  <si>
    <t>This field provides details on notifications based on the notification type. For example, for notification type 'e-mail' this would be the e-mail address. This field is not used within the application.</t>
  </si>
  <si>
    <t>This field is not used within the application. It is published with events so that external decisions can be made based on it.</t>
  </si>
  <si>
    <t>This field is not currently used.</t>
  </si>
  <si>
    <t>The opportunity that is associated with this order. It is the primary key of the YFS_OPPORTUNITY table.</t>
  </si>
  <si>
    <t>This field indicates what scheduling will first optimize on. If not specified scheduling rule will be used to determine optimization type.</t>
  </si>
  <si>
    <t>EnteredBy</t>
  </si>
  <si>
    <t>using in 94 to store user loginId if order created using OMS App Console UI</t>
  </si>
  <si>
    <t>The date on which the order was taken. If not passed during order creation, it is defaulted to current system date.</t>
  </si>
  <si>
    <t>OrderDate
Fecha de creación de la orden</t>
  </si>
  <si>
    <r>
      <rPr>
        <rFont val="Arial"/>
        <color theme="1"/>
        <sz val="11.0"/>
      </rPr>
      <t xml:space="preserve">RMQ-FEC-EMISION
Ej: AAAA-MM-DD
</t>
    </r>
    <r>
      <rPr>
        <rFont val="Arial"/>
        <color rgb="FF9900FF"/>
        <sz val="11.0"/>
      </rPr>
      <t>fechaCompra - "15-06-2025 23:46:39"
FecEmision - AAAA-MM-DD</t>
    </r>
  </si>
  <si>
    <t>X(10)</t>
  </si>
  <si>
    <r>
      <rPr>
        <rFont val="Arial"/>
        <color rgb="FFFF00FF"/>
        <sz val="11.0"/>
      </rPr>
      <t>using in 94 to store number related to store like 39 / 9</t>
    </r>
    <r>
      <rPr>
        <rFont val="Arial"/>
        <color theme="1"/>
        <sz val="11.0"/>
      </rPr>
      <t xml:space="preserve">
</t>
    </r>
    <r>
      <rPr>
        <rFont val="Arial"/>
        <color rgb="FF0000FF"/>
        <sz val="11.0"/>
      </rPr>
      <t>[2026/4/16] continue to use because different systsems, reports are using it. To indicate digital store number or physical store number.</t>
    </r>
  </si>
  <si>
    <t>39 / 9</t>
  </si>
  <si>
    <t>OMS will store the ATG Order ID in the attribute</t>
  </si>
  <si>
    <t>OrderName
Store (store number related to store like 39 / 9)</t>
  </si>
  <si>
    <r>
      <rPr>
        <rFont val="Arial"/>
        <color rgb="FF000000"/>
        <sz val="11.0"/>
      </rPr>
      <t xml:space="preserve">RMQ-PSH-ATG-ORD-ID
</t>
    </r>
    <r>
      <rPr>
        <rFont val="Arial"/>
        <color rgb="FF9900FF"/>
        <sz val="11.0"/>
      </rPr>
      <t xml:space="preserve">orderIdAtg
</t>
    </r>
  </si>
  <si>
    <t>X(40)</t>
  </si>
  <si>
    <t>Part of the unique key for the order.</t>
  </si>
  <si>
    <t xml:space="preserve">M
</t>
  </si>
  <si>
    <t>yes, atg will send 12 char and in ATG its shipping group</t>
  </si>
  <si>
    <t>OrderNo
Id de la orden de venta</t>
  </si>
  <si>
    <r>
      <rPr>
        <rFont val="Arial"/>
        <color theme="1"/>
        <sz val="11.0"/>
      </rPr>
      <t xml:space="preserve">RMQ-ORD-ID
</t>
    </r>
    <r>
      <rPr>
        <rFont val="Arial"/>
        <color rgb="FF9900FF"/>
        <sz val="11.0"/>
      </rPr>
      <t>OrderNo</t>
    </r>
  </si>
  <si>
    <t>JSON.commercial_id
Orden de Venta</t>
  </si>
  <si>
    <t>Optional. This indicates specific purpose this order is created for. For Exchange Orders, valid value is EXCHANGE. If</t>
  </si>
  <si>
    <r>
      <rPr>
        <rFont val="Arial"/>
        <strike/>
        <color theme="1"/>
        <sz val="11.0"/>
      </rPr>
      <t xml:space="preserve">10
</t>
    </r>
    <r>
      <rPr>
        <rFont val="Arial"/>
        <color theme="1"/>
        <sz val="11.0"/>
      </rPr>
      <t>rmm.27Oct
20</t>
    </r>
  </si>
  <si>
    <t xml:space="preserve">Will be used to identify Marketplace vs Personal vs Gift Registry  orders. </t>
  </si>
  <si>
    <t>Personal / Gift Registry / MKP</t>
  </si>
  <si>
    <t>OrderType
Posibles valores: Personal / Gift Registry / MKP</t>
  </si>
  <si>
    <t>Use OrderType to determine if the SO is MKP SO</t>
  </si>
  <si>
    <t>Sterling OMS - Order Load</t>
  </si>
  <si>
    <t>A description of the order's overall status determined by the YFSGetOverallStatusUE.</t>
  </si>
  <si>
    <r>
      <rPr>
        <rFont val="Arial"/>
        <i/>
        <color rgb="FFFF0000"/>
        <sz val="10.0"/>
      </rPr>
      <t xml:space="preserve">Error message are applicable </t>
    </r>
    <r>
      <rPr>
        <rFont val="Arial"/>
        <b/>
        <i/>
        <color rgb="FFFF0000"/>
        <sz val="10.0"/>
      </rPr>
      <t>ONLY</t>
    </r>
    <r>
      <rPr>
        <rFont val="Arial"/>
        <i/>
        <color rgb="FFFF0000"/>
        <sz val="10.0"/>
      </rPr>
      <t xml:space="preserve"> for Synchronous Interfaces</t>
    </r>
  </si>
  <si>
    <t>This field is used by Sterling Multi-Channel Selling Solution.</t>
  </si>
  <si>
    <t>Error Data Element</t>
  </si>
  <si>
    <t>Description</t>
  </si>
  <si>
    <t>Sample Data</t>
  </si>
  <si>
    <t>longitud</t>
  </si>
  <si>
    <t>Errors</t>
  </si>
  <si>
    <t>Identifies the payment rule associated with this order. If the</t>
  </si>
  <si>
    <t>Errors/Error</t>
  </si>
  <si>
    <t>ErrorCode</t>
  </si>
  <si>
    <t>OMS Error Code.</t>
  </si>
  <si>
    <t>YFS10437</t>
  </si>
  <si>
    <t>Value for the payment status. The correct value is dependent on a number of conditions.</t>
  </si>
  <si>
    <t>"AUTHORIZED"</t>
  </si>
  <si>
    <t>ErrorDescription</t>
  </si>
  <si>
    <t>Description of the Error</t>
  </si>
  <si>
    <t>Item(Item Id and UOM) does not exist</t>
  </si>
  <si>
    <t>ErrorRelatedMoreInfo</t>
  </si>
  <si>
    <t xml:space="preserve">More information about the error added by the application. </t>
  </si>
  <si>
    <t>The code that describes the personalization required for the order.</t>
  </si>
  <si>
    <t>Errors/Error/Attribute</t>
  </si>
  <si>
    <t>Repeatable Element</t>
  </si>
  <si>
    <t>The price program that is associated with this order.</t>
  </si>
  <si>
    <t>Name</t>
  </si>
  <si>
    <t>The XML attribute Name or the attribute name for providing additional information.</t>
  </si>
  <si>
    <t>ItemID</t>
  </si>
  <si>
    <t>The value of the attribute when the error occured.</t>
  </si>
  <si>
    <t>A12345</t>
  </si>
  <si>
    <t>Identifies a price program to apply to this order.</t>
  </si>
  <si>
    <t>exito</t>
  </si>
  <si>
    <t>The priority code of the order. External logic can be built for prioritizing orders.</t>
  </si>
  <si>
    <t>The numeric priority code as opposed to alphanumeric field PRIORITY_CODE.</t>
  </si>
  <si>
    <t>Indicates that payment methods should be copied onto the return order and that refunds should be processed there, as opposed to the original sales order. This is only valid for return orders.</t>
  </si>
  <si>
    <t>The date that this order should be purged from the history table. If set, this date will override the date determined based on the History Purge Lead Days.</t>
  </si>
  <si>
    <t>This field is passed out in the tax calculation user exits.</t>
  </si>
  <si>
    <t>The node an order is to be shipped to.</t>
  </si>
  <si>
    <t>The requested cancel date. If this date is in the future, the order will be scheduled only up to this date. If this date is in the past, the order can be scheduled for shipping today as long as it has not been cancelled already. The order line level cance</t>
  </si>
  <si>
    <t>The requested delivery date. This date is stamped on order lines (as requested delivery date) during order creation if no requested delivery date was passed at the order line level.</t>
  </si>
  <si>
    <t>The date the customer has requested the order to be shipped on. Based on the 'Driver Date' parameter of the document type, the ship date or delivery date will be calculated based on transit time calculations (if not passed at order creation).</t>
  </si>
  <si>
    <t>Flag to indicate if an attempt should be made to reserve inventory for product lines during order creation.</t>
  </si>
  <si>
    <t>Optional. Flag used by return orders to indicate if the return is initiated by the gift recipient.</t>
  </si>
  <si>
    <t>Conditional. Identifies the return order header key for which this exchange order is getting created. If</t>
  </si>
  <si>
    <t>The carrier assigned to the order.</t>
  </si>
  <si>
    <t>Value of SCAC and Service code.</t>
  </si>
  <si>
    <t>Primary key attribute of YFS_SCAC_AND_SERVICE.</t>
  </si>
  <si>
    <t>This field is provided for allowing custom searches. You can decide at implementation time what should be stored in this field.</t>
  </si>
  <si>
    <t>BillToID</t>
  </si>
  <si>
    <t>yfs_order_header.bill_to_id</t>
  </si>
  <si>
    <t>Customer ID from CDP</t>
  </si>
  <si>
    <r>
      <rPr>
        <rFont val="Arial"/>
        <strike/>
        <color rgb="FFFF0000"/>
        <sz val="11.0"/>
      </rPr>
      <t>M</t>
    </r>
    <r>
      <rPr>
        <rFont val="Arial"/>
        <strike/>
        <color theme="1"/>
        <sz val="11.0"/>
      </rPr>
      <t xml:space="preserve">
</t>
    </r>
    <r>
      <rPr>
        <rFont val="Arial"/>
        <color theme="1"/>
        <sz val="11.0"/>
      </rPr>
      <t>O</t>
    </r>
  </si>
  <si>
    <t>C123456</t>
  </si>
  <si>
    <t xml:space="preserve">BillToID
Customer Id </t>
  </si>
  <si>
    <r>
      <rPr>
        <rFont val="Arial"/>
        <color theme="1"/>
        <sz val="11.0"/>
      </rPr>
      <t xml:space="preserve">RMQ-ATG-CTE-ID
</t>
    </r>
    <r>
      <rPr>
        <rFont val="Arial"/>
        <color rgb="FF9900FF"/>
        <sz val="11.0"/>
      </rPr>
      <t>ProfileID</t>
    </r>
  </si>
  <si>
    <t>json.customer.customer_id</t>
  </si>
  <si>
    <t>LevelOfService</t>
  </si>
  <si>
    <t>Level of service offered to Customer. Example: GROUND or EXPRESS</t>
  </si>
  <si>
    <t>LevelOfService
NA - Llegará con valor vacío</t>
  </si>
  <si>
    <t>SearchCriteria1</t>
  </si>
  <si>
    <t>yfs_order_header.search_criteria_1</t>
  </si>
  <si>
    <t>Use this attribute to indicate if a freight has been paid for the order. Send PAID in this attribute if customer has paid for the freight. This in combination with OrderName will be used to determine the FreightFlag value.</t>
  </si>
  <si>
    <t>PAID</t>
  </si>
  <si>
    <t>SearchCriteria1
Empty</t>
  </si>
  <si>
    <t>Identifies the selling organization.</t>
  </si>
  <si>
    <t>yes, atg wil send</t>
  </si>
  <si>
    <t>SellerOrganizationCode
Posibles valores: Liverpool</t>
  </si>
  <si>
    <t>NotificationType</t>
  </si>
  <si>
    <r>
      <rPr>
        <rFont val="Arial"/>
        <color theme="1"/>
        <sz val="11.0"/>
      </rPr>
      <t xml:space="preserve">Used for some notifications like emails
</t>
    </r>
    <r>
      <rPr>
        <rFont val="Arial"/>
        <color rgb="FF0000FF"/>
        <sz val="11.0"/>
      </rPr>
      <t>[2026/04/16] To identify the brand like LIV, GAP, WS</t>
    </r>
  </si>
  <si>
    <t>Williams Sonoma, Toys, Etc.</t>
  </si>
  <si>
    <t>Williams Sonoma</t>
  </si>
  <si>
    <t>NotificationType
It will be used to identify the brand or boutique
LIV - LIVERPOOL
SUB - SUBURBIA
PBA - POTERRY BARN
PBK - POTERRY BARN KIDS 
WEL - WESTELM
WSO - WILLIAM SONOMA
GAP - GAP
BNR - BANANA
TRU - TOYS RuS
BRU - Baby R Us
GAL - Galerías
DPS - Dupuis
FAB - Fabletics
DST - Disney Store
LST - Livestore
DCK - Dockers</t>
  </si>
  <si>
    <t>If NotificationType= , RMQ-TDA-ID=NotificationType
Pendiente saber qué valor se debe mandar a SOMS</t>
  </si>
  <si>
    <t>Code</t>
  </si>
  <si>
    <t>The ship node at which this order will be fulfilled.</t>
  </si>
  <si>
    <t>The identifier of the ship to customer. If a customer definition representing the buyer organization exists within the system, the ShipToID can represent the CustomerID of the customer. Otherwise, the ShipToID can represent the PersonID of the ship to a</t>
  </si>
  <si>
    <t>The ship to address that is associated with this order.</t>
  </si>
  <si>
    <t>Determines whether BOM XML specific validations should be skipped. Default: N</t>
  </si>
  <si>
    <t>This field is deprecated.</t>
  </si>
  <si>
    <t>This field is internal. Validate value is 'Quote'.</t>
  </si>
  <si>
    <t>This attribute will be used to determine node for sourcing.</t>
  </si>
  <si>
    <t>This flag indicates whether the buyer is extempt from paying taxes.</t>
  </si>
  <si>
    <t>The buyer's tax exemption certificate.</t>
  </si>
  <si>
    <t>The tax jurisdiction of the buyer.</t>
  </si>
  <si>
    <t>The identifier of the buyer.</t>
  </si>
  <si>
    <r>
      <rPr>
        <rFont val="Calibri"/>
        <color rgb="FF000000"/>
        <sz val="11.0"/>
      </rPr>
      <t xml:space="preserve">Refer Ship to Home sample </t>
    </r>
    <r>
      <rPr>
        <rFont val="Calibri"/>
        <color rgb="FF1155CC"/>
        <sz val="11.0"/>
        <u/>
      </rPr>
      <t>https://drive.google.com/file/d/1hXn-TQ7gpClDp-vKLELzD5nWmEiuOfhC/view?usp=drive_link</t>
    </r>
  </si>
  <si>
    <t>Indicates a team that can manage this order. Default is Null.</t>
  </si>
  <si>
    <t>The terms code of the order. This is passed on to the invoice and published with the invoice.</t>
  </si>
  <si>
    <r>
      <rPr>
        <rFont val="Calibri"/>
        <color rgb="FF000000"/>
        <sz val="11.0"/>
      </rPr>
      <t xml:space="preserve">Refer Market Place Ship to Home sample </t>
    </r>
    <r>
      <rPr>
        <rFont val="Calibri"/>
        <color rgb="FF1155CC"/>
        <sz val="11.0"/>
        <u/>
      </rPr>
      <t>https://drive.google.com/file/d/1H45MoGuT9vW57PKTNXFbCQM3Hb46oCGA/view?usp=drive_link</t>
    </r>
  </si>
  <si>
    <t>Flag to indicate if com.yantra.ypm.japi.ue.YPMValidateExternalPromotionsUE userexit should be invoked if implemented to validate external promotions.</t>
  </si>
  <si>
    <t>Indicates if item needs to be validated against catalog. It overrides configuration rule for validating the item if passed non-blank. Must be set to</t>
  </si>
  <si>
    <t>Sterling will default internally</t>
  </si>
  <si>
    <t>Indicates if promotions and awards need to be validated and matched.</t>
  </si>
  <si>
    <t>The seller's vendor identifier, as defined by the buyer.</t>
  </si>
  <si>
    <t>/Order/OrderLines/@</t>
  </si>
  <si>
    <t>Array of OrderLine</t>
  </si>
  <si>
    <t>The date when this line will be allocated. This is calculated at order creation time, based on the node processing time. This field is not used from version 50 onwards. The ALLOCATION_LEAD_TIME field is used instead.</t>
  </si>
  <si>
    <t>The BOM XML to be used to create the order line and its components.</t>
  </si>
  <si>
    <t>The customers carrier account number.</t>
  </si>
  <si>
    <t>The carrier service code for this order line.</t>
  </si>
  <si>
    <t>It is a data attribute to store the quantity that is committed by supplier.</t>
  </si>
  <si>
    <t>A user defined variable that can be used for condition building in process modeling.</t>
  </si>
  <si>
    <t>This field is used by Sterling Multi-Channel Selling Solution so that Visual Modeler can be opened with existing options.</t>
  </si>
  <si>
    <t>The buyer PO line number.</t>
  </si>
  <si>
    <t>The buyer's PO number.</t>
  </si>
  <si>
    <t>This field indicates who will pay the freight. Application understands values such as SUPPLIER, ENTERPRISE and MARKETPLACE to mean that each of these organizations will pay for the freight. You could however pass any other value which is a valid shipment</t>
  </si>
  <si>
    <t>Describes how product is delivered. 
Use 
SHP for all deliveries.</t>
  </si>
  <si>
    <r>
      <rPr>
        <rFont val="Arial"/>
        <color theme="1"/>
        <sz val="11.0"/>
      </rPr>
      <t xml:space="preserve">DeliveryMethod
</t>
    </r>
    <r>
      <rPr>
        <rFont val="Arial"/>
        <color rgb="FF0000FF"/>
        <sz val="11.0"/>
      </rPr>
      <t>Value: SHP for both type of orders (C&amp;C and S2H)</t>
    </r>
  </si>
  <si>
    <r>
      <rPr>
        <rFont val="Arial"/>
        <color theme="1"/>
        <sz val="11.0"/>
      </rPr>
      <t xml:space="preserve">DeliveryMethod
</t>
    </r>
    <r>
      <rPr>
        <rFont val="Arial"/>
        <color rgb="FF0000FF"/>
        <sz val="11.0"/>
      </rPr>
      <t>Value: SHP for both type of orders (C&amp;C and S2H)</t>
    </r>
  </si>
  <si>
    <r>
      <rPr>
        <rFont val="Arial"/>
        <color theme="1"/>
        <sz val="11.0"/>
      </rPr>
      <t xml:space="preserve">DeliveryMethod
</t>
    </r>
    <r>
      <rPr>
        <rFont val="Arial"/>
        <color rgb="FF0000FF"/>
        <sz val="11.0"/>
      </rPr>
      <t>Value: SHP for both type of orders (C&amp;C and S2H)</t>
    </r>
  </si>
  <si>
    <r>
      <rPr>
        <rFont val="Arial"/>
        <color theme="1"/>
        <sz val="11.0"/>
      </rPr>
      <t xml:space="preserve">DeliveryMethod
</t>
    </r>
    <r>
      <rPr>
        <rFont val="Arial"/>
        <color rgb="FF0000FF"/>
        <sz val="11.0"/>
      </rPr>
      <t>Value: SHP for both type of orders (C&amp;C and S2H)</t>
    </r>
  </si>
  <si>
    <t>DeliveryMethod
SHP (Si es entrega a domicilio envíar)</t>
  </si>
  <si>
    <t>If DeliveryMethod = SHP then json.offers.shipping_type_code = 'Home'
If DeliveryMethod = PICK the json.offers.shipping_type_code = 'clickcollect' "</t>
  </si>
  <si>
    <t>This field can be used for line classification and reporting purposes. If department code is passed at order header but not passed at order line then value at order header is pushed to order line.</t>
  </si>
  <si>
    <t>DepartmentCode
Número de sección del SKU</t>
  </si>
  <si>
    <t>department_id</t>
  </si>
  <si>
    <t>Indicates how the</t>
  </si>
  <si>
    <t>If passed then supplies and demands are read applying the distribution rule filter for inventory availability.</t>
  </si>
  <si>
    <t>The date before which the order line will not be picked up by scheduling.</t>
  </si>
  <si>
    <t>Same as Required quantity, if complete quantity of a line to be sourced from single node</t>
  </si>
  <si>
    <t>The first iteration sequence for which this line is applicable. If Null, it is assumed that the line applies to all sequences before LastIterationSeqNo. Default is Null.</t>
  </si>
  <si>
    <t>Indicates Freight Terms for the line.</t>
  </si>
  <si>
    <r>
      <rPr>
        <rFont val="Arial"/>
        <color rgb="FF000000"/>
        <sz val="11.0"/>
      </rPr>
      <t xml:space="preserve">Fulfillment Type for the order line.
Fulfillment_Type_Liverpool = Ship to Home
Liverpool_CNC_PICK_PACK = Click and Collect
Toys_Fulfillment_Type_Liverpool = Toys Ship to Home
Toys_Liverpool_CNC_PICK_PACK = Toys Click and Collect
Fulfillment_Type_Preventa = Preventa
Fulfillment_Type_Pedido_Especial = Special
Liverpool_Deliver_By_Parcel = Delivery by Parcel
Toys_Liverpool_Deliver_By_Parcel = Toys Delivery by Parcel
Liverpool_MKP_SHP = MKP Ship to Home
</t>
    </r>
    <r>
      <rPr>
        <rFont val="Arial"/>
        <color rgb="FF0000FF"/>
        <sz val="11.0"/>
      </rPr>
      <t>[3/26] Not mandatory. OMS will determine the appropriate one based on attrinutes passed in the request.</t>
    </r>
  </si>
  <si>
    <t>SHP</t>
  </si>
  <si>
    <r>
      <rPr>
        <rFont val="Arial"/>
        <color theme="1"/>
        <sz val="11.0"/>
      </rPr>
      <t xml:space="preserve">FulfillmentType
Posibles valores:
Fulfillment_Type_Liverpool = Ship to Home
Liverpool_CNC_PICK_PACK = Click and Collect
Toys_Fulfillment_Type_Liverpool = Toys Ship to Home
Toys_Liverpool_CNC_PICK_PACK = Toys Click and Collect
Fulfillment_Type_Preventa = Preventa
Fulfillment_Type_Pedido_Especial = Special
Liverpool_Deliver_By_Parcel = Delivery by Parcel
</t>
    </r>
    <r>
      <rPr>
        <rFont val="Arial"/>
        <color rgb="FF0000FF"/>
        <sz val="11.0"/>
      </rPr>
      <t>Not changes, not required anymore from channels. OMS will determined it. Remove in MW</t>
    </r>
  </si>
  <si>
    <r>
      <rPr>
        <rFont val="Arial"/>
        <color theme="1"/>
        <sz val="11.0"/>
      </rPr>
      <t xml:space="preserve">FulfillmentType
Posibles valores:
Fulfillment_Type_Liverpool = Ship to Home
Liverpool_CNC_PICK_PACK = Click and Collect
Toys_Fulfillment_Type_Liverpool = Toys Ship to Home
Toys_Liverpool_CNC_PICK_PACK = Toys Click and Collect
Fulfillment_Type_Preventa = Preventa
Fulfillment_Type_Pedido_Especial = Special
Liverpool_Deliver_By_Parcel = Delivery by Parcel
Liverpool_MKP_SHP = MKP Ship to Home
</t>
    </r>
    <r>
      <rPr>
        <rFont val="Arial"/>
        <color rgb="FF0000FF"/>
        <sz val="11.0"/>
      </rPr>
      <t>Not changes, not required anymore from channels. OMS will determined it. Remove in MW</t>
    </r>
  </si>
  <si>
    <r>
      <rPr>
        <rFont val="Arial"/>
        <color theme="1"/>
        <sz val="11.0"/>
      </rPr>
      <t xml:space="preserve">FulfillmentType
Posibles valores:
Fulfillment_Type_Liverpool = Ship to Home
Liverpool_CNC_PICK_PACK = Click and Collect
Toys_Fulfillment_Type_Liverpool = Toys Ship to Home
Toys_Liverpool_CNC_PICK_PACK = Toys Click and Collect
Fulfillment_Type_Preventa = Preventa
Fulfillment_Type_Pedido_Especial = Special
Liverpool_Deliver_By_Parcel = Delivery by Parcel
Liverpool_MKP_SHP = MKP Ship to Home
</t>
    </r>
    <r>
      <rPr>
        <rFont val="Arial"/>
        <color rgb="FF0000FF"/>
        <sz val="11.0"/>
      </rPr>
      <t>Not changes, not required anymore from channels. OMS will determined it. Remove in MW</t>
    </r>
  </si>
  <si>
    <r>
      <rPr>
        <rFont val="Arial"/>
        <color theme="1"/>
        <sz val="11.0"/>
      </rPr>
      <t xml:space="preserve">FulfillmentType
Posibles valores:
Fulfillment_Type_Liverpool = Ship to Home
Liverpool_CNC_PICK_PACK = Click and Collect
Toys_Fulfillment_Type_Liverpool = Toys Ship to Home
Toys_Liverpool_CNC_PICK_PACK = Toys Click and Collect
Fulfillment_Type_Preventa = Preventa
Fulfillment_Type_Pedido_Especial = Special
Liverpool_Deliver_By_Parcel = Delivery by Parcel
</t>
    </r>
    <r>
      <rPr>
        <rFont val="Arial"/>
        <color rgb="FF0000FF"/>
        <sz val="11.0"/>
      </rPr>
      <t>Not changes, not required anymore from channels. OMS will determined it. Remove in MW</t>
    </r>
  </si>
  <si>
    <r>
      <rPr>
        <rFont val="Arial"/>
        <color theme="1"/>
        <sz val="11.0"/>
      </rPr>
      <t xml:space="preserve">FulfillmentType
Posibles valores:
Fulfillment_Type_Liverpool = Ship to Home
Liverpool_CNC_PICK_PACK = Click and Collect
Toys_Fulfillment_Type_Liverpool = Toys Ship to Home
Toys_Liverpool_CNC_PICK_PACK = Toys Click and Collect
Fulfillment_Type_Preventa = Preventa
Fulfillment_Type_Pedido_Especial = Special
Liverpool_Deliver_By_Parcel = Delivery by Parcel
</t>
    </r>
    <r>
      <rPr>
        <rFont val="Arial"/>
        <color rgb="FF0000FF"/>
        <sz val="11.0"/>
      </rPr>
      <t>Not changes, not required anymore from channels. OMS will determined it. Remove in MW</t>
    </r>
  </si>
  <si>
    <r>
      <rPr>
        <rFont val="Arial"/>
        <color theme="1"/>
        <sz val="11.0"/>
      </rPr>
      <t xml:space="preserve">if Fulfillment_Type_Preventa = Preventa then RMQ-FEE-PREORD = 1 otherwise RMQ-FEE-PREORD = 0
</t>
    </r>
    <r>
      <rPr>
        <rFont val="Arial"/>
        <color rgb="FF9900FF"/>
        <sz val="11.0"/>
      </rPr>
      <t>preOrder - if FulfillmentType = Preventa then preOrder = 1 otherwise = 0</t>
    </r>
  </si>
  <si>
    <t>X(01)</t>
  </si>
  <si>
    <t>LIV_SHIP = Ship to Home</t>
  </si>
  <si>
    <t>LIV_PICK = Click and Collect</t>
  </si>
  <si>
    <t>LIV_MKP_SHP = Marketplace Ship to Home</t>
  </si>
  <si>
    <t>LIV_MKP_PICK = Marketplace Pickup</t>
  </si>
  <si>
    <t>PICK = Click and Collect (Suburbia)</t>
  </si>
  <si>
    <t>SHIP = Ship to Home (Suburbia)</t>
  </si>
  <si>
    <t>SUB_MKP_SHP = Marketplace Ship to Home (Suburbia)</t>
  </si>
  <si>
    <t>SUB_MKP_PICK = Marketplace Pickup (Suburbia)</t>
  </si>
  <si>
    <t>RETURN_BT = Big Ticket Return</t>
  </si>
  <si>
    <t>This flag indicates whether forwarding is allowed for the line.</t>
  </si>
  <si>
    <t>This flag indicates whether procurement is allowed for the line.</t>
  </si>
  <si>
    <t>Specifies whether the</t>
  </si>
  <si>
    <t>This field defines approval condition when item not in file is found.</t>
  </si>
  <si>
    <t>The quantity that is used to compute ordered quantity for bundle component line. It can be specified only for bundle components. If specified ordered quantity will be set to KitQty*OrderedQty of the bundle parent.</t>
  </si>
  <si>
    <t>The last iteration sequence for which this line is applicable. If Null, it is assumed to go on indefinitely. Default is Null.</t>
  </si>
  <si>
    <t>LExtnFEEBACKORD</t>
  </si>
  <si>
    <r>
      <rPr>
        <rFont val="Arial"/>
        <color theme="1"/>
        <sz val="11.0"/>
      </rPr>
      <t xml:space="preserve">RMQ-FEE-BACKORD
Values: 0 / 1 
</t>
    </r>
    <r>
      <rPr>
        <rFont val="Arial"/>
        <color rgb="FF9900FF"/>
        <sz val="11.0"/>
      </rPr>
      <t>backOrder</t>
    </r>
  </si>
  <si>
    <r>
      <rPr>
        <rFont val="Arial"/>
        <color theme="1"/>
        <sz val="11.0"/>
      </rPr>
      <t xml:space="preserve">RMQ-FEE-BACKORD
Values: 0 / 1 
</t>
    </r>
    <r>
      <rPr>
        <rFont val="Arial"/>
        <color rgb="FF9900FF"/>
        <sz val="11.0"/>
      </rPr>
      <t>backOrder</t>
    </r>
  </si>
  <si>
    <t>Delivery</t>
  </si>
  <si>
    <t>EXTN_INV_GEO.DELIVERY</t>
  </si>
  <si>
    <r>
      <rPr>
        <rFont val="Arial"/>
        <color rgb="FF000000"/>
        <sz val="11.0"/>
      </rPr>
      <t xml:space="preserve">Using for Flash promising Delivery methods and create record in EXTN_INV_GEO. Mandatory for Flash delivery.
Possible valuses:
HD0D or HD1D for Ship to Home
</t>
    </r>
    <r>
      <rPr>
        <rFont val="Arial"/>
        <color rgb="FF0000FF"/>
        <sz val="11.0"/>
      </rPr>
      <t>[3/25 added] CC0D or CC1D for Click &amp; Collect</t>
    </r>
  </si>
  <si>
    <r>
      <rPr>
        <rFont val="Arial"/>
        <color theme="1"/>
        <sz val="11.0"/>
      </rPr>
      <t xml:space="preserve">Delivery (Flash or express deliveries)
values: HD0D / HD1D / CC0D / CC1D
HD0D: Same day delivery
HD1D: Next day delivery
</t>
    </r>
    <r>
      <rPr>
        <rFont val="Arial"/>
        <color rgb="FF0000FF"/>
        <sz val="11.0"/>
      </rPr>
      <t>CC0D: Same day delivery for C&amp;C
CC1D: Next day delivery for C&amp;C
[3/25 added] CC0D or CC1D for Click &amp; Collect</t>
    </r>
    <r>
      <rPr>
        <rFont val="Arial"/>
        <color theme="1"/>
        <sz val="11.0"/>
      </rPr>
      <t xml:space="preserve">
If there are no flash delivery then send empty</t>
    </r>
  </si>
  <si>
    <r>
      <rPr>
        <rFont val="Arial"/>
        <color theme="1"/>
        <sz val="11.0"/>
      </rPr>
      <t xml:space="preserve">Delivery (Flash or express deliveries)
values: HD0D / HD1D / CC0D / CC1D
HD0D: Same day delivery
HD1D: Next day delivery
</t>
    </r>
    <r>
      <rPr>
        <rFont val="Arial"/>
        <color rgb="FF0000FF"/>
        <sz val="11.0"/>
      </rPr>
      <t>CC0D: Same day delivery for C&amp;C
CC1D: Next day delivery for C&amp;C
[3/25 added] CC0D or CC1D for Click &amp; Collect</t>
    </r>
    <r>
      <rPr>
        <rFont val="Arial"/>
        <color theme="1"/>
        <sz val="11.0"/>
      </rPr>
      <t xml:space="preserve">
If there are no flash delivery then send empty</t>
    </r>
  </si>
  <si>
    <r>
      <rPr>
        <rFont val="Arial"/>
        <color theme="1"/>
        <sz val="11.0"/>
      </rPr>
      <t xml:space="preserve">Delivery (Flash or express deliveries)
values: HD0D / HD1D / CC0D / CC1D
HD0D: Same day delivery
HD1D: Next day delivery
</t>
    </r>
    <r>
      <rPr>
        <rFont val="Arial"/>
        <color rgb="FF0000FF"/>
        <sz val="11.0"/>
      </rPr>
      <t>CC0D: Same day delivery for C&amp;C
CC1D: Next day delivery for C&amp;C
[3/25 added] CC0D or CC1D for Click &amp; Collect</t>
    </r>
    <r>
      <rPr>
        <rFont val="Arial"/>
        <color theme="1"/>
        <sz val="11.0"/>
      </rPr>
      <t xml:space="preserve">
If there are no flash delivery then send empty</t>
    </r>
  </si>
  <si>
    <r>
      <rPr>
        <rFont val="Arial"/>
        <color theme="1"/>
        <sz val="11.0"/>
      </rPr>
      <t xml:space="preserve">Delivery (Flash or express deliveries)
values: HD0D / HD1D / CC0D / CC1D
HD0D: Same day delivery
HD1D: Next day delivery
</t>
    </r>
    <r>
      <rPr>
        <rFont val="Arial"/>
        <color rgb="FF0000FF"/>
        <sz val="11.0"/>
      </rPr>
      <t>CC0D: Same day delivery for C&amp;C
CC1D: Next day delivery for C&amp;C
[3/25 added] CC0D or CC1D for Click &amp; Collect</t>
    </r>
    <r>
      <rPr>
        <rFont val="Arial"/>
        <color theme="1"/>
        <sz val="11.0"/>
      </rPr>
      <t xml:space="preserve">
If there are no flash delivery then send empty</t>
    </r>
  </si>
  <si>
    <t>Delivery (Flash or express deliveries)
values: HD0D / HD1D
HD0D: Same day delivery
HD1D: Next day delivery
If there are no flash delivery then send empty</t>
  </si>
  <si>
    <r>
      <rPr>
        <rFont val="Arial"/>
        <color theme="1"/>
        <sz val="11.0"/>
      </rPr>
      <t xml:space="preserve">RMQ-TIP-ENT-EXP
</t>
    </r>
    <r>
      <rPr>
        <rFont val="Arial"/>
        <color rgb="FF9900FF"/>
        <sz val="11.0"/>
      </rPr>
      <t>deliveryMethod</t>
    </r>
  </si>
  <si>
    <t>Store</t>
  </si>
  <si>
    <t>EXTN_INV_GEO.STORE</t>
  </si>
  <si>
    <t>using for Flash promising Store and create record in EXTN_INV_GEO. Mandatory for Flash delivery.
Possible valuses:
StoreId from where fulfilled as Express.</t>
  </si>
  <si>
    <t>Store
Express/Flash store delivery</t>
  </si>
  <si>
    <t>Store
Express/Flash store delivery
If there is no flash store the send as empty</t>
  </si>
  <si>
    <r>
      <rPr>
        <rFont val="Arial"/>
        <color theme="1"/>
        <sz val="11.0"/>
      </rPr>
      <t xml:space="preserve">RMQ-LOC-SRT-EXP (Ubicación que entrega a cliente)
</t>
    </r>
    <r>
      <rPr>
        <rFont val="Arial"/>
        <strike/>
        <color rgb="FF9900FF"/>
        <sz val="11.0"/>
      </rPr>
      <t>shipNode</t>
    </r>
    <r>
      <rPr>
        <rFont val="Arial"/>
        <color rgb="FF9900FF"/>
        <sz val="11.0"/>
      </rPr>
      <t xml:space="preserve">
</t>
    </r>
    <r>
      <rPr>
        <rFont val="Arial"/>
        <color theme="1"/>
        <sz val="11.0"/>
      </rPr>
      <t xml:space="preserve">Jun18.rmm.start
</t>
    </r>
    <r>
      <rPr>
        <rFont val="Arial"/>
        <color rgb="FF9900FF"/>
        <sz val="11.0"/>
      </rPr>
      <t xml:space="preserve">Cambiar shipNode por Store si la OV es C&amp;C
Campo store
</t>
    </r>
    <r>
      <rPr>
        <rFont val="Arial"/>
        <color theme="1"/>
        <sz val="11.0"/>
      </rPr>
      <t>Jun18.rmm.end</t>
    </r>
  </si>
  <si>
    <t>Num(04)</t>
  </si>
  <si>
    <t>The carrier service code for this order line. Not recommended to use this attribute for ship to Home orders.</t>
  </si>
  <si>
    <t>check if we need for future purpose?</t>
  </si>
  <si>
    <t>CarrierServiceCode
Empty</t>
  </si>
  <si>
    <t>using in 94 to store Flash Delivery code</t>
  </si>
  <si>
    <t>Line Type. SL for all other types (including soft line)
Use
SL for Marchandise
SI for Service Item</t>
  </si>
  <si>
    <t>SL</t>
  </si>
  <si>
    <t>LineType
Posibles valores: SL / SI</t>
  </si>
  <si>
    <t xml:space="preserve">LineType
Posibles valores: SL / SI
Jun29.rmm.start
Si LineType="SI" y ConditionVariable="" entonces descartar la línea (SKU) hacia OMS
Jun29.rmm.end
</t>
  </si>
  <si>
    <r>
      <rPr>
        <rFont val="Arial"/>
        <color theme="1"/>
        <sz val="11.0"/>
      </rPr>
      <t xml:space="preserve">RMQ-TIP-ORD
Jun29.rmm.start
Si LineType="SI" entonces descartar la línea (SKU) hacia SOMS
Jun29.rmm.end
Required values: 'BT', 'SL', 'SM', 'BM'
Get SL / BT value from LineType field
If LineType=BT and OrderType=MKP entonces RMQ-TIP-ORD=BM
If LineType=SL and OrderType=MKP entonces RMQ-TIP-ORD=SM
</t>
    </r>
    <r>
      <rPr>
        <rFont val="Arial"/>
        <color rgb="FF9900FF"/>
        <sz val="11.0"/>
      </rPr>
      <t>TipoOrd</t>
    </r>
  </si>
  <si>
    <t>X(02)</t>
  </si>
  <si>
    <t>json.offers.order_line_additional_fields.value = LineType
json.offers.order_line_additional_fields.code = tipo-articulo
Si LineType = SL entonces json.order_additional_fields.mkp-numberof-trackid = 1</t>
  </si>
  <si>
    <t>The preferred minimum ship by date of the available supply that order line can allocate against. Available supply with ship by date earlier than the minimum ship by date will not be considered. This applies to the order line with a valid time-sensitive it</t>
  </si>
  <si>
    <t>The quantity of the line item that is being ordered. This quantity is in Inventory UnitOfMeasure. If Quantity needs to be passed in a different UnitOfMeasure (only allowed for a Product line), then it should be passed in OrderLineTranQuantity node.</t>
  </si>
  <si>
    <t>OrderedQty
Piezas</t>
  </si>
  <si>
    <r>
      <rPr>
        <rFont val="Arial"/>
        <color theme="1"/>
        <sz val="11.0"/>
      </rPr>
      <t xml:space="preserve">RMQ-CANT-PIEZAS
</t>
    </r>
    <r>
      <rPr>
        <rFont val="Arial"/>
        <color rgb="FF9900FF"/>
        <sz val="11.0"/>
      </rPr>
      <t>noPiezas</t>
    </r>
  </si>
  <si>
    <t>Num(04) Dec(2)</t>
  </si>
  <si>
    <t>quantity</t>
  </si>
  <si>
    <t>The code indicating the type of packlist to be used for the line. Lines requiring different pack lists are not mixed in a single order release.</t>
  </si>
  <si>
    <t>The code for personalization.</t>
  </si>
  <si>
    <t>Set the color of the item to this attribute at line level</t>
  </si>
  <si>
    <t>PersonalizeCode
NA</t>
  </si>
  <si>
    <t>This field is used internally.</t>
  </si>
  <si>
    <t>Pipeline id on order line. If not passed, system will determine the pipeline based on attributes on the line.</t>
  </si>
  <si>
    <t>Unique number identifying the line. Typically starts with "1".</t>
  </si>
  <si>
    <t>PrimeLineNo
Consecutivo para cada línea de la orden</t>
  </si>
  <si>
    <t>PrimeLineNo
Consecutivo para cada línea de la orden. ATG lo enviará</t>
  </si>
  <si>
    <t>The node from which the order line should be procured if cannot source from the shipnode on the order line.</t>
  </si>
  <si>
    <t>The date and time when the appointment ends for an</t>
  </si>
  <si>
    <t>The date and time when the appointment starts for an</t>
  </si>
  <si>
    <t>This field is passed out in the Tax calculation user exits.</t>
  </si>
  <si>
    <t>The node to which an</t>
  </si>
  <si>
    <t>The requested cancel date. If not provided, this field is defaulted from the order header during order creation. Refer to the YFS_ORDER_HEADER table for more details.</t>
  </si>
  <si>
    <t>The requested delivery date. If not provided, this field is defaulted from the order header during order creation. Refer to the YFS_ORDER_HEADER table for more details.</t>
  </si>
  <si>
    <t>The requested ship date. If not provided, this field is defaulted from the order header during order creation. Refer to the YFS_ORDER_HEADER table for more details.</t>
  </si>
  <si>
    <t>The reservation ID. If this item was reserved before order creation, pass an ID to associate the line with the reservation.</t>
  </si>
  <si>
    <t>ReservationID
NA</t>
  </si>
  <si>
    <t>This flag indicates whether this line can be created without a reservation. If set to Y, creation of this line or any quantity addition to this line will be allowed only if the quantity can be reserved. If a ProcureFromNode is also present on the line, th</t>
  </si>
  <si>
    <t>The reason for returning the order line.</t>
  </si>
  <si>
    <t>The carrier to be used for this line.</t>
  </si>
  <si>
    <t>Indicates Segment for the order line. For a Made To Customer order, the value is defaulted to</t>
  </si>
  <si>
    <t>Indicates SegmentType for the order line. For a Made to Customer Order, the value is</t>
  </si>
  <si>
    <t>Requested serial number of the item.</t>
  </si>
  <si>
    <t xml:space="preserve">Mandatory if EntryType=ETO.
If ReceivingNode is a store then ERP has to send the value as "TOStore" else ERP has to send actual DC </t>
  </si>
  <si>
    <t>ReceivingNode
NA</t>
  </si>
  <si>
    <t xml:space="preserve">Not recommended to use this attribute for ship to Home orders.
</t>
  </si>
  <si>
    <t>yes, atg will send only for click and collect order line</t>
  </si>
  <si>
    <t>ShipNode
Send empty</t>
  </si>
  <si>
    <r>
      <rPr>
        <rFont val="Arial"/>
        <color theme="1"/>
        <sz val="11.0"/>
      </rPr>
      <t xml:space="preserve">If FulfillmentType=Liverpool_CNC_PICK_PACK or FulfillmentType=Toys_Liverpool_CNC_PICK_PACK then RMQ-ALM-CC=ShipNode 
Add zeros on the left
</t>
    </r>
    <r>
      <rPr>
        <rFont val="Arial"/>
        <color rgb="FF9900FF"/>
        <sz val="11.0"/>
      </rPr>
      <t>cncStoreNum</t>
    </r>
  </si>
  <si>
    <t>The ship to identifier. If a customer definition representing the buyer organization exists within the system, the ShipToID can represent the CustomerID of the customer. Otherwise, the ShipToID can represent the PersonID of the ship to address or the re</t>
  </si>
  <si>
    <t>The ship to address that is associated with this order line. If not provided, it is defaulted from order header.</t>
  </si>
  <si>
    <t>using in 94 to store Flash Delivery sytore</t>
  </si>
  <si>
    <t>ProcureFromNode</t>
  </si>
  <si>
    <t>String</t>
  </si>
  <si>
    <t>Use only for self allocation/auto assign functionality. Mandatory to pass the store from where the display item need to be sourced from.</t>
  </si>
  <si>
    <t>ProcureFromNode
NA</t>
  </si>
  <si>
    <t>ReqDeliveryDate</t>
  </si>
  <si>
    <t>yfs_order_line.req_delivery_date</t>
  </si>
  <si>
    <t>dateTime</t>
  </si>
  <si>
    <t>2021-03-29T10:00:00-04:00</t>
  </si>
  <si>
    <t>ReqDeliveryDate
NA</t>
  </si>
  <si>
    <t>EarliestScheduleDate</t>
  </si>
  <si>
    <t>yfs_order_line.earliest_schedule_date</t>
  </si>
  <si>
    <t>Used for Pre-orders only. Launch Date for the product</t>
  </si>
  <si>
    <t>EarliestScheduleDate
Empty</t>
  </si>
  <si>
    <t>The sub line number. Default to 1</t>
  </si>
  <si>
    <t>Constante = 1 agregar en Middleware</t>
  </si>
  <si>
    <t>/Orders/Order/LineItems/LineItem/LineItemID</t>
  </si>
  <si>
    <t>ReturnReason</t>
  </si>
  <si>
    <t>yfs_order_line.return_reason</t>
  </si>
  <si>
    <t>CR#249: Reason for returning the item. Pass if DocumentType=0003</t>
  </si>
  <si>
    <t>ConditionVariable1</t>
  </si>
  <si>
    <t>yfs_order_line.condition_variable_1</t>
  </si>
  <si>
    <t>Co-existence of SOMS and OMS. Identifier of OMS orders</t>
  </si>
  <si>
    <t>OMS</t>
  </si>
  <si>
    <t>ConditionVariable1
Flag to indicate orders created from s2. It only apply for S2H
Value: OMS</t>
  </si>
  <si>
    <t>ConditionVariable1
Si la primera línea trae ConditionVariable1="OMS" entonces se puede dar por hecho que todas las líneas de la OV traerán la bandera OMS</t>
  </si>
  <si>
    <t>Indicates if item needs to be validated against catalog. It overrides configuration rule for validating the item if passed non-blank. When set to "N", this order line will not be considered for min/max ordered quantity validation. Must be set to</t>
  </si>
  <si>
    <t>The minimum order line quantity that must be fulfilled in an order release before it is shipped.</t>
  </si>
  <si>
    <t>The quantity of the line item that has been ordered. If part of line is cancelled, this number is reduced appropriately. If an order line is returned, this number is not reduced.</t>
  </si>
  <si>
    <t>UOM on which all the transactional quantities are specified.</t>
  </si>
  <si>
    <t>To be used for Return Order only</t>
  </si>
  <si>
    <t>The original sales order document type. Use 0001</t>
  </si>
  <si>
    <t>Use LIVERPOOL for liverpool and SUBURBIA for suburbia</t>
  </si>
  <si>
    <t>The order header that this order line is associated with.</t>
  </si>
  <si>
    <t>The primary key for the YFS_ORDER_LINE table.</t>
  </si>
  <si>
    <t>Original Sales order number</t>
  </si>
  <si>
    <t>Original Sales order line number</t>
  </si>
  <si>
    <t>Default to 1</t>
  </si>
  <si>
    <t>The document type that is associated with this order. For example, Sales Order document (0001), Planned Order document (0002), Return Order document (0003) , and Purchase Order document (0005). This field determines the order's fulfillment cycle and contr</t>
  </si>
  <si>
    <t>The enterprise that is associated with this order.</t>
  </si>
  <si>
    <t>The order number that this order line is chained from.</t>
  </si>
  <si>
    <t>The order line number.</t>
  </si>
  <si>
    <t>The sub line number.</t>
  </si>
  <si>
    <t>This flag indicates whether UnitPrice passed must be used and price determination ignored, if price determination is configured and enabled. Valid values are 'Y' or 'N'. If this attribute's value is not passed in the input, by default its value is copied</t>
  </si>
  <si>
    <t>Short Description for the Option added to the Item.</t>
  </si>
  <si>
    <t>The</t>
  </si>
  <si>
    <t>Unit Of Measure of the Option Item.</t>
  </si>
  <si>
    <t>For future use. Option is currently priced based on ordering unit of measure.</t>
  </si>
  <si>
    <t>Unit price for the Option.</t>
  </si>
  <si>
    <t>If this attribute is populated, inventory availability for that node is overridden based on the value.</t>
  </si>
  <si>
    <t>The node for which either sourcing or procurement has been suppressed when either Suppress Sourcing or Suppress Procurement flags are set to Yes. NOTE: If Node is blank and SuppressNodeCapacity is Yes, then inventory node capacity will be ignored for all</t>
  </si>
  <si>
    <t>Free-form reason text indicating any additional information.</t>
  </si>
  <si>
    <t>Flag determines whether to ignore inventory node capacity. Default: N. NOTE: If Node is blank and SuppressNodeCapacity is Yes, then inventory node capacity will be ignored for all nodes of the OrderLine.</t>
  </si>
  <si>
    <t>Flag determines whether to ignore this Node for procurement consideration. Node will not be used by scheduling as a procure from node.</t>
  </si>
  <si>
    <t>Flag determines whether to ignore this Node for sourcing consideration. Node will not be used by scheduling as a ship node.</t>
  </si>
  <si>
    <t>ConditionVariable2</t>
  </si>
  <si>
    <t>yfs_order_line.condition_variable_2</t>
  </si>
  <si>
    <t>[2026/4/16 added]To identify type of the delivery. The possible values are:
SHP - for ship to home
PICK - for click and collect</t>
  </si>
  <si>
    <t>SHP
PICK</t>
  </si>
  <si>
    <t>ConditionVariable2
[2026/4/16 added]To identify type of the delivery. The possible values are:
SHP - for ship to home
PICK - for click and collect</t>
  </si>
  <si>
    <t>/Order/OrderLines/OrderLine/Extn</t>
  </si>
  <si>
    <t>This field indicates the alternate ItemID, which can be passed instead of the actual ItemID. This is an alias for the ItemID.</t>
  </si>
  <si>
    <t>The way in which the bundle will be fulfilled. It can be Ship Independent (00), Ship Together (01), or Deliver Together (02) for Bundle Item. Default value is based on the catalog. If the item is not in the catalog, then Ship Together(01) is defaulted for</t>
  </si>
  <si>
    <t>The currency in which the unit cost is specified.</t>
  </si>
  <si>
    <t>The item ID for the buyer.</t>
  </si>
  <si>
    <t>The item description of the buyer organization.</t>
  </si>
  <si>
    <t>The Export Commodity Control Number for a commodity contained in the shipment, as indicated on the Waybill.</t>
  </si>
  <si>
    <t>The harmonized code, if applicable.</t>
  </si>
  <si>
    <t>The ISBN number, if applicable.</t>
  </si>
  <si>
    <t>ExtnOfferID</t>
  </si>
  <si>
    <t>YFS_ORDER_LINE.EXTN_OFFER_ID</t>
  </si>
  <si>
    <t>Mirakl OfferID for marketplace orders</t>
  </si>
  <si>
    <t>Available in ATG</t>
  </si>
  <si>
    <t>offer_id</t>
  </si>
  <si>
    <t>ExtnOfferPrice</t>
  </si>
  <si>
    <t>YFS_ORDER_LINE.EXTN_OFFER_PRICE</t>
  </si>
  <si>
    <t>Mirakl offer price for marketplace orders</t>
  </si>
  <si>
    <t>offer_price</t>
  </si>
  <si>
    <t>String(40)</t>
  </si>
  <si>
    <t>ExtnLeadTimeToShip</t>
  </si>
  <si>
    <r>
      <rPr>
        <rFont val="Arial"/>
        <strike/>
        <color theme="1"/>
        <sz val="10.0"/>
      </rPr>
      <t xml:space="preserve">Mirakl Data - Vendor's lead time to ship an order </t>
    </r>
    <r>
      <rPr>
        <rFont val="Arial"/>
        <color theme="1"/>
        <sz val="10.0"/>
      </rPr>
      <t>Do not use this attributes.</t>
    </r>
  </si>
  <si>
    <t>ExtnLeadTimeToShip para OVs MKP</t>
  </si>
  <si>
    <t>ExtnMKPLiverPromoLabel</t>
  </si>
  <si>
    <t>Use /Order/OrderLines/OrderLine/References/Reference</t>
  </si>
  <si>
    <t>Promotion in case of marketplace item</t>
  </si>
  <si>
    <t>ExtnMKPoffer-original-price</t>
  </si>
  <si>
    <t>Original price to the marketplace item in the offer</t>
  </si>
  <si>
    <t>ExtnMKPmonto-liver-promo</t>
  </si>
  <si>
    <t>Promo related to marketplace item</t>
  </si>
  <si>
    <t>ExtnMKPprice-mx</t>
  </si>
  <si>
    <t>Marketplace item price in mexican pesos</t>
  </si>
  <si>
    <t>ExtnMKPoffer-price-mx</t>
  </si>
  <si>
    <t>Marketplace offer price in mexican pesos</t>
  </si>
  <si>
    <t>ExtnMKPoffer-orig-price-mx</t>
  </si>
  <si>
    <t>Marketplace offer original price in mexican pesos</t>
  </si>
  <si>
    <t>ExtnMKPTaxes</t>
  </si>
  <si>
    <t>Taxes in case of marketplace item</t>
  </si>
  <si>
    <t>ExtnItemService</t>
  </si>
  <si>
    <t>yfs_order_line.EXTN_ITEM_SERVICE</t>
  </si>
  <si>
    <t>Item service will be an attribute that will come from POS/APV as part of order load. OMS will pass this attribute as part of shipment to warehouse/stores. Pass Y or N.</t>
  </si>
  <si>
    <t>ExtnItemService
Possible values: Y 
Pass Y if ExtnSIItemType is equal to Guarantee at order line level of regular item</t>
  </si>
  <si>
    <t>ExtnIsFreeLine</t>
  </si>
  <si>
    <t>yfs_order_line.EXTN_IS_FREE_LINE</t>
  </si>
  <si>
    <t>Gift plus purchase requirement. Indicator to identify the free line item. Pass Y to indicate item is free.</t>
  </si>
  <si>
    <t>ExtnIsFreeLine
Value: If the line is free line then send Y. If the line is the regular line then send N</t>
  </si>
  <si>
    <t>ExtnSpecialItem</t>
  </si>
  <si>
    <t>Pass Y to indicate line item is a special item and OMS will not auto cancel them when ExtnOrderType=GRG or GRO.</t>
  </si>
  <si>
    <t>ExtnSpecialItem
NA</t>
  </si>
  <si>
    <t>ExtnDeliveryType</t>
  </si>
  <si>
    <t>Value will be "EXPRESS" for Geo located orders or blank for normal orders.</t>
  </si>
  <si>
    <t>ExtnDeliveryType
NA</t>
  </si>
  <si>
    <t>ExtnIsPromotionLine</t>
  </si>
  <si>
    <t>yfs_order_line.EXTN_IS_PROMOTION_LINE</t>
  </si>
  <si>
    <t>3X1 or 2x1 Promotion purchase requirement. Indicate to identify the promotion line item. Pass Y to indicate item is promotion.</t>
  </si>
  <si>
    <t>ExtnIsPromotionLine
If the line is the promotion line (0.01) pass Y otherwise pass N</t>
  </si>
  <si>
    <t>ExtnCustomerDeliveryDate</t>
  </si>
  <si>
    <t>TimeStamp</t>
  </si>
  <si>
    <t>2023-05-02T10:00:00-04:00</t>
  </si>
  <si>
    <t>ExtnUserName</t>
  </si>
  <si>
    <t>CR#170 - User who performed the change</t>
  </si>
  <si>
    <t>ExtnUserID</t>
  </si>
  <si>
    <t>ExtnSIItemType</t>
  </si>
  <si>
    <t>yfs_order_line.EXTN_SI_ITEM_TYPE</t>
  </si>
  <si>
    <r>
      <rPr>
        <rFont val="Arial"/>
        <color theme="1"/>
        <sz val="11.0"/>
      </rPr>
      <t xml:space="preserve">To indicate the SI Item type if SI item is Guarantee at SI line level. Pass values </t>
    </r>
    <r>
      <rPr>
        <rFont val="Arial"/>
        <b/>
        <color theme="1"/>
        <sz val="11.0"/>
      </rPr>
      <t>Guarantee</t>
    </r>
    <r>
      <rPr>
        <rFont val="Arial"/>
        <color theme="1"/>
        <sz val="11.0"/>
      </rPr>
      <t xml:space="preserve">. </t>
    </r>
  </si>
  <si>
    <t>ExtnSIItemType
Possible values:
If LineType=SI then pass: Guarantee otherwise pass empty</t>
  </si>
  <si>
    <t>ExtnPromiseEDD1</t>
  </si>
  <si>
    <t>yfs_order_line.EXTN_PROMISE_EDD1</t>
  </si>
  <si>
    <t>2025-06-06T10:00:00-06:00</t>
  </si>
  <si>
    <t>EDD1 promised to Customer in Cart while checking out</t>
  </si>
  <si>
    <t>ExtnPromiseEDD1
First date of the EDD range</t>
  </si>
  <si>
    <t>ExtnPromiseEDD1
First date of the EDD range
In case of presales or gift registry POS M will not compute an EDD</t>
  </si>
  <si>
    <r>
      <rPr>
        <rFont val="Arial"/>
        <color theme="1"/>
        <sz val="11.0"/>
      </rPr>
      <t xml:space="preserve">RMQ-FEE-FEC-ENT1
</t>
    </r>
    <r>
      <rPr>
        <rFont val="Arial"/>
        <color rgb="FF9900FF"/>
        <sz val="11.0"/>
      </rPr>
      <t>edd1</t>
    </r>
  </si>
  <si>
    <t>deliveryDate</t>
  </si>
  <si>
    <t>ExtnPromiseEDD2</t>
  </si>
  <si>
    <t>yfs_order_line.EXTN_PROMISE_EDD2</t>
  </si>
  <si>
    <t>2025-06-16T10:00:00-06:00</t>
  </si>
  <si>
    <t>EDD2 promised to Customer in Cart while checking out</t>
  </si>
  <si>
    <t>ExtnPromiseEDD2
Second date of the EDD range</t>
  </si>
  <si>
    <t>ExtnPromiseEDD2
Second date of the EDD range
In case of presales or gift registry POS M will not compute an EDD</t>
  </si>
  <si>
    <r>
      <rPr>
        <rFont val="Arial"/>
        <color theme="1"/>
        <sz val="11.0"/>
      </rPr>
      <t xml:space="preserve">RMQ-FEE-FEC-ENT2 
</t>
    </r>
    <r>
      <rPr>
        <rFont val="Arial"/>
        <color rgb="FF9900FF"/>
        <sz val="11.0"/>
      </rPr>
      <t>edd2</t>
    </r>
  </si>
  <si>
    <t>ExtnIsReturnPickup</t>
  </si>
  <si>
    <t>CR#249 - Value must be Y when the orderline type is BT</t>
  </si>
  <si>
    <t>ExtnReturnPickupDate</t>
  </si>
  <si>
    <t>CR#249 - Return order pickup date. Channels must send a date in future if it is being sent and should make sure the transit time is part of it. For example return order pickup date cannot be today.</t>
  </si>
  <si>
    <t>ExtnPauseForRDDADD</t>
  </si>
  <si>
    <t>CR#229 - Pass Y to indicate if OrderLine has to be placed on RDD_ADD Hold</t>
  </si>
  <si>
    <t>ExtnLineType</t>
  </si>
  <si>
    <t>For all BT items, pass one of the following product family values.
SO - Sales Orders: Big Ticket products of Suburbia and Liverpool, regular sales.
WS - William Sonoma
TO - Transfer orders (non customer transfers CR#230)
MC - Motor Cycles
ASS - Assembled
PRO - 24hrs promotion</t>
  </si>
  <si>
    <t>ExtnIsPreventa</t>
  </si>
  <si>
    <t>yfs_order_line.EXTN_IS_PREVENTA</t>
  </si>
  <si>
    <t>[2026/05/04 added] To indicate the merchandise as Pre-sales or not. Mandatory for pre-sales</t>
  </si>
  <si>
    <t>Y/N</t>
  </si>
  <si>
    <t>ExtnIsPreventa
[2026/05/04 added] To indicate the merchandise as Pre-sales or not. Mandatory for pre-sales
Values: Y/N</t>
  </si>
  <si>
    <t>ExtnIsPreventa
NA - don't add it</t>
  </si>
  <si>
    <t>ExtnMultiSiteType</t>
  </si>
  <si>
    <t>yfs_order_line.EXTN_MULTI_SITE_TYPE</t>
  </si>
  <si>
    <t>String(20)</t>
  </si>
  <si>
    <t>[2026/05/04 added] To indicate site of channel that purchsed merchandise like Toys.
Possible values for Toys are:
LIV - LIVERPOOL
SUB - SUBURBIA
PBA - POTERRY BARN
PBK - POTERRY BARN KIDS 
WEL - WESTELM
WSO - WILLIAM SONOMA
GAP - GAP
BNR - BANANA
TRU - TOYS RuS
BRU - Baby R Us
GAL - Galerías
DPS - Dupuis
FAB - Fabletics
DST - Disney Store
LST - Livestore
DCK - Dockers</t>
  </si>
  <si>
    <t>ExtnMultiSiteType
Indicate the multisite where the order come from
LIV - LIVERPOOL
SUB - SUBURBIA
PBA - POTERRY BARN
PBK - POTERRY BARN KIDS 
WEL - WESTELM
WSO - WILLIAM SONOMA
GAP - GAP
BNR - BANANA
TRU - TOYS RuS
BRU - Baby R Us
GAL - Galerías
DPS - Dupuis
FAB - Fabletics
DST - Disney Store
LST - Livestore
DCK - Dockers</t>
  </si>
  <si>
    <t>LExtnURLSKU</t>
  </si>
  <si>
    <t>LExtnRmqFeeUrlSK</t>
  </si>
  <si>
    <r>
      <rPr>
        <rFont val="Arial"/>
        <color theme="1"/>
        <sz val="11.0"/>
      </rPr>
      <t xml:space="preserve">RMQ-FEE-URL-SK
</t>
    </r>
    <r>
      <rPr>
        <rFont val="Arial"/>
        <color rgb="FF9900FF"/>
        <sz val="11.0"/>
      </rPr>
      <t>urlSku</t>
    </r>
  </si>
  <si>
    <t>X(120)</t>
  </si>
  <si>
    <t>LExtnCurrentIsoCode</t>
  </si>
  <si>
    <t>Currenty for MKP orders. Mandatory in case of MKP orders</t>
  </si>
  <si>
    <t>currency_iso_code</t>
  </si>
  <si>
    <t>LExtnsku-detail</t>
  </si>
  <si>
    <t>SKU attributes (Color, Size, Model)</t>
  </si>
  <si>
    <t>sku-detail</t>
  </si>
  <si>
    <t>LExtnleadtime_to_ship</t>
  </si>
  <si>
    <t>leadtime_to_ship</t>
  </si>
  <si>
    <t>LExtnbrand_id</t>
  </si>
  <si>
    <t>The description of the item.</t>
  </si>
  <si>
    <t>yes atg will send</t>
  </si>
  <si>
    <t>display_name</t>
  </si>
  <si>
    <t>The identifier for the item. The ITEM_ID, UOM, and PRODUCT_CLASS form the unique inventory identifier for an order line. The ITEM_ID, UOM and ORGANIZATION_CODE form the unique item identifier for the Product Management module.</t>
  </si>
  <si>
    <t>SB1234567890</t>
  </si>
  <si>
    <t>ItemID
Jul10.rmm.En el caso de MKP se debe mandar el SKU de SAP desde la creación de la OV, tanto en Vendor Center como hacia OMS</t>
  </si>
  <si>
    <r>
      <rPr>
        <rFont val="Arial"/>
        <color theme="1"/>
        <sz val="11.0"/>
      </rPr>
      <t xml:space="preserve">RMQ-FEE-SKU-ID
</t>
    </r>
    <r>
      <rPr>
        <rFont val="Arial"/>
        <color rgb="FF9900FF"/>
        <sz val="11.0"/>
      </rPr>
      <t>skuId</t>
    </r>
  </si>
  <si>
    <t>product-sap-sku-id</t>
  </si>
  <si>
    <t>The short description of the item.</t>
  </si>
  <si>
    <t>do we need to capture short desc apart from desc?</t>
  </si>
  <si>
    <t>The weight of the item.</t>
  </si>
  <si>
    <t>The unit of measure used for weight.</t>
  </si>
  <si>
    <t>The item identifier for the manufacturer.</t>
  </si>
  <si>
    <t>The item description for the manufacturer.</t>
  </si>
  <si>
    <t>The name of the manufacturer.</t>
  </si>
  <si>
    <t>The National Motor Freight Classification - A way of classifying goods for the purposes of transportation.</t>
  </si>
  <si>
    <t>The description of the NMFC. National Motor Freight Classification is a way of classifying goods for the purposes of transportation.</t>
  </si>
  <si>
    <t>The product class. This field is used as an inventory identifier.</t>
  </si>
  <si>
    <t>Hardcode - middleware</t>
  </si>
  <si>
    <t>ProductClass
NA</t>
  </si>
  <si>
    <t>N/A</t>
  </si>
  <si>
    <t>The product line for the item.</t>
  </si>
  <si>
    <t>The Schedule B commodity codes - A 10-digit numeric codes used to identify products that are exported to other countries.</t>
  </si>
  <si>
    <t>The item ID of the supplier (if this is a PO or the line is being drop-shipped and the supplier is known upfront).</t>
  </si>
  <si>
    <t>The item description of the supplier (if this is a PO or line is being drop-shipped and the supplier is known upfront).</t>
  </si>
  <si>
    <t>The product code classification for the purposes of taxation.</t>
  </si>
  <si>
    <t>plz review if needed</t>
  </si>
  <si>
    <t>The UPC Code of the item.</t>
  </si>
  <si>
    <t>The unit cost of the item.</t>
  </si>
  <si>
    <t>SupplierItem</t>
  </si>
  <si>
    <t>yfs_order_line.supplier_item</t>
  </si>
  <si>
    <t>Unique identifier for the vendor/supplier for marketplace items only.</t>
  </si>
  <si>
    <t>VendorID_1</t>
  </si>
  <si>
    <t>SupplierItem
Marketplace vendor</t>
  </si>
  <si>
    <r>
      <rPr>
        <rFont val="Arial"/>
        <color theme="1"/>
        <sz val="11.0"/>
      </rPr>
      <t xml:space="preserve">RMQ-SELLER-ID
</t>
    </r>
    <r>
      <rPr>
        <rFont val="Arial"/>
        <color rgb="FF9900FF"/>
        <sz val="11.0"/>
      </rPr>
      <t>sellerId</t>
    </r>
  </si>
  <si>
    <t>The unit of measure.</t>
  </si>
  <si>
    <t>UN</t>
  </si>
  <si>
    <t>yes, atg will send and middleware will translate</t>
  </si>
  <si>
    <t>UnitOfMeasure
Constant: UN</t>
  </si>
  <si>
    <t>ExtnRegion</t>
  </si>
  <si>
    <t>Value will be "MICRO" for Geo located orders or blank for normal orders.</t>
  </si>
  <si>
    <t>ExtnRegion
NA</t>
  </si>
  <si>
    <t>A user specified label for an address.</t>
  </si>
  <si>
    <t>The address line 1 field.</t>
  </si>
  <si>
    <t>yes</t>
  </si>
  <si>
    <t>Address
AddressLine1 (Calle)</t>
  </si>
  <si>
    <t>The address line 2 field.</t>
  </si>
  <si>
    <t>yes, and include address line 3</t>
  </si>
  <si>
    <t>AddressLine2 (NúmeroExterior)</t>
  </si>
  <si>
    <t>The address line 3 field.</t>
  </si>
  <si>
    <t>AddressLine3 (NúmeroInterior y Edificio)</t>
  </si>
  <si>
    <t>The address line 4 field.</t>
  </si>
  <si>
    <t>The address line 5 field.</t>
  </si>
  <si>
    <t>The address line 6 field.</t>
  </si>
  <si>
    <t>The alternate email address at which the person or a predesignated employee of the organization referred to in the address can be contacted.</t>
  </si>
  <si>
    <t>The beeper number at which the person or a predesignated employee of the organization referred to in the address can be called.</t>
  </si>
  <si>
    <t>AddressLine4</t>
  </si>
  <si>
    <t>AddressLine4 (Colonia)</t>
  </si>
  <si>
    <t>AddressLine5</t>
  </si>
  <si>
    <t>AddressLine5 (Municipio o Delegación)</t>
  </si>
  <si>
    <t>AddressLine6</t>
  </si>
  <si>
    <t>AddressLine6 (Entre calles)
Concatenar EntreCalles
rmm.29112021, dividir con un PIPE las calles</t>
  </si>
  <si>
    <t>The city in the address.</t>
  </si>
  <si>
    <t>City
Municipio / Alcaldía</t>
  </si>
  <si>
    <t>The company this person is associated with.</t>
  </si>
  <si>
    <t>not used</t>
  </si>
  <si>
    <t>The country in the address.</t>
  </si>
  <si>
    <t>MX</t>
  </si>
  <si>
    <t>two letter country code. Yes</t>
  </si>
  <si>
    <t>Country</t>
  </si>
  <si>
    <t>The day time fax at which the person or a predesignated employee of the organization referred to in the address can be notified.</t>
  </si>
  <si>
    <t>The day time phone at which the person or organization referred to in the address can be called.</t>
  </si>
  <si>
    <t>DayPhone</t>
  </si>
  <si>
    <t>The primary department in charge of procurement.</t>
  </si>
  <si>
    <t>The email address at which the person or a predesignated employee of the organization referred to in the address can be contacted.</t>
  </si>
  <si>
    <t>EMailID</t>
  </si>
  <si>
    <t>The evening time fax at which the person or a predesignated employee of the organization referred to in the address can be notified.</t>
  </si>
  <si>
    <t>The evening time phone at which the person or organization referred to in the address can be called.</t>
  </si>
  <si>
    <t>The first name of the person.</t>
  </si>
  <si>
    <t>FirstName</t>
  </si>
  <si>
    <t>Indicates whether the address is commercial, residential or none. Values of this field can be Y -Commercial address.N - Residential address. undefined for Null.</t>
  </si>
  <si>
    <t>The job title of the person.</t>
  </si>
  <si>
    <t>The last name of the person.</t>
  </si>
  <si>
    <t>LastName</t>
  </si>
  <si>
    <t>The middle name of the person.</t>
  </si>
  <si>
    <t>MiddleName</t>
  </si>
  <si>
    <t>The alternate phone number at which the person or a predesignated employee of the organization referred to in the address can be called.</t>
  </si>
  <si>
    <t>The unique identifier for a person.</t>
  </si>
  <si>
    <t>The mobile phone at which the person or a predesignated employee of the organization referred to in the address can be called.</t>
  </si>
  <si>
    <t>The state in the address.</t>
  </si>
  <si>
    <t>CHIHUAHUA</t>
  </si>
  <si>
    <t>yes, ATG sends the complete state value and not code</t>
  </si>
  <si>
    <t>State</t>
  </si>
  <si>
    <t>The suffix for a person, such as Jr., or Sr.</t>
  </si>
  <si>
    <t>no</t>
  </si>
  <si>
    <t>Vacío</t>
  </si>
  <si>
    <t>The tax geo code for this location. Intended for future use.</t>
  </si>
  <si>
    <t>The title for the person such as Ms., Mr., or Dr..</t>
  </si>
  <si>
    <t>Indicates if this address has been verified by an address verification service or not. ATG will use this to indicate new/unverified addresses</t>
  </si>
  <si>
    <t>Y,N</t>
  </si>
  <si>
    <t>IsAddressVirified
Constante: N
Asignar en Middleware</t>
  </si>
  <si>
    <t>The zip code in the address.</t>
  </si>
  <si>
    <t>ZipCode</t>
  </si>
  <si>
    <t xml:space="preserve">Data Mapping Approval </t>
  </si>
  <si>
    <t>Project Name and PID:</t>
  </si>
  <si>
    <t>Approvers</t>
  </si>
  <si>
    <t>Title:</t>
  </si>
  <si>
    <t>Name:</t>
  </si>
  <si>
    <t>Signature:</t>
  </si>
  <si>
    <t>Approved ?</t>
  </si>
  <si>
    <r>
      <rPr>
        <rFont val="Arial Narrow"/>
        <b/>
        <color theme="1"/>
        <sz val="18.0"/>
      </rPr>
      <t xml:space="preserve">Fault Definitions (for </t>
    </r>
    <r>
      <rPr>
        <rFont val="Arial Narrow"/>
        <b/>
        <color rgb="FF0000FF"/>
        <sz val="20.0"/>
      </rPr>
      <t>Synchronous</t>
    </r>
    <r>
      <rPr>
        <rFont val="Arial Narrow"/>
        <b/>
        <color theme="1"/>
        <sz val="18.0"/>
      </rPr>
      <t xml:space="preserve"> interfaces)</t>
    </r>
  </si>
  <si>
    <t>AuthReturnCode</t>
  </si>
  <si>
    <t>User Message</t>
  </si>
  <si>
    <t>Detail Message</t>
  </si>
  <si>
    <t>Recovery Action</t>
  </si>
  <si>
    <t>01</t>
  </si>
  <si>
    <t>Approved / Success</t>
  </si>
  <si>
    <t>Successful response</t>
  </si>
  <si>
    <t>02</t>
  </si>
  <si>
    <t>Error Condition 2</t>
  </si>
  <si>
    <t>03</t>
  </si>
  <si>
    <t>Error Condition 3</t>
  </si>
  <si>
    <t>08</t>
  </si>
  <si>
    <t>Error Condition 8</t>
  </si>
  <si>
    <t>Error Condition 15</t>
  </si>
  <si>
    <t>Error Condition 20</t>
  </si>
  <si>
    <t>Error Condition 29</t>
  </si>
  <si>
    <t>Invalid input</t>
  </si>
  <si>
    <t>All Other Error Codes</t>
  </si>
  <si>
    <t>The system is currently unavailable, please try again later</t>
  </si>
  <si>
    <t>Free-form text indicating any additional information related to the instruction type. For example, carrier</t>
  </si>
  <si>
    <t>Categorization of instructions so that they can be grouped together for reference. For example, you may have instructions of type Pick, Pack, and Ship for an order.</t>
  </si>
  <si>
    <t>GIFTMSG</t>
  </si>
  <si>
    <t>The URL relating to and/or containing the instructions.</t>
  </si>
  <si>
    <t>You could have an instruction exceeding the limits of a single record. Sequence number is used to provide a way to store a link between such instructions.</t>
  </si>
  <si>
    <t>The discount percentage is the percentage decrease in price between the list and unit price for a given buyer. This value is calculated by subtracting the difference between the list price and unit price and divided by the list price.</t>
  </si>
  <si>
    <t>This flag indicates whether price information passed on the line is for information only. If it is 'Y' then line total will not be considered in order total. If it is not passed or passed as 'N' then line total is considered in order total. If this flag i</t>
  </si>
  <si>
    <t>This flag indicates whether UnitPrice passed at LinePriceInfo element must be used and price determination ignored, if price determination is configured and enabled. Valid values are 'Y' or 'N'. Default value is 'N'.</t>
  </si>
  <si>
    <t>IsPriceLocked
Constante: Y
Asignar en Middleware</t>
  </si>
  <si>
    <t>the list price of the item. This is an informational field.</t>
  </si>
  <si>
    <t>do we need any of price attributes to determine validation around margin check?</t>
  </si>
  <si>
    <t>ListPrice</t>
  </si>
  <si>
    <t>ListPrice
Precio antes de promo</t>
  </si>
  <si>
    <t>The pricing quantity conversion factor. This field is used for finding Pricing_Quantity, using Ordered_Quantity.</t>
  </si>
  <si>
    <t>Pricing Quantity Strategy. Can be Fixed</t>
  </si>
  <si>
    <t>The pricing UOM for the order line. If "PricingUOM" is not passed it will be defaulted from Catalog. If "PricingUOM" is passed and different from inventory uom, "PricingQtyConversionFactor" attribute will be used for pricing quantity conversion. If "Prici</t>
  </si>
  <si>
    <t>EACH</t>
  </si>
  <si>
    <t>The retail price of the item. this is an informational field.</t>
  </si>
  <si>
    <t>RetailPrice
NA</t>
  </si>
  <si>
    <t>Original Unit price</t>
  </si>
  <si>
    <t>The Tax Exemption Certificate applied to this order line.</t>
  </si>
  <si>
    <t>This flag indicates whether this order line is taxable or not. This field is for informational purposes only. Currently, it is not used in any tax calculations. If not passed, this flag is defaulted to that of item in the catalog, if exists, else it is de</t>
  </si>
  <si>
    <t>Hardcode</t>
  </si>
  <si>
    <t>UnitePrice</t>
  </si>
  <si>
    <t>The unit price for the order line.</t>
  </si>
  <si>
    <t>UnitPrice
Precio final después de promo</t>
  </si>
  <si>
    <r>
      <rPr>
        <rFont val="Arial"/>
        <color theme="1"/>
        <sz val="11.0"/>
      </rPr>
      <t xml:space="preserve">RMQ-IMP-NETO
</t>
    </r>
    <r>
      <rPr>
        <rFont val="Arial"/>
        <color rgb="FF9900FF"/>
        <sz val="11.0"/>
      </rPr>
      <t>importeNeto</t>
    </r>
  </si>
  <si>
    <t>Num(09) Dec(2)</t>
  </si>
  <si>
    <t>price</t>
  </si>
  <si>
    <t>/Order/OrderLines/OrderLine/References/</t>
  </si>
  <si>
    <t>/Order/OrderLines/OrderLine/References/Reference</t>
  </si>
  <si>
    <t>Array of Reference</t>
  </si>
  <si>
    <t>yfs_reference_table.field_name</t>
  </si>
  <si>
    <t>Use the reference name and value pair to send any pass through attribue and values. OMS will not use these values to drive any business logic. Set the pass through attributes as key. E.g ExtnMKPLiverPromoLabel
The &lt;Reference&gt; element can be repeated for as many times as required.
CR#101- Service line - It is mandatory for channels to pass the value to Name attribute as "PARENT_ITEM_ID"</t>
  </si>
  <si>
    <t>ExtnMKPLiverPromoLabel - Promotion in case of marketplace item
ExtnMKPoffer-original-price - Original price to the marketplace item in the offer
ExtnMKPmonto-liver-promo - Promo related to marketplace item
ExtnMKPprice-mx - Marketplace item price in mexican pesos
ExtnMKPoffer-price-mx - Marketplace offer price in mexican pesos
ExtnMKPoffer-orig-price-mx - Marketplace offer original price in mexican pesos
ExtnMKPTaxes - Taxes in case of marketplace item
ExtnReqDeliveryDate - Delivery date from sales channel
PARENT_ITEM_ID - "Parent SKU for SI item"
CarrierServiceCode
Store: Store from where order can be fulfilled in case of flash option
Promotion1
DiscountAmount
Promotion2
PlanBbyOMS - EDD1 calculated using PlanB by which systems. Channels will receive this in I1001 response.
PlanCbyOMS -  EDD1 calculated using PlanC by which systems. Channels will receive this in I1001 response.
PlanBbyFEE - EDD1 calculated using PlanB by which systems. Channels will receive this in I1001 response.</t>
  </si>
  <si>
    <t>ExtnMKPLiverPromoLabel - Promotion in case of marketplace item
ExtnMKPoffer-original-price - Original price to the marketplace item in the offer
ExtnMKPmonto-liver-promo - Promo related to marketplace item
ExtnMKPprice-mx - Marketplace item price in mexican pesos
ExtnMKPoffer-price-mx - Marketplace offer price in mexican pesos
ExtnMKPoffer-orig-price-mx - Marketplace offer original price in mexican pesos
ExtnMKPTaxes - Taxes in case of marketplace item
ExtnReqDeliveryDate - Delivery date from sales channel
PARENT_ITEM_ID - "Parent SKU for SI item"
CarrierServiceCode
Store: Store from where order can be fulfilled in case of flash option
Promotion1
DiscountAmount
Promotion2
PlanBbyOMS - EDD1 calculated using PlanB by which systems
PlanCbyOMS -  EDD1 calculated using PlanC by which systems
PlanBbyFEE - EDD1 calculated using PlanB by which systems</t>
  </si>
  <si>
    <t>if /Order/OrderLines/OrderLine/References/Reference/Name=ExtnMKPLiverPromoLabel then 
liver-promo-label=/Order/OrderLines/OrderLine/References/Reference/Value
if /Order/OrderLines/OrderLine/References/Reference/Name=ExtnMKPmonto-liver-promo then 
monto-liver-promo=/Order/OrderLines/OrderLine/References/Reference/Value</t>
  </si>
  <si>
    <t>yfs_reference_table.field_value</t>
  </si>
  <si>
    <t>Set the corresponding value of the attribute. E.g set the employee number if the @Name was set as ExtnEmployeeNumber
CR#101- Service line - It is mandatory for channels to pass the value to Name attribute = "PARENT_ITEM_ID" and Value = "&lt;ItemId of the BT line to which this service line item it associated with&gt;"</t>
  </si>
  <si>
    <t>El valor de cada uno de los campos mencionados en la celda de arriba deberá ser tomado de este campo de Value de manera correspondiente
CarrierServiceCode: possible values HD0D or HD1D</t>
  </si>
  <si>
    <t>Link to YFS_CHARGE_CATEGORY.</t>
  </si>
  <si>
    <t>CR_ITEM_DISC</t>
  </si>
  <si>
    <t>Link to YFS_CHARGE_NAME.</t>
  </si>
  <si>
    <t>SHIP_000018, TOTAL_DISC</t>
  </si>
  <si>
    <t>decimal</t>
  </si>
  <si>
    <t>15,2</t>
  </si>
  <si>
    <t>Fixed charge amount for this order/invoice line. When the line charge is associated with an order line, this amount will be invoiced on the first invoice for this order line.</t>
  </si>
  <si>
    <t>Charge per unit for the item on this order/invoice line.</t>
  </si>
  <si>
    <t>Determines whether the charge was manually created. If null, then assumed to be Y.</t>
  </si>
  <si>
    <t>Any additional reference related to this line charge.</t>
  </si>
  <si>
    <t>The charge category for which tax is being charged. For example, Labeling or Handling. To specify the tax for the line price, use the charge category Price .</t>
  </si>
  <si>
    <t>SALES_TAX</t>
  </si>
  <si>
    <t>Charge name for which tax is being charged. For example, Price Ticket.</t>
  </si>
  <si>
    <t>Additional reference information. This field can be customized by the Enterprise.</t>
  </si>
  <si>
    <t>The tax amount.</t>
  </si>
  <si>
    <t>Relevant Documentation</t>
  </si>
  <si>
    <t>The tax name.</t>
  </si>
  <si>
    <t>Detailed Design - Inventory.docx (TBD)</t>
  </si>
  <si>
    <t>Percentage amount for tax calculation.</t>
  </si>
  <si>
    <t>This flag indicates if a charge can be taxed.</t>
  </si>
  <si>
    <t>Name of the reference. Required if the</t>
  </si>
  <si>
    <t>Cross reference to the customer item.</t>
  </si>
  <si>
    <t>Assumptions</t>
  </si>
  <si>
    <t>Customer item description.</t>
  </si>
  <si>
    <t>Department that deals with this item.</t>
  </si>
  <si>
    <t>Description for the item.</t>
  </si>
  <si>
    <t>The unique identifer for the component item.</t>
  </si>
  <si>
    <t>short description for the item.</t>
  </si>
  <si>
    <t>Weight of the item.</t>
  </si>
  <si>
    <t>Unit of measure of the ITEM_WEIGHT attribute.</t>
  </si>
  <si>
    <t>The number of components required to one kit.</t>
  </si>
  <si>
    <t>Component Product Class.</t>
  </si>
  <si>
    <t>Cross reference to the supplier ietm.</t>
  </si>
  <si>
    <t>Supplier item description.</t>
  </si>
  <si>
    <t>UPC code for the item.</t>
  </si>
  <si>
    <t>Unit cost of the component item.</t>
  </si>
  <si>
    <t>Component Unit Of Measure.</t>
  </si>
  <si>
    <t>The number of components required to create one kit.</t>
  </si>
  <si>
    <t>Identifies the type of address. Part of unique key</t>
  </si>
  <si>
    <t>The batch number that has been specified on the scheduled order line.</t>
  </si>
  <si>
    <t>The quantity change to be applied.</t>
  </si>
  <si>
    <t>The lot number that has been specified on the scheduled order line.</t>
  </si>
  <si>
    <t>The revision number that has been specified on the scheduled order line.</t>
  </si>
  <si>
    <t>Quantity.</t>
  </si>
  <si>
    <t>Both DependentOnPrimeLineNo and DependentOnSubLineNo must be passed for dependent OrderLines. 
Is it in MVP SCOPE:</t>
  </si>
  <si>
    <t xml:space="preserve">Both DependentOnPrimeLineNo and DependentOnSubLineNo must be passed for dependent OrderLines. </t>
  </si>
  <si>
    <t>This is a virtual field meant to identify</t>
  </si>
  <si>
    <t>Actual Date.</t>
  </si>
  <si>
    <t>It is a data attribute to store committed dates from supplier.</t>
  </si>
  <si>
    <t>The unique identifier for a date type for which additional dates are stored.</t>
  </si>
  <si>
    <t>Expected Date.</t>
  </si>
  <si>
    <t>Requested Date.</t>
  </si>
  <si>
    <t>The Batch Number that has been specifed in the Order Line.</t>
  </si>
  <si>
    <t>Lot Attribute 1 used to specify the details of the lot.</t>
  </si>
  <si>
    <t>Lot Attribute 2 used to specify the details of the lot.</t>
  </si>
  <si>
    <t>Lot Attribute 3 used to specify the details of the lot.</t>
  </si>
  <si>
    <t>The Lot key reference that has been specifed in the Order Line.</t>
  </si>
  <si>
    <t>The Lot Number that has been specifed in the Order Line.</t>
  </si>
  <si>
    <t>The Lot manufacturing date that has been specifed in the Order Line.</t>
  </si>
  <si>
    <t>The Revision Number that has been specifed in the Order Line.</t>
  </si>
  <si>
    <t>The unique identifier for the Product Item. The item ID, UOM and OrganizationCode form the unique item identifier for Product Item.</t>
  </si>
  <si>
    <t>Product item quantity.</t>
  </si>
  <si>
    <t>Unit of measure of the product item.</t>
  </si>
  <si>
    <t>The batch number that has been specified on the reservation.</t>
  </si>
  <si>
    <t>The inventory demand type used by the reservation. For all user-created reservations, this will be defaulted from the document params. When promising server is present and existing inventory reservation is used in order line reservation, pass same DemandT</t>
  </si>
  <si>
    <t>The reserved item.</t>
  </si>
  <si>
    <t>The lot number that has been specified on the reservation.</t>
  </si>
  <si>
    <t>The ship node at which the item has been reserved.</t>
  </si>
  <si>
    <t>The reserved item's product class.</t>
  </si>
  <si>
    <t>The quantity to reserve.</t>
  </si>
  <si>
    <t>The date when the reserved inventory is needed, such as the shipping date.</t>
  </si>
  <si>
    <t>The reservation ID from an existing inventory reservation. If the reservation exists, that quantity will be consumed first. Any quantity that cannot be obtained from the reservation will be reserved on the fly. If</t>
  </si>
  <si>
    <t>The revision number that has been specified on the reservation.</t>
  </si>
  <si>
    <t>The reserved item's unit of measure.</t>
  </si>
  <si>
    <t>Determines whether all Promotions, except those listed below, should be removed.</t>
  </si>
  <si>
    <t>Action to perform on this promotion.</t>
  </si>
  <si>
    <t>If the promotion is denied, the reason for the denial.</t>
  </si>
  <si>
    <t>ExclusivityID is used to group set of Promotions for mutual exclusivity. Exclusivity Type settings are applicable among Pricing Rules having same ExclusvityID.</t>
  </si>
  <si>
    <t>Exclusivity Type of the Promotion. Valid Values are: ALL, RULE_TYPE_ITEM, RULE_TYPE_ORDER, ONE_RULE_WITHIN_ID and GLOBAL_RULE</t>
  </si>
  <si>
    <t>This flag specifies whether the promotion is external.</t>
  </si>
  <si>
    <t>For promotions, the overridden Adjustment value used in place of the configured Adjustment of the corresponding Pricing Rule Action.</t>
  </si>
  <si>
    <t>For Coupon promotions, the overridden maximum adjustment value for the coupon pricing rule.</t>
  </si>
  <si>
    <t>This attribute is used to prioritize Promotion among a list of applicable Promotions with same Exclusivity settings. Higher the value of this attribute, higher the priority of Promotion, to be applied to an order/item.</t>
  </si>
  <si>
    <t>A flag indicating if the promotion is applied. When ValidateReferences=Y the value can be 'P' meaning the promotion was partially applied.</t>
  </si>
  <si>
    <t>Specifies category of external promotion. Valid values are ORDER,ITEM and SHIPPING</t>
  </si>
  <si>
    <t>This identifies the promotion that is added to this order. This will be used as the CouponID when determining the price of the order.</t>
  </si>
  <si>
    <t>The type of promotion. Like DISCOUNT, BOGO.</t>
  </si>
  <si>
    <t>For Coupon promotions, if</t>
  </si>
  <si>
    <t>Action to perform on this</t>
  </si>
  <si>
    <t>The amount of discount or charge that was applied as a part of this award.</t>
  </si>
  <si>
    <t>A flag indicating if the award is applied. When ValidateReferences=Y the value can be 'P' meaning the award was partially applied</t>
  </si>
  <si>
    <t>A unique identifier for the award. If pricing is maintained within the system, this will be the PricingRuleName of the pricing rule that created this award.</t>
  </si>
  <si>
    <t>Indicates the remaining free gift quantity available for the promotion.</t>
  </si>
  <si>
    <t>The type of award. If pricing is maintained within the system, this will be the RuleCategory of the pricing rule that created this award.</t>
  </si>
  <si>
    <t>The charge category of the LineCharge or HeaderCharge for which this award was created.</t>
  </si>
  <si>
    <t>The charge name of the LineCharge or HeaderCharge for which this award was created.</t>
  </si>
  <si>
    <t>If the award is denied, the reason for the denial.</t>
  </si>
  <si>
    <t>A description for the award. If pricing is maintained within the system, this will be the Description of the pricing rule that created this award.</t>
  </si>
  <si>
    <t>Indicates that the award is associated with a free gift rule.</t>
  </si>
  <si>
    <t>Reason this promotion was applied.</t>
  </si>
  <si>
    <t>This identifies the promotion that is added to this order.</t>
  </si>
  <si>
    <t>Specifies whether the reference is unique or not.</t>
  </si>
  <si>
    <t>Reference value within a particular promotion. For example a unique coupon barcode.</t>
  </si>
  <si>
    <t>Sequence number for each reference entry.</t>
  </si>
  <si>
    <t>The identifier of the order modification audit that caused this record.</t>
  </si>
  <si>
    <t>If the notes were entered because of customer contact by phone, the phone no can be stored in this column. If the contact is by email, email ID can be stored here.</t>
  </si>
  <si>
    <t>The time at which the customer contact occurred.</t>
  </si>
  <si>
    <t>The contact type like Phone call, email etc. The values will be selected from common code of code type "CONTACT_TYPE"</t>
  </si>
  <si>
    <t>The user who made the contact. The default value will the logged in user.</t>
  </si>
  <si>
    <t>The customer satisfaction level.</t>
  </si>
  <si>
    <t>Detailed Notes.</t>
  </si>
  <si>
    <t>Priority of the note. 1 is High, 0 is Low.</t>
  </si>
  <si>
    <t>The reason for which the notes are logged. Like "CustomerContact" etc. The values will be selected from common code of code type "NOTES_REASON"</t>
  </si>
  <si>
    <t>The sequence of the note.</t>
  </si>
  <si>
    <t>This flag determines whether the note applied should be visible to all users. This field is used for filtering. No logic is currently applied to it.</t>
  </si>
  <si>
    <t>Primary key generated by the system. May be passed to identify the</t>
  </si>
  <si>
    <t>The order line number. Must be passed with the</t>
  </si>
  <si>
    <t>Must be passed with the</t>
  </si>
  <si>
    <t>A virtual field meant to identify order lines when</t>
  </si>
  <si>
    <t>The code identifying the hold type to be applied on Order.</t>
  </si>
  <si>
    <t>The reason text associates to the order hold type.</t>
  </si>
  <si>
    <t>This is the user who can resolve or reject this hold. This field maps to User_Id field of YFS_Customer_Contact.</t>
  </si>
  <si>
    <t>This flag indicates whether the order line's min/max quantity limits have been overridden. Valid values: 'Y' or 'N'.</t>
  </si>
  <si>
    <t>This flag indicates whether item validation is enabled. Valid Values: Y or N. Default: Y</t>
  </si>
  <si>
    <t>Flag to indicate if the AdditionalLinePrice is Price-Locked. If passed with a value of Y, internal logic will use the passed Price from input for calculation instead of the Price generated by the Pricing Engine.</t>
  </si>
  <si>
    <t>Flag to indicate that his Price Type is for informational use only.</t>
  </si>
  <si>
    <t>Operation to perform</t>
  </si>
  <si>
    <t>Price value of the corresponding Price Type.</t>
  </si>
  <si>
    <t>Price Type associated with this record.</t>
  </si>
  <si>
    <t>Primary key generated by the system.</t>
  </si>
  <si>
    <t>The order line number. Part of an order line's unique key.</t>
  </si>
  <si>
    <t>Part of unique key of line.</t>
  </si>
  <si>
    <t>The type of relationship between the parent and the child line. There is no validation for the</t>
  </si>
  <si>
    <t>datetime</t>
  </si>
  <si>
    <t>Free-form text indicating any additional information related to the instruction type or otherwise.</t>
  </si>
  <si>
    <t>for this phase ATG will always send shipping address into Bill TO</t>
  </si>
  <si>
    <t>REG-MQ-RMT-DAT (mandar vacíos los campos asociales a esta estructura)</t>
  </si>
  <si>
    <t>address line 3 is required</t>
  </si>
  <si>
    <r>
      <rPr>
        <rFont val="Arial"/>
        <strike/>
        <color rgb="FFFF0000"/>
        <sz val="11.0"/>
      </rPr>
      <t>O</t>
    </r>
    <r>
      <rPr>
        <rFont val="Arial"/>
        <color theme="1"/>
        <sz val="11.0"/>
      </rPr>
      <t xml:space="preserve">
M</t>
    </r>
  </si>
  <si>
    <r>
      <rPr>
        <rFont val="Arial"/>
        <strike/>
        <color rgb="FFFF0000"/>
        <sz val="11.0"/>
      </rPr>
      <t>O</t>
    </r>
    <r>
      <rPr>
        <rFont val="Arial"/>
        <color theme="1"/>
        <sz val="11.0"/>
      </rPr>
      <t xml:space="preserve">
M</t>
    </r>
  </si>
  <si>
    <t>customer.shipping_address.street_1
Mapear valor antes del pipe
customer.shipping_address.street_2
Mapear valor después del pipe</t>
  </si>
  <si>
    <t>customer.billing_address.city</t>
  </si>
  <si>
    <t>yes, 2 letter code</t>
  </si>
  <si>
    <t>Country
País</t>
  </si>
  <si>
    <t>customer.billing_address.country</t>
  </si>
  <si>
    <t>DayPhone
Teléfono celular</t>
  </si>
  <si>
    <t>ShippingInfo:Phone1</t>
  </si>
  <si>
    <t>EmailID</t>
  </si>
  <si>
    <t>customer.billing_address.firstname</t>
  </si>
  <si>
    <t>customer.billing_address.lastname</t>
  </si>
  <si>
    <t>yes, should be in shipping too</t>
  </si>
  <si>
    <t>yfs_person_info.day_phone</t>
  </si>
  <si>
    <t>State
jun11.rmm.código de estado. Ej San Luis Potosí: SLP</t>
  </si>
  <si>
    <t>State
Código de estado. Ej San Luis Potosí: SLP</t>
  </si>
  <si>
    <t>customer.billing_address.state</t>
  </si>
  <si>
    <t>customer.billing_address.zip_code</t>
  </si>
  <si>
    <t>For STH - customer's home address.
For CnC - Preferred Pickup Store address.</t>
  </si>
  <si>
    <r>
      <rPr>
        <rFont val="Arial"/>
        <color theme="1"/>
        <sz val="11.0"/>
      </rPr>
      <t xml:space="preserve">RMQ-DST-CALLE-DSC
</t>
    </r>
    <r>
      <rPr>
        <rFont val="Arial"/>
        <color rgb="FF9900FF"/>
        <sz val="11.0"/>
      </rPr>
      <t>AddressLine1</t>
    </r>
  </si>
  <si>
    <t>X(150)</t>
  </si>
  <si>
    <t>json.order_additional_fields.code = "calle-cliente"
json.order_additional_fields.type = "STRING"
json.order_additional_fields.value = AddressLine1</t>
  </si>
  <si>
    <r>
      <rPr>
        <rFont val="Calibri"/>
        <color theme="1"/>
      </rPr>
      <t xml:space="preserve">RMQ-DST-EXT-INT
Se concatena AddressLine2 + LExtnAddressLineNINT
</t>
    </r>
    <r>
      <rPr>
        <rFont val="Calibri"/>
        <color rgb="FF9900FF"/>
      </rPr>
      <t>NumExtInt - AddressLine2 + LExtnAddressLineNINT will be concatenated</t>
    </r>
  </si>
  <si>
    <t>X(25)</t>
  </si>
  <si>
    <t>json.order_additional_fields.code = "num-ext-cliente"
json.order_additional_fields.type = "STRING"
json.order_additional_fields.value = AddressLine2</t>
  </si>
  <si>
    <t>Sin numero en caso de no contar con el dato</t>
  </si>
  <si>
    <t>json.order_additional_fields.code = "num-int-cliente"
json.order_additional_fields.type = "STRING"
json.order_additional_fields.value = AddressLine3
json.order_additional_fields.code = "edificio-cliente"
json.order_additional_fields.type = "STRING"
json.order_additional_fields.value = AddressLine3</t>
  </si>
  <si>
    <t>LExtnAddressLineNINT</t>
  </si>
  <si>
    <t>LExtnAddressLineEDIFICIO</t>
  </si>
  <si>
    <r>
      <rPr>
        <rFont val="Arial"/>
        <color theme="1"/>
        <sz val="11.0"/>
      </rPr>
      <t xml:space="preserve">RMQ-DST-EDIFICIO
</t>
    </r>
    <r>
      <rPr>
        <rFont val="Arial"/>
        <color rgb="FF9900FF"/>
        <sz val="11.0"/>
      </rPr>
      <t>Edificio</t>
    </r>
  </si>
  <si>
    <t>X(20)</t>
  </si>
  <si>
    <r>
      <rPr>
        <rFont val="Arial"/>
        <strike/>
        <color rgb="FFFF0000"/>
        <sz val="11.0"/>
      </rPr>
      <t>O</t>
    </r>
    <r>
      <rPr>
        <rFont val="Arial"/>
        <color theme="1"/>
        <sz val="11.0"/>
      </rPr>
      <t xml:space="preserve">
M</t>
    </r>
  </si>
  <si>
    <r>
      <rPr>
        <rFont val="Arial"/>
        <color theme="1"/>
        <sz val="11.0"/>
      </rPr>
      <t xml:space="preserve">RMQ-DST-COL-DSC
</t>
    </r>
    <r>
      <rPr>
        <rFont val="Arial"/>
        <color rgb="FF9900FF"/>
        <sz val="11.0"/>
      </rPr>
      <t>AddressLine4</t>
    </r>
  </si>
  <si>
    <t>X(254)</t>
  </si>
  <si>
    <t>json.order_additional_fields.code = "colonia-cliente"
json.order_additional_fields.type = "STRING"
json.order_additional_fields.value = AddressLine4</t>
  </si>
  <si>
    <r>
      <rPr>
        <rFont val="Arial"/>
        <strike/>
        <color rgb="FFFF0000"/>
        <sz val="11.0"/>
      </rPr>
      <t>O</t>
    </r>
    <r>
      <rPr>
        <rFont val="Arial"/>
        <color theme="1"/>
        <sz val="11.0"/>
      </rPr>
      <t xml:space="preserve">
M</t>
    </r>
  </si>
  <si>
    <t>AddressLine5 (Municipio o Alcaldía)</t>
  </si>
  <si>
    <t>json.order_additional_fields.code = "delegacion-municipio-cliente"
json.order_additional_fields.type = "STRING"
json.order_additional_fields.value = AddressLine5</t>
  </si>
  <si>
    <t>AddressLine6 (Entre calles)
Concatenar EntreCalles
Dividir con un PIPE las calles</t>
  </si>
  <si>
    <r>
      <rPr>
        <rFont val="Arial"/>
        <color theme="1"/>
        <sz val="11.0"/>
      </rPr>
      <t xml:space="preserve">RMQ-DST-ENTRE-C1  |  RMQ-DST-ENTRE-C2
*Mapear valor C1 antes del pipe '|' despues del pipe el valor C2*
</t>
    </r>
    <r>
      <rPr>
        <rFont val="Arial"/>
        <color rgb="FF9900FF"/>
        <sz val="11.0"/>
      </rPr>
      <t>This field will be split by pipes (|); it's necessary to map:
"EntreCalle" before the pipe | and 
"yEntreCalle" after the pipe |</t>
    </r>
  </si>
  <si>
    <t>X(30) para ENTRE-C1
X(30) para ENTRE-C2</t>
  </si>
  <si>
    <t>customer.billing_address.street_1
Mapear valor antes del pipe
customer.billing_address.street_2
Mapear valor después del pipe
json.order_additional_fields.code = "entre-calles"
json.order_additional_fields.type = "STRING"
json.order_additional_fields.value = AddressLine6</t>
  </si>
  <si>
    <r>
      <rPr>
        <rFont val="Arial"/>
        <color theme="1"/>
        <sz val="11.0"/>
      </rPr>
      <t xml:space="preserve">RMQ-DST-MUN-DSC
</t>
    </r>
    <r>
      <rPr>
        <rFont val="Arial"/>
        <color rgb="FF9900FF"/>
        <sz val="11.0"/>
      </rPr>
      <t>DelegMunic</t>
    </r>
  </si>
  <si>
    <t>X(30)</t>
  </si>
  <si>
    <t>customer.shipping_address.city</t>
  </si>
  <si>
    <t>customer.country</t>
  </si>
  <si>
    <r>
      <rPr>
        <rFont val="Arial"/>
        <color theme="1"/>
        <sz val="11.0"/>
      </rPr>
      <t xml:space="preserve">RMQ-DST-EMAIL
</t>
    </r>
    <r>
      <rPr>
        <rFont val="Arial"/>
        <color rgb="FF9900FF"/>
        <sz val="11.0"/>
      </rPr>
      <t>EMailID</t>
    </r>
  </si>
  <si>
    <t>customer.shipping_address.firstname</t>
  </si>
  <si>
    <t>customer.shipping_address.lastname</t>
  </si>
  <si>
    <t>MobilePhone</t>
  </si>
  <si>
    <r>
      <rPr>
        <rFont val="Arial"/>
        <color theme="1"/>
        <sz val="11.0"/>
      </rPr>
      <t xml:space="preserve">RMQ-DST-LAD1-ID - Primeros 3 dígitos
RMQ-DST-TEL1-ID - Últimos 7 dígitos
</t>
    </r>
    <r>
      <rPr>
        <rFont val="Arial"/>
        <color rgb="FF9900FF"/>
        <sz val="11.0"/>
      </rPr>
      <t>alternatePhone</t>
    </r>
  </si>
  <si>
    <t>X(03)
X(07)</t>
  </si>
  <si>
    <t>customer.shipping_address.phone</t>
  </si>
  <si>
    <t xml:space="preserve">DayPhone
</t>
  </si>
  <si>
    <r>
      <rPr>
        <rFont val="Arial"/>
        <color theme="1"/>
        <sz val="11.0"/>
      </rPr>
      <t xml:space="preserve">RMQ-DST-LAD2-ID - Primeros 3 dígitos
RMQ-DST-TEL3-ID - Últimos 7 dígitos 
</t>
    </r>
    <r>
      <rPr>
        <rFont val="Arial"/>
        <color rgb="FF9900FF"/>
        <sz val="11.0"/>
      </rPr>
      <t>DayPhone</t>
    </r>
  </si>
  <si>
    <r>
      <rPr>
        <rFont val="Arial"/>
        <color theme="1"/>
        <sz val="11.0"/>
      </rPr>
      <t xml:space="preserve">RMQ-DST-EDOREP-ABR
Código de estado. Ej San Luis Potosí: SLP
</t>
    </r>
    <r>
      <rPr>
        <rFont val="Arial"/>
        <color rgb="FF9900FF"/>
        <sz val="11.0"/>
      </rPr>
      <t>State</t>
    </r>
  </si>
  <si>
    <t>customer.shipping_address.state</t>
  </si>
  <si>
    <r>
      <rPr>
        <rFont val="Arial"/>
        <color theme="1"/>
        <sz val="11.0"/>
      </rPr>
      <t xml:space="preserve">RMQ-DST-COD-POS
</t>
    </r>
    <r>
      <rPr>
        <rFont val="Arial"/>
        <color rgb="FF9900FF"/>
        <sz val="11.0"/>
      </rPr>
      <t>ZipCode</t>
    </r>
  </si>
  <si>
    <t>X(05)</t>
  </si>
  <si>
    <t>customer.shipping_address.zip_code</t>
  </si>
  <si>
    <t>LExtnATGADRID</t>
  </si>
  <si>
    <t>Used in case of C&amp;C orders. Values: RECOGE EN AUTO or RECOGE EN MODULO</t>
  </si>
  <si>
    <r>
      <rPr>
        <rFont val="Arial"/>
        <color theme="1"/>
        <sz val="11.0"/>
      </rPr>
      <t xml:space="preserve">RMQ-DST-ATG-ADR-ID
Values: RECOGE EN AUTO or RECOGE EN MODULO
Aplica solo en el caso de C&amp;C
</t>
    </r>
    <r>
      <rPr>
        <rFont val="Arial"/>
        <color rgb="FF9900FF"/>
        <sz val="11.0"/>
      </rPr>
      <t xml:space="preserve">AddressId
</t>
    </r>
    <r>
      <rPr>
        <rFont val="Arial"/>
        <color theme="1"/>
        <sz val="11.0"/>
      </rPr>
      <t>Jul10.rmm Se debe usar el ExtnPickupType</t>
    </r>
  </si>
  <si>
    <r>
      <rPr>
        <rFont val="Arial"/>
        <color theme="1"/>
        <sz val="11.0"/>
      </rPr>
      <t xml:space="preserve">RMQ-DST-ATG-ADR-ID
Values: RECOGE EN AUTO or RECOGE EN MODULO
Aplica solo en el caso de C&amp;C
</t>
    </r>
    <r>
      <rPr>
        <rFont val="Arial"/>
        <color rgb="FF9900FF"/>
        <sz val="11.0"/>
      </rPr>
      <t xml:space="preserve">AddressId
</t>
    </r>
    <r>
      <rPr>
        <rFont val="Arial"/>
        <color rgb="FF980000"/>
        <sz val="11.0"/>
      </rPr>
      <t xml:space="preserve">Confirmar si este campo se agregó en Commerce tools
</t>
    </r>
    <r>
      <rPr>
        <rFont val="Arial"/>
        <color theme="1"/>
        <sz val="11.0"/>
      </rPr>
      <t>Jul10.rmm Este campo se toma del ExtnPickupType</t>
    </r>
  </si>
  <si>
    <t>URL to Customer PHOTO. The URL of the person  or organization referred to in this contact information.</t>
  </si>
  <si>
    <t>The currency code in which this order is being processed. All price fields are assumed to be in this currency.</t>
  </si>
  <si>
    <t>MXN</t>
  </si>
  <si>
    <t>MXN, USD</t>
  </si>
  <si>
    <t>Currency
NA</t>
  </si>
  <si>
    <t>/Order/OrderDates/OrderDate/@</t>
  </si>
  <si>
    <t>DateTypeId</t>
  </si>
  <si>
    <t>yfs_order_date.date_type_id</t>
  </si>
  <si>
    <t>The unique identifier for a date type for which additional dates are stored. Mandatory to pass EXTN_PAY_BY_DATE when ExtnOrderType=LAY</t>
  </si>
  <si>
    <t>ActualDate</t>
  </si>
  <si>
    <t>yfs_order_date.actual_date</t>
  </si>
  <si>
    <t>Actual Date in the format YYYY-MM-DDT23:59:59-04:00
The time has to be EOD because the Pay by Date includes the day.</t>
  </si>
  <si>
    <t>2021-12-21T23:59:59-04:00</t>
  </si>
  <si>
    <t>/Order/References/</t>
  </si>
  <si>
    <t>/Order/References/Reference</t>
  </si>
  <si>
    <t>Use the reference name and value pair to send any pass through attribue and values. OMS will not use these values to drive any business logic. Set the pass through attributes as key. E.g ExtnEmployeeNumber, ExtnTicketNumber  
The &lt;Reference&gt; element can be repeated for as many times as required.</t>
  </si>
  <si>
    <r>
      <rPr>
        <rFont val="Arial"/>
        <color theme="1"/>
        <sz val="11.0"/>
      </rPr>
      <t xml:space="preserve">ExtnMKPAdditionalInfo       Additional information for the shipping
ExtnPaymentType              Country ISO Code
ExtnMKPimprint_number   Autorization number from the bank
ExtnMKPEMail                   EMail for marketplace orders
ExtnMKPorder-total-orig    Original amount of the order
ExtnMKPorder-total-mx     Original amount of the order in mexican pesos
</t>
    </r>
    <r>
      <rPr>
        <rFont val="Arial"/>
        <strike/>
        <color theme="1"/>
        <sz val="11.0"/>
      </rPr>
      <t>ExtnTicketNumber             Número de boleta</t>
    </r>
    <r>
      <rPr>
        <rFont val="Arial"/>
        <color theme="1"/>
        <sz val="11.0"/>
      </rPr>
      <t xml:space="preserve">
ExtnEmployeeNumber       Número de empleado
</t>
    </r>
    <r>
      <rPr>
        <rFont val="Arial"/>
        <strike/>
        <color theme="1"/>
        <sz val="11.0"/>
      </rPr>
      <t>ExtnStoreSalesCredit         Tienda de reconocimiento</t>
    </r>
    <r>
      <rPr>
        <rFont val="Arial"/>
        <color theme="1"/>
        <sz val="11.0"/>
      </rPr>
      <t xml:space="preserve">
ExtnStoreNumber               Tienda de venta
ExtnTerminal                       # de terminal
BankAuthNo
ExtnComments                    Notes</t>
    </r>
  </si>
  <si>
    <t>ExtnMKPAdditionalInfo       Additional information for the shipping
ExtnPaymentType              Country ISO Code
ExtnMKPimprint_number   Autorization number from the bank
ExtnMKPEMail                   EMail for marketplace orders
ExtnMKPorder-total-orig    Original amount of the order
ExtnMKPorder-total-mx     Original amount of the order in mexican pesos
ExtnEmployeeNumber       Número de empleado
ExtnStoreNumber               Tienda de venta
ExtnTerminal                       # de terminal
BankAuthNo
ExtnComments                    Notes</t>
  </si>
  <si>
    <r>
      <rPr>
        <rFont val="Arial"/>
        <color theme="1"/>
        <sz val="11.0"/>
      </rPr>
      <t xml:space="preserve">ExtnMKPAdditionalInfo       Additional information for the shipping
ExtnPaymentType              Country ISO Code
ExtnMKPimprint_number   Autorization number from the bank
ExtnMKPEMail                   EMail for marketplace orders
ExtnMKPorder-total-orig    Original amount of the order
ExtnMKPorder-total-mx     Original amount of the order in mexican pesos
</t>
    </r>
    <r>
      <rPr>
        <rFont val="Arial"/>
        <strike/>
        <color theme="1"/>
        <sz val="11.0"/>
      </rPr>
      <t>ExtnTicketNumber             Número de boleta</t>
    </r>
    <r>
      <rPr>
        <rFont val="Arial"/>
        <color theme="1"/>
        <sz val="11.0"/>
      </rPr>
      <t xml:space="preserve">
ExtnEmployeeNumber       Número de empleado
</t>
    </r>
    <r>
      <rPr>
        <rFont val="Arial"/>
        <strike/>
        <color theme="1"/>
        <sz val="11.0"/>
      </rPr>
      <t>ExtnStoreSalesCredit         Tienda de reconocimiento</t>
    </r>
    <r>
      <rPr>
        <rFont val="Arial"/>
        <color theme="1"/>
        <sz val="11.0"/>
      </rPr>
      <t xml:space="preserve">
ExtnStoreNumber               Tienda de venta
ExtnTerminal                       # de terminal
ExtnComments                    Notes</t>
    </r>
  </si>
  <si>
    <t>ExtnMKPAdditionalInfo       Additional information for the shipping
ExtnPaymentType              Country ISO Code
ExtnMKPimprint_number   Autorization number from the bank
ExtnMKPEMail                   EMail for marketplace orders
ExtnMKPorder-total-orig    Original amount of the order
ExtnMKPorder-total-mx     Original amount of the order in mexican pesos
ExtnEmployeeNumber       Número de empleado
ExtnStoreNumber               Tienda de venta
ExtnTerminal                       # de terminal
ExtnComments                    Notes</t>
  </si>
  <si>
    <t>if /Order/References/Reference/Name=ExtnMKPimprintNumber then imprint_number=/Order/References/Reference/Value
if /Order/References/Reference/Name=ExtnMKPimprintNumber then boleta=/Order/References/Reference/Value
if /Order/References/Reference/Name=ExtnTerminal then terminal=/Order/References/Reference/Value</t>
  </si>
  <si>
    <t xml:space="preserve">Set the corresponding value of the attribute. E.g set the employee number if the @Name was set as ExtnEmployeeNumber 
</t>
  </si>
  <si>
    <t>El valor de cada uno de los campos mencionados en la cela de arriba deberá ser tomado de este campo de Value de manera correspondiente</t>
  </si>
  <si>
    <r>
      <rPr>
        <rFont val="Arial"/>
        <color theme="1"/>
        <sz val="11.0"/>
      </rPr>
      <t xml:space="preserve">if /Order/References/Reference/Name=ExtnStoreSalesCredit then RMQ-LOC-LRV=Value (add zeros on the left) - </t>
    </r>
    <r>
      <rPr>
        <rFont val="Arial"/>
        <color rgb="FF9900FF"/>
        <sz val="11.0"/>
      </rPr>
      <t>LRV + value (4)</t>
    </r>
    <r>
      <rPr>
        <rFont val="Arial"/>
        <color theme="1"/>
        <sz val="11.0"/>
      </rPr>
      <t xml:space="preserve">
if /Order/References/Reference/Name=ExtnStoreNumber then RMQ-LOC-VENDE=Value (add zeros on the left) - </t>
    </r>
    <r>
      <rPr>
        <rFont val="Arial"/>
        <color rgb="FF9900FF"/>
        <sz val="11.0"/>
      </rPr>
      <t>LocVende + value (4)</t>
    </r>
    <r>
      <rPr>
        <rFont val="Arial"/>
        <color theme="1"/>
        <sz val="11.0"/>
      </rPr>
      <t xml:space="preserve">
if /Order/References/Reference/Name=ExtnTerminal then RMQ-TERMINAL=Value (Format: NUM 4) -</t>
    </r>
    <r>
      <rPr>
        <rFont val="Arial"/>
        <color rgb="FF9900FF"/>
        <sz val="11.0"/>
      </rPr>
      <t xml:space="preserve"> Terminal + value (4)</t>
    </r>
    <r>
      <rPr>
        <rFont val="Arial"/>
        <color theme="1"/>
        <sz val="11.0"/>
      </rPr>
      <t xml:space="preserve">
if /Order/References/Reference/Name=ExtnTicketNumber then RMQ-BOLETA=Value (Format: NUM 4) - </t>
    </r>
    <r>
      <rPr>
        <rFont val="Arial"/>
        <color rgb="FF9900FF"/>
        <sz val="11.0"/>
      </rPr>
      <t>Boleta + value (4)</t>
    </r>
    <r>
      <rPr>
        <rFont val="Arial"/>
        <color theme="1"/>
        <sz val="11.0"/>
      </rPr>
      <t xml:space="preserve">
if /Order/References/Reference/Name=ExtnEmployeeNumber then RMQ-VENDEDOR=Value (Format: NUM 9) - </t>
    </r>
    <r>
      <rPr>
        <rFont val="Arial"/>
        <color rgb="FF9900FF"/>
        <sz val="11.0"/>
      </rPr>
      <t>Vendedor + value (9)</t>
    </r>
    <r>
      <rPr>
        <rFont val="Arial"/>
        <color theme="1"/>
        <sz val="11.0"/>
      </rPr>
      <t xml:space="preserve">
if /Order/References/Reference/Name=ExtnComments then REG-MQ-NOTAS=Value X(80) </t>
    </r>
    <r>
      <rPr>
        <rFont val="Arial"/>
        <color rgb="FF9900FF"/>
        <sz val="11.0"/>
      </rPr>
      <t>- notes + value (80)</t>
    </r>
    <r>
      <rPr>
        <rFont val="Arial"/>
        <color theme="1"/>
        <sz val="11.0"/>
      </rPr>
      <t xml:space="preserve">
if /Order/References/Reference/Name=SellerName then SELLER_DESC =Value X(80) - </t>
    </r>
    <r>
      <rPr>
        <rFont val="Arial"/>
        <color rgb="FF9900FF"/>
        <sz val="11.0"/>
      </rPr>
      <t>sellerName + value</t>
    </r>
  </si>
  <si>
    <t xml:space="preserve">If the EnterpriseCurrency value is not passed, the Enterprise's locale is used to get a currency for that locale. The currency for the locale is validated for the Enterprise's ruleset. If no errors occur during lookup and validation, the EnterpriseCurrency is defaulted to the currency for that locale.
</t>
  </si>
  <si>
    <t>The date which was used to determine the conversion rate.</t>
  </si>
  <si>
    <t>The conversion rate from the order's original currency to the Enterprise's currency. This is not used internally within the system. This field is provided so that reports can be built in a standard currency for an Enterprise.</t>
  </si>
  <si>
    <t>The amount of the charge.</t>
  </si>
  <si>
    <t>The charge category. For example, Labeling or Handling.</t>
  </si>
  <si>
    <t>The name of the charge. For example, Price Ticket.</t>
  </si>
  <si>
    <t>Determines whether the charge was manually created. Valid Values: Y, N, or M. Default Value: Y</t>
  </si>
  <si>
    <t>Reference information about this charge.</t>
  </si>
  <si>
    <t>The charge category for which tax is being charged. For example, Labeling or Handling.</t>
  </si>
  <si>
    <t xml:space="preserve">The tax amount.Tax cannot be less than zero. </t>
  </si>
  <si>
    <t xml:space="preserve">Type of tax. The Tax cannot be less than zero. </t>
  </si>
  <si>
    <t>Value associated with the Reference Name.</t>
  </si>
  <si>
    <t>The bill to address that is associated with this payment. Can be passed if different from the bill to address on the order.</t>
  </si>
  <si>
    <t>The amount that is given back as cash for this payment method. This is not supported on a return order.</t>
  </si>
  <si>
    <t>Used to identify the order to which charges are applied.</t>
  </si>
  <si>
    <t>The cheque number.</t>
  </si>
  <si>
    <t>The cheque reference.</t>
  </si>
  <si>
    <t>The expiration date for the credit card.</t>
  </si>
  <si>
    <t>The credit card name.</t>
  </si>
  <si>
    <t>The primary account number for payment methods that are defined under the PaymentTypeGroup CREDIT_CARD; payment methods of this group will be considered incomplete if this is not passed.</t>
  </si>
  <si>
    <t>The credit card type group.</t>
  </si>
  <si>
    <t>The primary account number for payment methods that are defined under the PaymentTypeGroup CUSTOMER_ACCOUNT; payment methods of this group will be considered incomplete if this is not passed.</t>
  </si>
  <si>
    <t>The customer PO account number.</t>
  </si>
  <si>
    <t>The primary account number for payment methods that are defined under the PaymentTypeGroup DEBIT_CARD; payment methods of this group will be considered incomplete if this is not passed.</t>
  </si>
  <si>
    <t>The four digits of the credit card number that should be displayed. If not passed, it is defaulted to be the last four digits of the credit card number.</t>
  </si>
  <si>
    <t>The four digits of the customer account number that should be displayed. If not passed, it is defaulted to be the last four digits of the customer account number.</t>
  </si>
  <si>
    <t>The four digits of the debit card number that should be displayed. If not passed, it is defaulted to be the last four digits of the debit card number.</t>
  </si>
  <si>
    <t>The four digits of the payment reference 1 that should be displayed. If not passed, it is defaulted to be the last four digits of the payment reference 1.</t>
  </si>
  <si>
    <t>The four digits of the stored value card that should be displayed. If not passed, it is defaulted to be the last four digits of the stored value card number.</t>
  </si>
  <si>
    <t>The Entry Type used to enter payment information into the system.</t>
  </si>
  <si>
    <t>The first name of the credit card holder.</t>
  </si>
  <si>
    <t>The last name of the credit card holder.</t>
  </si>
  <si>
    <t>The maximum amount that can be charged on this payment method. However, if UnlimitedCharges=Y, this amount will not be considered.</t>
  </si>
  <si>
    <t>The middle name of the credit card holder.</t>
  </si>
  <si>
    <t>The primary key for the YFS_PAYMENT table.</t>
  </si>
  <si>
    <t>The payment reference 1. Additionally, this is the primary account number for payment methods that are defined under the PaymentTypeGroup OTHER; payment methods of this group will be considered incomplete if this is not passed.</t>
  </si>
  <si>
    <t>The payment reference 2.</t>
  </si>
  <si>
    <t>The payment reference 3.</t>
  </si>
  <si>
    <t>The payment reference 4. This does not identify the payment method uniquely.</t>
  </si>
  <si>
    <t>The payment reference 5. This does not identify the payment method uniquely.</t>
  </si>
  <si>
    <t>The payment reference 6. This does not identify the payment method uniquely.</t>
  </si>
  <si>
    <t>The payment reference 7. This does not identify the payment method uniquely.</t>
  </si>
  <si>
    <t>The payment reference 8. This does not identify the payment method uniquely.</t>
  </si>
  <si>
    <t>The payment reference 9. This does not identify the payment method uniquely.</t>
  </si>
  <si>
    <t>Type of payment.</t>
  </si>
  <si>
    <t>The amount that will be refunded on this payment method. This field is set for only Return Orders indicating the refund amount.</t>
  </si>
  <si>
    <t>Indicates if external charges are being recorded for an asynchronous request. Valid values are 'Y', 'N' or Void. Set this flag to "Y" with a valid</t>
  </si>
  <si>
    <t>Sets whether or not this payment method has been suspended. If the value is Y, then the PaymentMethod is suspended for charging, although refunds can still be made to this PaymentMethod. All open AUTHORIZATION and CHARGE records for positive amounts for t</t>
  </si>
  <si>
    <t>The primary account number for payment methods that are defined under the PaymentTypeGroup STORED_VALUE_CARD; payment methods of this group will be considered incomplete if this is not passed.</t>
  </si>
  <si>
    <t>The amount that has been refunded to a new payment method based on this payment's payment type refund preferences.</t>
  </si>
  <si>
    <t>The total amount auhorized on this payment method.</t>
  </si>
  <si>
    <t>The total amount charged on this payment method.</t>
  </si>
  <si>
    <t>The total refunded amount on this payment method.</t>
  </si>
  <si>
    <t>Indicates if there is a limit to the amount that can be charged on the payment method. If not passed, defaults to Y.</t>
  </si>
  <si>
    <t>plz review if we should have it</t>
  </si>
  <si>
    <t>AuditTransactionID is a user defined data. This data will be stored on YFS_ORDER_AUDIT table. Also in case of APIs that cause the creation of a CHARGE_REQUEST, the same field will be stored on YFS_CHARGE_TRANSACTION t</t>
  </si>
  <si>
    <t>The AVS authorization code.</t>
  </si>
  <si>
    <t>The authorization code.</t>
  </si>
  <si>
    <t>The authorization return code.</t>
  </si>
  <si>
    <t>The authorization return flag.</t>
  </si>
  <si>
    <t>The authorization return message.</t>
  </si>
  <si>
    <t>The authorization time.</t>
  </si>
  <si>
    <t>The date and time until which the authorization specified by the authorization ID is applicable.</t>
  </si>
  <si>
    <t>For authorization requests, this field holds the identifier of the authorization that was made. For charge requests, this field holds the authroization ID to be used for charging the amount.</t>
  </si>
  <si>
    <t>The CVV authorization code.</t>
  </si>
  <si>
    <t>This column indicates the transaction is valid for a call for authorization and whether or not the authorization code was acquired.</t>
  </si>
  <si>
    <t>The amount of cashback that has been charged using this transaction. Only valid for transactions of ChargeType CHARGE.</t>
  </si>
  <si>
    <t>The type of charge that is being applied to the order. Valid Values: AUTHORIZATION or CHARGE</t>
  </si>
  <si>
    <t>The date and time when the charge is realized.It can be future date.When this date is passed in input xml, Is_Collection_Date_Firm flag is set to Y.</t>
  </si>
  <si>
    <t>This flag indicates whether or not pre-authorized or pre-charged amounts for the entire order will be held until the order is completely invoiced. If passed as 'Y', they will be. If passed as 'N', or not passed, the e</t>
  </si>
  <si>
    <t>This flag indicates that the transaction represents an in person, or card in hand, transaction. A transaction that is in person will distribute against in person order totals and invoices, and vice versa.</t>
  </si>
  <si>
    <t>The internal return code.</t>
  </si>
  <si>
    <t>The internal return flag.</t>
  </si>
  <si>
    <t>The internal return message.</t>
  </si>
  <si>
    <t>This flag indicates the transaction attempted to reach the payment gateway within a UserExit, but the UserExit was unable to contact the gateway. This may be updated to N by the user exit, and will be reset to null when the record moves to CLOSED status.</t>
  </si>
  <si>
    <t>The EntryType used to enter payment information into the system, such as by a magnetic card reader. If passed, this attribute will take precedence over other attributes for the entry type of the transaction.</t>
  </si>
  <si>
    <t>If ProcessedAmount is passed as a value greater than zero, the STATUS in the CHARGE_TRANSACTION table is set to CLOSED . If ProcessedAmount is</t>
  </si>
  <si>
    <t>The reference 1.</t>
  </si>
  <si>
    <t>The reference 2.</t>
  </si>
  <si>
    <t>For ChargeTypes CHARGE and AUTHORIZATION, this field holds the amount that is requested for charging/authorization. If RequestAmount is passed, it is set as the RequestAmount of the chargetransaction record and the Tr</t>
  </si>
  <si>
    <t>The request identifier returned by the transaction.</t>
  </si>
  <si>
    <t>orders/order/payments/payment/custom-attributes/custom-attribute/@attribute-id="requestId"</t>
  </si>
  <si>
    <t>If the value of this is Y , the payment details record will be treated as already processed. This flag is considered only when ProcessedAmount i</t>
  </si>
  <si>
    <t>The time at which the transaction request was made.</t>
  </si>
  <si>
    <t>The return code for the transaction.</t>
  </si>
  <si>
    <t>The flag returned by the transaction.</t>
  </si>
  <si>
    <t>The message returned by the transaction.</t>
  </si>
  <si>
    <t>The transaction type.</t>
  </si>
  <si>
    <t>This flag indicates that the Charge Transaction is either a Void request or submitted for a Void operation. Valid values for a Void Charge Transaction are V (is a void request), R (is a forced refund request), C (closed error record, already recreated) a</t>
  </si>
  <si>
    <t>Not supplied</t>
  </si>
  <si>
    <t>This flag indicates whether or not the address in this record has been verified by an address verification program. Intended for future use.</t>
  </si>
  <si>
    <t>The latitude of this location.</t>
  </si>
  <si>
    <t>The longitude of this location.</t>
  </si>
  <si>
    <t>The primary key for the YFS_PERSON_INFO table.</t>
  </si>
  <si>
    <t>The code identifying the Special Service to be performed on the Order.</t>
  </si>
  <si>
    <t>The person info record to store this answer set for.</t>
  </si>
  <si>
    <t>The question type associated to the defined answer set.</t>
  </si>
  <si>
    <t>The answer for the question.</t>
  </si>
  <si>
    <t>Identifier for the question that this answer is for.</t>
  </si>
  <si>
    <t>The group for which this promototion belongs to. Valid values: COUPON, MANUAL.</t>
  </si>
  <si>
    <t>Tag identifier.</t>
  </si>
  <si>
    <t>It indicates the purpose of a tag such as compatibility, client version which created the order, or it can contain any other configurable tag type. If tag type is Y.COMPATABILITY, then corresponding TagId will be available for pipeline condition building</t>
  </si>
  <si>
    <t>The buyer's contact address. For new records, the</t>
  </si>
  <si>
    <t>The buyer organization that is associated with this opportunity. This must be a valid organization defined in the system.</t>
  </si>
  <si>
    <t>The co-owner user is a user who jointly owns this opportunity with the orginal owner user.</t>
  </si>
  <si>
    <t>The currency value or budget of the opportunity.</t>
  </si>
  <si>
    <t>This is the customer contact ID for the opportunity. This field maps to contact ID field of YFS_Customer_Contact.</t>
  </si>
  <si>
    <t>The detailed description of the opportunity.</t>
  </si>
  <si>
    <t>The document type that is associated with this opportunity. For example, Opportunity document (0020). OpportunityID, DocumentType, EnterpriseCode are required attributes to uniquely identify an opportunity.</t>
  </si>
  <si>
    <t>The enterprise code. This field is a part of an opportunity's unique key. The EnterpriseCode, DocumentType and OpportunityID together uniquely identify an opportunity.</t>
  </si>
  <si>
    <t>The anticipated close date for the opportunity.</t>
  </si>
  <si>
    <t>The original lead to creation of this opportunity. E.g. Trade Shows, Call Center, Existing Customer.</t>
  </si>
  <si>
    <t>If the opportunity is lost, this specifies the reason for losing this opportunity.</t>
  </si>
  <si>
    <t>The date that the opportunity was created.</t>
  </si>
  <si>
    <t>The identification number of the opportunity, which is required during opportunity creation. If not passed the</t>
  </si>
  <si>
    <t>A custom name given to this opportunity to help identify the record uniquely.</t>
  </si>
  <si>
    <t>The user in which this opportunity is assigned to.</t>
  </si>
  <si>
    <t>Pipeline this opportunity belongs to. The pipeline key is determined based on the input attribute passed and the pipeline conditions in the system configuration.</t>
  </si>
  <si>
    <t>The probability of success of the opportunity.</t>
  </si>
  <si>
    <t>Indicates a team that can manage this opportunity. Default is Null.</t>
  </si>
  <si>
    <t>Transaction for which these notes are applicable.</t>
  </si>
  <si>
    <t>Number of Attachments in the Order.</t>
  </si>
  <si>
    <t>The key of the attached file</t>
  </si>
  <si>
    <t>Type of the file content as returned by FileUploadServlet</t>
  </si>
  <si>
    <t>Description of the file content as returned by FileUploadServlet</t>
  </si>
  <si>
    <t>The location of the file as returned by FileUploadServlet</t>
  </si>
  <si>
    <t>Complete name of the file as returned by FileUploadServlet</t>
  </si>
  <si>
    <t>Size of the file as returned by FileUploadServlet</t>
  </si>
  <si>
    <t>Action to take</t>
  </si>
  <si>
    <t>Determines whether the OrderSearchConditions should be reset.</t>
  </si>
  <si>
    <t>Document type of the order to search for.</t>
  </si>
  <si>
    <t>Enterprise code of the order to search for.</t>
  </si>
  <si>
    <t>The name of the custom attribute or extended field of the order header entity. If none are found on the order entity, this will be ignored.</t>
  </si>
  <si>
    <t>The value of the custom attribute or extended field of the order header entity. If none are found on the order entity, this will be ignored.</t>
  </si>
  <si>
    <t>The order number to search for.</t>
  </si>
  <si>
    <t>The primary key for the YFS_ORDER_SEARCH_CONDITION table.</t>
  </si>
  <si>
    <t>The identifier of the audit transaction. All records for a modification are tied together using this ID.</t>
  </si>
  <si>
    <t>Timestamp when the record was created.</t>
  </si>
  <si>
    <t>User who created the record.</t>
  </si>
  <si>
    <t>User who modified the record.</t>
  </si>
  <si>
    <t>New values are stored as name-value pairs in this field. This field is used by deprecated APIs that log audits in non-XML format.</t>
  </si>
  <si>
    <t>Old values are stored as name-value pairs in this field. This field is used by deprecated APIs that log audits in non-XML format.</t>
  </si>
  <si>
    <t>The order header that this order audit is associated with.</t>
  </si>
  <si>
    <t>The reason code of this order audit.</t>
  </si>
  <si>
    <t>The reason text of this order audit.</t>
  </si>
  <si>
    <t>This field provides additional reference information, and can be customized by the enterprise.</t>
  </si>
  <si>
    <t>This field provides additional reference information, and field can be customized by the enterprise.</t>
  </si>
  <si>
    <t>This flag indicates whether or not this audit record is stored in XML format. Only deprecated APIs log audits in non-XML format.</t>
  </si>
  <si>
    <t>Level at which modification is done. Order, Order_Line, Order_Release or Order_Release_Line.</t>
  </si>
  <si>
    <t>The type of modification that has occurred, such as AddQuantity, or ChangeAppointment.</t>
  </si>
  <si>
    <t>Link to order line.</t>
  </si>
  <si>
    <t>Action</t>
  </si>
  <si>
    <t>Audit Type</t>
  </si>
  <si>
    <t>Name of the ID</t>
  </si>
  <si>
    <t>Value of the ID</t>
  </si>
  <si>
    <t>Determines whether the attribute is an extended field. If this attribute is not available, then it means the attribute is not extended.</t>
  </si>
  <si>
    <t>Modification Type used for changing the attribute</t>
  </si>
  <si>
    <t>Name of the Attribute Changed</t>
  </si>
  <si>
    <t>New Value of the attribute modified</t>
  </si>
  <si>
    <t>Old Value of the attribute modified</t>
  </si>
  <si>
    <t>The type of modification that has occurred, for example AddQuantity or ChangeAppointment.</t>
  </si>
  <si>
    <t>The primary key for the YFS_ORDER_HEADER table.</t>
  </si>
  <si>
    <t>The number of the order, which can be passed during order creation or generated based on a system rule setting.</t>
  </si>
  <si>
    <t>/Order/Instructions/Instruction</t>
  </si>
  <si>
    <t>Array of Instruction</t>
  </si>
  <si>
    <t>InstructionType</t>
  </si>
  <si>
    <t>yfs_instruction_detail.instruction_type</t>
  </si>
  <si>
    <t>Categorization of instructions so that they can be grouped together for reference. For example GIFTMSG</t>
  </si>
  <si>
    <t>InstructionText</t>
  </si>
  <si>
    <t>yfs_instruction_detail.instruction_text</t>
  </si>
  <si>
    <t>This is mandatory if InstructionType passed with some value.
Free-form text indicating any additional information related to the instruction type.</t>
  </si>
  <si>
    <t>InstructionText
If InstructionType is passed then InstructionText is mandatory (GR)</t>
  </si>
  <si>
    <t>extn_customer_id</t>
  </si>
  <si>
    <t>Unique customer ID from CDP (sent by ATG as part of order)</t>
  </si>
  <si>
    <t>C123456789</t>
  </si>
  <si>
    <t>ExtnMKPOrderBy</t>
  </si>
  <si>
    <t>YFS_ORDER_HEADER.EXTN_MKP_ORDER_BY</t>
  </si>
  <si>
    <r>
      <rPr>
        <rFont val="Arial"/>
        <color theme="1"/>
        <sz val="11.0"/>
      </rPr>
      <t xml:space="preserve">Posible values:
"Suburbia" in case of Suburbia MKP SL orders
"Liverpool" in case of Liverpool MKP SL orders
</t>
    </r>
    <r>
      <rPr>
        <rFont val="Arial"/>
        <color rgb="FF0000FF"/>
        <sz val="11.0"/>
      </rPr>
      <t>[2026/3/25 added] SBB MKP CnC are not applicable</t>
    </r>
  </si>
  <si>
    <t>ExtnMKPOrderBy
Posible values:
"Suburbia" in case of Suburbia MKP SL orders
"Liverpool" in case of Liverpool MKP SL orders</t>
  </si>
  <si>
    <t>ExtnIsFraudChecked</t>
  </si>
  <si>
    <t>Can be N, but no updates from OMS to Mirakl. Manual updates only.</t>
  </si>
  <si>
    <t>ExtnIsFraudChecked
NA</t>
  </si>
  <si>
    <t>ExtnMKPAdditionalInfo</t>
  </si>
  <si>
    <t>Use /Order/References/Reference</t>
  </si>
  <si>
    <t>Additional information for the shipping</t>
  </si>
  <si>
    <t>ExtnMKPAdditionalInfo
Address DC where the Order is delivered by the seller</t>
  </si>
  <si>
    <t>ExtnPaymentType</t>
  </si>
  <si>
    <t>Country ISO Code</t>
  </si>
  <si>
    <t>ExtnPaymentType
NA</t>
  </si>
  <si>
    <t>ExtnMKPimprint_number</t>
  </si>
  <si>
    <t>Autorization number from the bank</t>
  </si>
  <si>
    <t>ExtnMKPimprint_number
Número de autorización</t>
  </si>
  <si>
    <t>ExtnMKPEMail</t>
  </si>
  <si>
    <t>EMail for marketplace orders</t>
  </si>
  <si>
    <t>ExtnMKPorder-total-orig</t>
  </si>
  <si>
    <t>Original amount of the order</t>
  </si>
  <si>
    <t>ExtnMKPorder-total-mx</t>
  </si>
  <si>
    <t>Original amount of the order in mexican pesos</t>
  </si>
  <si>
    <t>ExtnStoreNumber</t>
  </si>
  <si>
    <r>
      <rPr>
        <rFont val="Arial"/>
        <color theme="1"/>
        <sz val="10.0"/>
      </rPr>
      <t xml:space="preserve">Use Reference element.
</t>
    </r>
    <r>
      <rPr>
        <rFont val="Arial"/>
        <strike/>
        <color theme="1"/>
        <sz val="10.0"/>
      </rPr>
      <t>Internal to EPL process. Will have the store number that gets sales credit. For ATG orders, this will be '39', for ATG Call Center orders, it will be '9', For orders from APV/POS, it will have the store id. OMS will just pass through this field on INT-201 to SAP</t>
    </r>
  </si>
  <si>
    <t>ExtnStoreNumber
Tienda de venta
Ej: 0039</t>
  </si>
  <si>
    <t>ExtnStoreSalesCredit</t>
  </si>
  <si>
    <r>
      <rPr>
        <rFont val="Arial"/>
        <color theme="1"/>
        <sz val="10.0"/>
      </rPr>
      <t xml:space="preserve">Use Reference element.
</t>
    </r>
    <r>
      <rPr>
        <rFont val="Arial"/>
        <strike/>
        <color theme="1"/>
        <sz val="10.0"/>
      </rPr>
      <t>Pass through field. Store where the sale was made, for example in the case of a sales order generated in the liverpool.com store, the value will be equal to 39.</t>
    </r>
  </si>
  <si>
    <t>ExtnStoreSalesCredit
Tienda de reconocimiento de ventas</t>
  </si>
  <si>
    <t>ExtnPushEmailID</t>
  </si>
  <si>
    <t>YFS_ORDER_HEADER.EXTN_PUBLISH_EMAIL_ID</t>
  </si>
  <si>
    <t>Email ID to be used for sending push notifications. To be sent on INT-201 to middleware.</t>
  </si>
  <si>
    <t>ExtnPushEmailID
Usado para las PushNotifications Firebase</t>
  </si>
  <si>
    <t>ExtnPushEmailID
Usado para las PushNotifications Firebase. If there is no value then send as empty</t>
  </si>
  <si>
    <t>ExtnOrderType</t>
  </si>
  <si>
    <t>YFS_ORDER_HEADER.EXTN_ORDER_TYPE</t>
  </si>
  <si>
    <t xml:space="preserve">Used to identify the type of gift registry order type. Pass GRO for orders created by owner and GRG for orders created by guest.
</t>
  </si>
  <si>
    <t>ExtnOrderType
Posibles valores:
GRO = Gift registry owner
GRG = Gift registry guest</t>
  </si>
  <si>
    <t>ExtnOrderType
Posibles valores:
GRO = Gift registry owner
GRG = Gift registry guest
Empty for REG order</t>
  </si>
  <si>
    <t>ExtnGREventID</t>
  </si>
  <si>
    <t>YFS_ORDER_HEADER.EXTN_GR_EVENT_ID</t>
  </si>
  <si>
    <t>Event ID of gift registry</t>
  </si>
  <si>
    <t>ExtnGREventID
Gift registry event Id</t>
  </si>
  <si>
    <r>
      <rPr>
        <rFont val="Arial"/>
        <color rgb="FF000000"/>
        <sz val="11.0"/>
      </rPr>
      <t xml:space="preserve">RMQ-EVT-ID
</t>
    </r>
    <r>
      <rPr>
        <rFont val="Arial"/>
        <color rgb="FF9900FF"/>
        <sz val="11.0"/>
      </rPr>
      <t>Evento</t>
    </r>
  </si>
  <si>
    <t>Num(9)</t>
  </si>
  <si>
    <t>ExtnGREventName</t>
  </si>
  <si>
    <t>YFS_ORDER_HEADER.EXTN_GR_EVENT_NAME</t>
  </si>
  <si>
    <t>Event Name of gift registry</t>
  </si>
  <si>
    <t>ExtnGREventName
Gift registry name</t>
  </si>
  <si>
    <t>ExtnGROwnerName</t>
  </si>
  <si>
    <t>YFS_ORDER_HEADER.EXTN_GR_OWNER_NAME</t>
  </si>
  <si>
    <t>Owner name of the gift registry</t>
  </si>
  <si>
    <t>ExtnGROwnerName
Owner name</t>
  </si>
  <si>
    <t>ExtnGRDeliveryDays</t>
  </si>
  <si>
    <t>Comma separated values representing days of the week
1(Monday) through 7(Sunday)</t>
  </si>
  <si>
    <t>2,5 for Tuesday and Friday delivery</t>
  </si>
  <si>
    <t>ExtnGRDeliveryDays
NA</t>
  </si>
  <si>
    <t>ExtnIsSelfAllocatedFromPOS</t>
  </si>
  <si>
    <t>YFS_ORDER_HEADER.EXTN_IS_SELF_FROM_POS</t>
  </si>
  <si>
    <r>
      <rPr>
        <rFont val="Arial"/>
        <color rgb="FF000000"/>
        <sz val="11.0"/>
      </rPr>
      <t xml:space="preserve">Sprint 4- POS system will send some orders to OMS for products(BigTicket or SoftLine)that they want to be fulfilled from their store. Pass Y for these orders.
</t>
    </r>
    <r>
      <rPr>
        <rFont val="Arial"/>
        <color rgb="FFFF0000"/>
        <sz val="11.0"/>
      </rPr>
      <t>[2026/3/26] Review in future sprints.</t>
    </r>
  </si>
  <si>
    <t>ExtnIsGiftPlusPurchase</t>
  </si>
  <si>
    <t>YFS_ORDER_HEADER.EXTN_IS_GIFT_PLUS_PURCHASE</t>
  </si>
  <si>
    <r>
      <rPr>
        <rFont val="Arial"/>
        <color theme="1"/>
        <sz val="11.0"/>
      </rPr>
      <t xml:space="preserve">Indicator for Gift plus purchase orders. Pass Y for Gift plus purchase orders.
</t>
    </r>
    <r>
      <rPr>
        <rFont val="Arial"/>
        <color rgb="FF0000FF"/>
        <sz val="11.0"/>
      </rPr>
      <t>[2026/3/26] applicable for C&amp;C.</t>
    </r>
  </si>
  <si>
    <t>ExtnIsGiftPlusPurchase
If there a gift in the purchase then pass Y otherwise pass as empty</t>
  </si>
  <si>
    <t>ExtnIsPromotionPurchase</t>
  </si>
  <si>
    <t>YFS_ORDER_HEADER.EXTN_IS_PROMOTION_PURCHASE</t>
  </si>
  <si>
    <r>
      <rPr>
        <rFont val="Arial"/>
        <color theme="1"/>
        <sz val="11.0"/>
      </rPr>
      <t>Indicator for 3x1, 2x1 promotion purchase orders. Pass Y for Promotion purchase orders.
[</t>
    </r>
    <r>
      <rPr>
        <rFont val="Arial"/>
        <color rgb="FFFF0000"/>
        <sz val="11.0"/>
      </rPr>
      <t>2026/3/26] Is it applicable for C&amp;C?. Review in mapping discssuion.</t>
    </r>
  </si>
  <si>
    <t>ExtnIsPromotionPurchase
If it is a promotion purchase then pass Y otherwise pass as emtpy</t>
  </si>
  <si>
    <t>ExtnFlashPromo</t>
  </si>
  <si>
    <t>YFS_ORDER_HEADER.EXTN_FLASH_PROMO</t>
  </si>
  <si>
    <r>
      <rPr>
        <rFont val="Arial"/>
        <color theme="1"/>
        <sz val="11.0"/>
      </rPr>
      <t xml:space="preserve">Value will be "Y" if order created with Flash promo - if any one of the order line in cart check out promised as Flash (HD0D / HD1D </t>
    </r>
    <r>
      <rPr>
        <rFont val="Arial"/>
        <color rgb="FF0000FF"/>
        <sz val="11.0"/>
      </rPr>
      <t>- for STH. CC0D/CC1D - for C&amp;C</t>
    </r>
    <r>
      <rPr>
        <rFont val="Arial"/>
        <color theme="1"/>
        <sz val="11.0"/>
      </rPr>
      <t>).</t>
    </r>
  </si>
  <si>
    <t>ExtnFlashPromo
If there is at least one flash line in the order then pass Y otherwise pass as empty</t>
  </si>
  <si>
    <t>YFS_ORDER_HEADER.EXTN_STORE_SALE_CERDIT</t>
  </si>
  <si>
    <t>The store that recognizing the sales</t>
  </si>
  <si>
    <t xml:space="preserve">ExtnTicketNumber             </t>
  </si>
  <si>
    <t>YFS_ORDER_HEADER.EXTN_TICKET_NO</t>
  </si>
  <si>
    <t xml:space="preserve">The ticket number (invoice) of the payment. </t>
  </si>
  <si>
    <t>ExtnTicketNumber             
Número de boleta</t>
  </si>
  <si>
    <t>ExtnTicketNumber             
Boleta</t>
  </si>
  <si>
    <t>LExtnOrderPrice</t>
  </si>
  <si>
    <t>Don't send to OMS</t>
  </si>
  <si>
    <r>
      <rPr>
        <rFont val="Arial"/>
        <color theme="1"/>
        <sz val="11.0"/>
      </rPr>
      <t xml:space="preserve">RMQ-IMP-TOTAL
</t>
    </r>
    <r>
      <rPr>
        <rFont val="Arial"/>
        <color rgb="FF9900FF"/>
        <sz val="11.0"/>
      </rPr>
      <t>ImporteTotal</t>
    </r>
  </si>
  <si>
    <t>LExtnSexID</t>
  </si>
  <si>
    <r>
      <rPr>
        <rFont val="Arial"/>
        <color theme="1"/>
        <sz val="11.0"/>
      </rPr>
      <t xml:space="preserve">RMQ-SEX-ID
Número de festejado
</t>
    </r>
    <r>
      <rPr>
        <rFont val="Arial"/>
        <color rgb="FF9900FF"/>
        <sz val="11.0"/>
      </rPr>
      <t>Sexo</t>
    </r>
  </si>
  <si>
    <t>LExtnCustomerLastNameP</t>
  </si>
  <si>
    <r>
      <rPr>
        <rFont val="Arial"/>
        <color theme="1"/>
        <sz val="11.0"/>
      </rPr>
      <t xml:space="preserve">RMQ-DST-AP-PAT
</t>
    </r>
    <r>
      <rPr>
        <rFont val="Arial"/>
        <color rgb="FF9900FF"/>
        <sz val="11.0"/>
      </rPr>
      <t>LastName</t>
    </r>
  </si>
  <si>
    <t>LExtnCustomerLastNameM</t>
  </si>
  <si>
    <r>
      <rPr>
        <rFont val="Arial"/>
        <color theme="1"/>
        <sz val="11.0"/>
      </rPr>
      <t xml:space="preserve">RMQ-DST-AP-MAT
</t>
    </r>
    <r>
      <rPr>
        <rFont val="Arial"/>
        <color rgb="FF9900FF"/>
        <sz val="11.0"/>
      </rPr>
      <t>MaternalName</t>
    </r>
  </si>
  <si>
    <t>LExtnPaymentType</t>
  </si>
  <si>
    <t>Needed for Mirakl orders.</t>
  </si>
  <si>
    <t>json.payment_info.payment_type</t>
  </si>
  <si>
    <r>
      <rPr>
        <rFont val="Arial"/>
        <color theme="1"/>
        <sz val="10.0"/>
      </rPr>
      <t xml:space="preserve">ExtnRegion
</t>
    </r>
    <r>
      <rPr>
        <rFont val="Arial"/>
        <b/>
        <color theme="1"/>
        <sz val="10.0"/>
      </rPr>
      <t>(validar con IBM)</t>
    </r>
  </si>
  <si>
    <t xml:space="preserve">ExtnIsFirmDeliveryAddress </t>
  </si>
  <si>
    <t>char</t>
  </si>
  <si>
    <t>N when the address is a dummy address
Default is blank</t>
  </si>
  <si>
    <t>ExtnDesignCenterID</t>
  </si>
  <si>
    <t>ID to group several orders belonging to same design center project.</t>
  </si>
  <si>
    <t>ExtnGREventType</t>
  </si>
  <si>
    <t>YFS_ORDER_HEADER.EXTN_GR_EVENT_TYPE</t>
  </si>
  <si>
    <t xml:space="preserve">[3/25 added] Gift Registry event type. 
No longer using Order/@DepartmentCode </t>
  </si>
  <si>
    <t xml:space="preserve">ExtnGREventType
[3/25 added] Gift Registry event type. 
No longer using Order/@DepartmentCode </t>
  </si>
  <si>
    <t>ExtnPickupNode</t>
  </si>
  <si>
    <t>YFS_ORDER_HEADER.EXTN_PICKUP_NODE</t>
  </si>
  <si>
    <t>[3/25 added C&amp;C] Pickup location of order for CnC. Mandatory for CnC</t>
  </si>
  <si>
    <t>ExtnPickupNode
[3/25 added C&amp;C] Pickup location of order for CnC. Mandatory for CnC</t>
  </si>
  <si>
    <t>ExtnPickupType</t>
  </si>
  <si>
    <t>YFS_ORDER_HEADER.EXTN_PICKUP_TYPE</t>
  </si>
  <si>
    <t>[3/25 added C&amp;C] Pick up area that customer selected. Mandatory for CnC.
The possible value are
1. M - for in ACC Modulo (/inside store)
2. A - for Drive through (/ Curbside)
Default is 'M - In ACC Modulo'</t>
  </si>
  <si>
    <t>ExtnPickupType
[3/25 added C&amp;C] Pick up area that customer selected. Mandatory for CnC.
The possible value are
1. M - for in ACC Modulo (/inside store)
2. A - for Drive through (/ Curbside)
Default is 'M - In ACC Modulo'</t>
  </si>
  <si>
    <t>ExtnPickupType
[3/25 added C&amp;C] Pick up area that customer selected. Mandatory for CnC.
The possible value are
1. M - for in ACC Modulo (/inside store)
2. A - for Drive through (/ Curbside)
Default is 'M - In ACC Modulo'
Omitir hasta que se libere sprint3 de OMS C&amp;C</t>
  </si>
  <si>
    <r>
      <rPr>
        <rFont val="Arial"/>
        <color theme="1"/>
        <sz val="11.0"/>
      </rPr>
      <t xml:space="preserve">Jul1.rmm.start
RMQ-DST-ATG-ADR-ID
Values: RECOGE EN AUTO or RECOGE EN MODULO
Si ExtnPickupType=M entonces RMQ-DST-ATG-ADR-ID="RECOGE EN MODULO"
Si ExtnPickupType=A entonces RMQ-DST-ATG-ADR-ID="RECOGE EN AUTO"
Aplica solo en el caso de C&amp;C
</t>
    </r>
    <r>
      <rPr>
        <rFont val="Arial"/>
        <color rgb="FF9900FF"/>
        <sz val="11.0"/>
      </rPr>
      <t xml:space="preserve">AddressId
</t>
    </r>
    <r>
      <rPr>
        <rFont val="Arial"/>
        <color theme="1"/>
        <sz val="11.0"/>
      </rPr>
      <t>Jul1.rmm.end</t>
    </r>
  </si>
  <si>
    <t>/Order/PersonInfoContact/@</t>
  </si>
  <si>
    <t>For C&amp;C - Additional contact details for picking up</t>
  </si>
  <si>
    <t>AddressLine1</t>
  </si>
  <si>
    <t>yfs_person_info.address_line1</t>
  </si>
  <si>
    <t>70</t>
  </si>
  <si>
    <t>AddressLine2</t>
  </si>
  <si>
    <t>yfs_person_info.address_line2</t>
  </si>
  <si>
    <t>AddressLine3</t>
  </si>
  <si>
    <t>yfs_person_info.address_line3</t>
  </si>
  <si>
    <t>yfs_person_info.address_line4</t>
  </si>
  <si>
    <r>
      <rPr>
        <rFont val="Arial"/>
        <strike/>
        <color rgb="FFFF0000"/>
        <sz val="11.0"/>
      </rPr>
      <t>O</t>
    </r>
    <r>
      <rPr>
        <rFont val="Arial"/>
        <color theme="1"/>
        <sz val="11.0"/>
      </rPr>
      <t xml:space="preserve">
M</t>
    </r>
  </si>
  <si>
    <t>yfs_person_info.address_line5</t>
  </si>
  <si>
    <r>
      <rPr>
        <rFont val="Arial"/>
        <strike/>
        <color rgb="FFFF0000"/>
        <sz val="11.0"/>
      </rPr>
      <t>O</t>
    </r>
    <r>
      <rPr>
        <rFont val="Arial"/>
        <color theme="1"/>
        <sz val="11.0"/>
      </rPr>
      <t xml:space="preserve">
M</t>
    </r>
  </si>
  <si>
    <t>yfs_person_info.address_line6</t>
  </si>
  <si>
    <t>AddressLine6 (Entre calles)
Concatenar EntreCalles, dividir con un PIPE las calles</t>
  </si>
  <si>
    <t>City</t>
  </si>
  <si>
    <t>yfs_person_info.city</t>
  </si>
  <si>
    <t>35</t>
  </si>
  <si>
    <t>yfs_person_info.country</t>
  </si>
  <si>
    <t>yfs_person_info.emailid</t>
  </si>
  <si>
    <t>150</t>
  </si>
  <si>
    <t>yfs_person_info.first_name</t>
  </si>
  <si>
    <t>yfs_person_info.last_name</t>
  </si>
  <si>
    <t>yfs_person_info.middle_name</t>
  </si>
  <si>
    <t>yfs_person_info.mobile_phone</t>
  </si>
  <si>
    <t>yfs_person_info.state</t>
  </si>
  <si>
    <t>IsAddressVerified</t>
  </si>
  <si>
    <t>yfs_person_info.is_address_verified</t>
  </si>
  <si>
    <t>1</t>
  </si>
  <si>
    <t>yfs_person_info.zip_code</t>
  </si>
  <si>
    <r>
      <rPr>
        <rFont val="Arial"/>
        <color theme="1"/>
        <sz val="11.0"/>
      </rPr>
      <t xml:space="preserve">RMQ-DST-LAD2-ID - Primeros 3 dígitos
RMQ-DST-TEL3-ID - Últimos 7 dígitos 
</t>
    </r>
    <r>
      <rPr>
        <rFont val="Arial"/>
        <color rgb="FF9900FF"/>
        <sz val="11.0"/>
      </rPr>
      <t>DayPhone</t>
    </r>
  </si>
  <si>
    <t>OrderLevel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</si>
</sst>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d\.m"/>
    <numFmt numFmtId="166" formatCode="dd/mm/yyyy"/>
    <numFmt numFmtId="167" formatCode="yyyy\-mm\-dd\ h:mm:ss"/>
  </numFmts>
  <fonts count="57">
    <font>
      <sz val="11.0"/>
      <color rgb="FF000000"/>
      <name val="Calibri"/>
      <scheme val="minor"/>
    </font>
    <font>
      <sz val="10.0"/>
      <color theme="1"/>
      <name val="Arial"/>
    </font>
    <font>
      <b/>
      <sz val="11.0"/>
      <color theme="1"/>
      <name val="Calibri"/>
    </font>
    <font>
      <b/>
      <sz val="10.0"/>
      <color theme="1"/>
      <name val="Arial Narrow"/>
    </font>
    <font>
      <b/>
      <u/>
      <sz val="16.0"/>
      <color theme="1"/>
      <name val="Arial"/>
    </font>
    <font>
      <b/>
      <sz val="10.0"/>
      <color theme="1"/>
      <name val="Arial"/>
    </font>
    <font>
      <sz val="11.0"/>
      <color theme="1"/>
      <name val="Calibri"/>
    </font>
    <font>
      <sz val="11.0"/>
      <color rgb="FF000000"/>
      <name val="Calibri"/>
    </font>
    <font>
      <sz val="10.0"/>
      <color theme="1"/>
      <name val="Arial Narrow"/>
    </font>
    <font>
      <sz val="9.0"/>
      <color rgb="FF666699"/>
      <name val="Arial"/>
    </font>
    <font>
      <sz val="14.0"/>
      <color theme="1"/>
      <name val="Arial"/>
    </font>
    <font>
      <b/>
      <sz val="18.0"/>
      <color theme="1"/>
      <name val="Arial"/>
    </font>
    <font>
      <b/>
      <u/>
      <sz val="16.0"/>
      <color theme="1"/>
      <name val="Arial"/>
    </font>
    <font>
      <sz val="20.0"/>
      <color theme="1"/>
      <name val="Arial"/>
    </font>
    <font>
      <b/>
      <sz val="14.0"/>
      <color theme="1"/>
      <name val="Arial"/>
    </font>
    <font>
      <b/>
      <sz val="12.0"/>
      <color theme="1"/>
      <name val="Arial"/>
    </font>
    <font>
      <u/>
      <sz val="10.0"/>
      <color theme="1"/>
      <name val="Arial"/>
    </font>
    <font>
      <u/>
      <sz val="10.0"/>
      <color rgb="FF0000FF"/>
      <name val="Arial"/>
    </font>
    <font>
      <b/>
      <sz val="11.0"/>
      <color rgb="FF000000"/>
      <name val="Arial"/>
    </font>
    <font>
      <sz val="11.0"/>
      <color rgb="FFFF0000"/>
      <name val="Arial"/>
    </font>
    <font>
      <sz val="11.0"/>
      <color rgb="FF000000"/>
      <name val="Arial"/>
    </font>
    <font>
      <b/>
      <u/>
      <sz val="11.0"/>
      <color theme="1"/>
      <name val="Arial"/>
    </font>
    <font>
      <b/>
      <sz val="9.0"/>
      <color theme="1"/>
      <name val="Arial"/>
    </font>
    <font>
      <u/>
      <sz val="11.0"/>
      <color theme="1"/>
      <name val="Arial"/>
    </font>
    <font>
      <b/>
      <sz val="11.0"/>
      <color theme="1"/>
      <name val="Arial"/>
    </font>
    <font>
      <b/>
      <u/>
      <sz val="11.0"/>
      <color theme="1"/>
      <name val="Arial"/>
    </font>
    <font>
      <sz val="11.0"/>
      <color theme="1"/>
      <name val="Arial"/>
    </font>
    <font>
      <b/>
      <u/>
      <sz val="11.0"/>
      <color rgb="FF000000"/>
      <name val="Calibri"/>
    </font>
    <font>
      <sz val="10.0"/>
      <color rgb="FFFF0000"/>
      <name val="Arial"/>
    </font>
    <font>
      <b/>
      <u/>
      <sz val="11.0"/>
      <color rgb="FF000000"/>
      <name val="Calibri"/>
    </font>
    <font>
      <b/>
      <sz val="11.0"/>
      <color rgb="FFFF0000"/>
      <name val="Arial"/>
    </font>
    <font>
      <sz val="11.0"/>
      <color rgb="FF0000FF"/>
      <name val="Arial"/>
    </font>
    <font>
      <sz val="11.0"/>
      <color rgb="FF202124"/>
      <name val="Arial"/>
    </font>
    <font>
      <b/>
      <u/>
      <sz val="18.0"/>
      <color theme="1"/>
      <name val="Arial"/>
    </font>
    <font>
      <i/>
      <sz val="10.0"/>
      <color rgb="FFFF0000"/>
      <name val="Arial"/>
    </font>
    <font>
      <u/>
      <sz val="14.0"/>
      <color theme="1"/>
      <name val="Arial"/>
    </font>
    <font>
      <u/>
      <sz val="9.0"/>
      <color rgb="FF0000FF"/>
      <name val="Arial"/>
    </font>
    <font>
      <u/>
      <sz val="11.0"/>
      <color rgb="FFFF0000"/>
      <name val="Calibri"/>
    </font>
    <font>
      <u/>
      <sz val="11.0"/>
      <color rgb="FF000000"/>
      <name val="Calibri"/>
    </font>
    <font>
      <color rgb="FF000000"/>
      <name val="Calibri"/>
    </font>
    <font>
      <sz val="11.0"/>
      <color rgb="FFFF0000"/>
      <name val="Calibri"/>
    </font>
    <font>
      <color rgb="FFFF0000"/>
      <name val="Calibri"/>
    </font>
    <font>
      <sz val="11.0"/>
      <color rgb="FF0000FF"/>
      <name val="Calibri"/>
    </font>
    <font>
      <sz val="10.0"/>
      <color rgb="FF000000"/>
      <name val="Arial"/>
    </font>
    <font>
      <u/>
      <sz val="11.0"/>
      <color theme="1"/>
      <name val="Arial"/>
    </font>
    <font>
      <strike/>
      <sz val="10.0"/>
      <color theme="1"/>
      <name val="Arial"/>
    </font>
    <font>
      <sz val="11.0"/>
      <color rgb="FF172B4D"/>
      <name val="Arial"/>
    </font>
    <font>
      <b/>
      <sz val="18.0"/>
      <color theme="1"/>
      <name val="Arial Narrow"/>
    </font>
    <font>
      <b/>
      <sz val="10.0"/>
      <color rgb="FFFF0000"/>
      <name val="Courier New"/>
    </font>
    <font>
      <u/>
      <sz val="10.0"/>
      <color rgb="FF0000FF"/>
      <name val="Arial"/>
    </font>
    <font>
      <u/>
      <sz val="10.0"/>
      <color rgb="FF0000FF"/>
      <name val="Arial"/>
    </font>
    <font>
      <b/>
      <sz val="11.0"/>
      <color rgb="FF0000FF"/>
      <name val="Arial"/>
    </font>
    <font>
      <color theme="1"/>
      <name val="Calibri"/>
      <scheme val="minor"/>
    </font>
    <font>
      <strike/>
      <sz val="11.0"/>
      <color theme="1"/>
      <name val="Arial"/>
    </font>
    <font>
      <b/>
      <sz val="10.0"/>
      <color rgb="FF000000"/>
      <name val="Arial"/>
    </font>
    <font>
      <sz val="10.0"/>
      <color rgb="FF0000FF"/>
      <name val="Arial"/>
    </font>
    <font>
      <b/>
      <u/>
      <sz val="11.0"/>
      <color rgb="FF0000FF"/>
      <name val="Arial"/>
    </font>
  </fonts>
  <fills count="15">
    <fill>
      <patternFill patternType="none"/>
    </fill>
    <fill>
      <patternFill patternType="lightGray"/>
    </fill>
    <fill>
      <patternFill patternType="solid">
        <fgColor rgb="FFD8D8D8"/>
        <bgColor rgb="FFD8D8D8"/>
      </patternFill>
    </fill>
    <fill>
      <patternFill patternType="solid">
        <fgColor rgb="FFFF9900"/>
        <bgColor rgb="FFFF9900"/>
      </patternFill>
    </fill>
    <fill>
      <patternFill patternType="solid">
        <fgColor rgb="FFFFFFFF"/>
        <bgColor rgb="FFFFFFFF"/>
      </patternFill>
    </fill>
    <fill>
      <patternFill patternType="solid">
        <fgColor theme="0"/>
        <bgColor theme="0"/>
      </patternFill>
    </fill>
    <fill>
      <patternFill patternType="solid">
        <fgColor rgb="FFC0C0C0"/>
        <bgColor rgb="FFC0C0C0"/>
      </patternFill>
    </fill>
    <fill>
      <patternFill patternType="solid">
        <fgColor rgb="FFFF99FF"/>
        <bgColor rgb="FFFF99FF"/>
      </patternFill>
    </fill>
    <fill>
      <patternFill patternType="solid">
        <fgColor rgb="FF99CC00"/>
        <bgColor rgb="FF99CC00"/>
      </patternFill>
    </fill>
    <fill>
      <patternFill patternType="solid">
        <fgColor rgb="FFFFFF00"/>
        <bgColor rgb="FFFFFF00"/>
      </patternFill>
    </fill>
    <fill>
      <patternFill patternType="solid">
        <fgColor rgb="FFD9EAD3"/>
        <bgColor rgb="FFD9EAD3"/>
      </patternFill>
    </fill>
    <fill>
      <patternFill patternType="solid">
        <fgColor rgb="FFFDE9D9"/>
        <bgColor rgb="FFFDE9D9"/>
      </patternFill>
    </fill>
    <fill>
      <patternFill patternType="solid">
        <fgColor rgb="FFEAD1DC"/>
        <bgColor rgb="FFEAD1DC"/>
      </patternFill>
    </fill>
    <fill>
      <patternFill patternType="solid">
        <fgColor rgb="FF8E7CC3"/>
        <bgColor rgb="FF8E7CC3"/>
      </patternFill>
    </fill>
    <fill>
      <patternFill patternType="solid">
        <fgColor rgb="FFC27BA0"/>
        <bgColor rgb="FFC27BA0"/>
      </patternFill>
    </fill>
  </fills>
  <borders count="20">
    <border/>
    <border>
      <left style="thin">
        <color rgb="FF000000"/>
      </left>
      <right style="thin">
        <color rgb="FF000000"/>
      </right>
      <top style="thin">
        <color rgb="FF000000"/>
      </top>
      <bottom style="thin">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top/>
      <bottom/>
    </border>
    <border>
      <left style="thin">
        <color rgb="FF000000"/>
      </left>
      <right style="thin">
        <color rgb="FF000000"/>
      </right>
      <top style="thin">
        <color rgb="FF000000"/>
      </top>
    </border>
    <border>
      <left/>
      <right style="medium">
        <color rgb="FF000000"/>
      </right>
      <top/>
      <bottom/>
    </border>
    <border>
      <right style="thin">
        <color rgb="FF000000"/>
      </right>
      <top style="thin">
        <color rgb="FF000000"/>
      </top>
      <bottom style="thin">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FFFFFF"/>
      </left>
      <right style="thin">
        <color rgb="FFFFFFFF"/>
      </right>
      <top style="thin">
        <color rgb="FFFFFFFF"/>
      </top>
      <bottom style="thin">
        <color rgb="FFFFFFFF"/>
      </bottom>
    </border>
    <border>
      <bottom style="thin">
        <color rgb="FFFFFFFF"/>
      </bottom>
    </border>
    <border>
      <top style="thin">
        <color rgb="FFFFFFFF"/>
      </top>
      <bottom style="thin">
        <color rgb="FFFFFFFF"/>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border>
  </borders>
  <cellStyleXfs count="1">
    <xf borderId="0" fillId="0" fontId="0" numFmtId="0" applyAlignment="1" applyFont="1"/>
  </cellStyleXfs>
  <cellXfs count="362">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vertical="bottom"/>
    </xf>
    <xf borderId="1" fillId="3" fontId="3" numFmtId="0" xfId="0" applyAlignment="1" applyBorder="1" applyFill="1" applyFont="1">
      <alignment horizontal="center" shrinkToFit="0" vertical="center" wrapText="1"/>
    </xf>
    <xf borderId="1" fillId="2" fontId="2" numFmtId="0" xfId="0" applyAlignment="1" applyBorder="1" applyFont="1">
      <alignment shrinkToFit="0" vertical="bottom" wrapText="1"/>
    </xf>
    <xf borderId="0" fillId="0" fontId="4" numFmtId="0" xfId="0" applyFont="1"/>
    <xf borderId="0" fillId="0" fontId="5" numFmtId="0" xfId="0" applyFont="1"/>
    <xf borderId="1" fillId="3" fontId="3" numFmtId="164" xfId="0" applyAlignment="1" applyBorder="1" applyFont="1" applyNumberFormat="1">
      <alignment horizontal="center" shrinkToFit="0" vertical="center" wrapText="1"/>
    </xf>
    <xf borderId="1" fillId="0" fontId="6" numFmtId="0" xfId="0" applyAlignment="1" applyBorder="1" applyFont="1">
      <alignment horizontal="right" shrinkToFit="0" vertical="bottom" wrapText="1"/>
    </xf>
    <xf borderId="1" fillId="0" fontId="6" numFmtId="0" xfId="0" applyAlignment="1" applyBorder="1" applyFont="1">
      <alignment readingOrder="0" shrinkToFit="0" vertical="bottom" wrapText="1"/>
    </xf>
    <xf borderId="1" fillId="3" fontId="3" numFmtId="0" xfId="0" applyAlignment="1" applyBorder="1" applyFont="1">
      <alignment horizontal="left" shrinkToFit="0" vertical="top" wrapText="1"/>
    </xf>
    <xf borderId="1" fillId="0" fontId="6" numFmtId="0" xfId="0" applyAlignment="1" applyBorder="1" applyFont="1">
      <alignment vertical="bottom"/>
    </xf>
    <xf borderId="1" fillId="0" fontId="7" numFmtId="0" xfId="0" applyAlignment="1" applyBorder="1" applyFont="1">
      <alignment horizontal="center" vertical="top"/>
    </xf>
    <xf borderId="1" fillId="0" fontId="7" numFmtId="164" xfId="0" applyAlignment="1" applyBorder="1" applyFont="1" applyNumberFormat="1">
      <alignment horizontal="right" vertical="top"/>
    </xf>
    <xf borderId="1" fillId="0" fontId="7" numFmtId="0" xfId="0" applyAlignment="1" applyBorder="1" applyFont="1">
      <alignment horizontal="left" vertical="top"/>
    </xf>
    <xf borderId="2" fillId="4" fontId="1" numFmtId="0" xfId="0" applyBorder="1" applyFill="1" applyFont="1"/>
    <xf borderId="3" fillId="4" fontId="1" numFmtId="0" xfId="0" applyBorder="1" applyFont="1"/>
    <xf borderId="1" fillId="0" fontId="6" numFmtId="0" xfId="0" applyAlignment="1" applyBorder="1" applyFont="1">
      <alignment horizontal="center" readingOrder="0" vertical="top"/>
    </xf>
    <xf borderId="1" fillId="3" fontId="3" numFmtId="0" xfId="0" applyAlignment="1" applyBorder="1" applyFont="1">
      <alignment horizontal="center"/>
    </xf>
    <xf borderId="1" fillId="0" fontId="6" numFmtId="0" xfId="0" applyAlignment="1" applyBorder="1" applyFont="1">
      <alignment horizontal="right" readingOrder="0" vertical="top"/>
    </xf>
    <xf borderId="1" fillId="3" fontId="3" numFmtId="0" xfId="0" applyAlignment="1" applyBorder="1" applyFont="1">
      <alignment horizontal="center" shrinkToFit="0" wrapText="1"/>
    </xf>
    <xf borderId="1" fillId="0" fontId="6" numFmtId="0" xfId="0" applyAlignment="1" applyBorder="1" applyFont="1">
      <alignment horizontal="left" readingOrder="0" shrinkToFit="0" vertical="top" wrapText="1"/>
    </xf>
    <xf borderId="1" fillId="0" fontId="6" numFmtId="0" xfId="0" applyAlignment="1" applyBorder="1" applyFont="1">
      <alignment horizontal="left" readingOrder="0" vertical="top"/>
    </xf>
    <xf borderId="1" fillId="0" fontId="6" numFmtId="164" xfId="0" applyAlignment="1" applyBorder="1" applyFont="1" applyNumberFormat="1">
      <alignment horizontal="right" readingOrder="0" vertical="top"/>
    </xf>
    <xf borderId="4" fillId="4" fontId="1" numFmtId="0" xfId="0" applyBorder="1" applyFont="1"/>
    <xf borderId="1" fillId="0" fontId="8" numFmtId="0" xfId="0" applyAlignment="1" applyBorder="1" applyFont="1">
      <alignment vertical="top"/>
    </xf>
    <xf borderId="1" fillId="0" fontId="6" numFmtId="0" xfId="0" applyAlignment="1" applyBorder="1" applyFont="1">
      <alignment horizontal="left" vertical="top"/>
    </xf>
    <xf borderId="1" fillId="0" fontId="6" numFmtId="0" xfId="0" applyAlignment="1" applyBorder="1" applyFont="1">
      <alignment horizontal="center" vertical="top"/>
    </xf>
    <xf borderId="1" fillId="0" fontId="8" numFmtId="0" xfId="0" applyAlignment="1" applyBorder="1" applyFont="1">
      <alignment shrinkToFit="0" vertical="top" wrapText="1"/>
    </xf>
    <xf borderId="1" fillId="0" fontId="6" numFmtId="164" xfId="0" applyAlignment="1" applyBorder="1" applyFont="1" applyNumberFormat="1">
      <alignment horizontal="right" vertical="top"/>
    </xf>
    <xf borderId="0" fillId="0" fontId="1" numFmtId="0" xfId="0" applyAlignment="1" applyFont="1">
      <alignment vertical="top"/>
    </xf>
    <xf borderId="5" fillId="4" fontId="1" numFmtId="0" xfId="0" applyBorder="1" applyFont="1"/>
    <xf borderId="1" fillId="0" fontId="6" numFmtId="0" xfId="0" applyAlignment="1" applyBorder="1" applyFont="1">
      <alignment horizontal="left" shrinkToFit="0" vertical="top" wrapText="1"/>
    </xf>
    <xf borderId="6" fillId="4" fontId="1" numFmtId="0" xfId="0" applyBorder="1" applyFont="1"/>
    <xf borderId="7" fillId="0" fontId="6" numFmtId="0" xfId="0" applyAlignment="1" applyBorder="1" applyFont="1">
      <alignment horizontal="center" vertical="top"/>
    </xf>
    <xf borderId="7" fillId="0" fontId="6" numFmtId="164" xfId="0" applyAlignment="1" applyBorder="1" applyFont="1" applyNumberFormat="1">
      <alignment horizontal="right" vertical="top"/>
    </xf>
    <xf borderId="7" fillId="0" fontId="6" numFmtId="0" xfId="0" applyAlignment="1" applyBorder="1" applyFont="1">
      <alignment horizontal="left" shrinkToFit="0" vertical="top" wrapText="1"/>
    </xf>
    <xf borderId="1" fillId="0" fontId="8" numFmtId="0" xfId="0" applyBorder="1" applyFont="1"/>
    <xf borderId="7" fillId="0" fontId="6" numFmtId="0" xfId="0" applyAlignment="1" applyBorder="1" applyFont="1">
      <alignment horizontal="left" vertical="top"/>
    </xf>
    <xf borderId="1" fillId="0" fontId="7" numFmtId="164" xfId="0" applyAlignment="1" applyBorder="1" applyFont="1" applyNumberFormat="1">
      <alignment horizontal="right"/>
    </xf>
    <xf borderId="1" fillId="0" fontId="7" numFmtId="0" xfId="0" applyBorder="1" applyFont="1"/>
    <xf borderId="0" fillId="0" fontId="9" numFmtId="0" xfId="0" applyFont="1"/>
    <xf borderId="0" fillId="0" fontId="7" numFmtId="0" xfId="0" applyFont="1"/>
    <xf borderId="1" fillId="0" fontId="8" numFmtId="0" xfId="0" applyAlignment="1" applyBorder="1" applyFont="1">
      <alignment shrinkToFit="0" wrapText="1"/>
    </xf>
    <xf borderId="8" fillId="4" fontId="1" numFmtId="0" xfId="0" applyBorder="1" applyFont="1"/>
    <xf borderId="6" fillId="4" fontId="10" numFmtId="0" xfId="0" applyBorder="1" applyFont="1"/>
    <xf borderId="1" fillId="5" fontId="8" numFmtId="0" xfId="0" applyBorder="1" applyFill="1" applyFont="1"/>
    <xf borderId="6" fillId="4" fontId="11" numFmtId="0" xfId="0" applyBorder="1" applyFont="1"/>
    <xf borderId="6" fillId="4" fontId="12" numFmtId="0" xfId="0" applyBorder="1" applyFont="1"/>
    <xf borderId="9" fillId="0" fontId="8" numFmtId="0" xfId="0" applyBorder="1" applyFont="1"/>
    <xf borderId="6" fillId="4" fontId="13" numFmtId="0" xfId="0" applyBorder="1" applyFont="1"/>
    <xf borderId="1" fillId="0" fontId="7" numFmtId="165" xfId="0" applyAlignment="1" applyBorder="1" applyFont="1" applyNumberFormat="1">
      <alignment horizontal="center" vertical="top"/>
    </xf>
    <xf borderId="0" fillId="0" fontId="8" numFmtId="0" xfId="0" applyAlignment="1" applyFont="1">
      <alignment vertical="top"/>
    </xf>
    <xf borderId="1" fillId="5" fontId="7" numFmtId="0" xfId="0" applyAlignment="1" applyBorder="1" applyFont="1">
      <alignment horizontal="left" shrinkToFit="0" vertical="top" wrapText="1"/>
    </xf>
    <xf borderId="6" fillId="4" fontId="14" numFmtId="0" xfId="0" applyBorder="1" applyFont="1"/>
    <xf borderId="1" fillId="0" fontId="7" numFmtId="0" xfId="0" applyAlignment="1" applyBorder="1" applyFont="1">
      <alignment horizontal="left" shrinkToFit="0" vertical="top" wrapText="1"/>
    </xf>
    <xf borderId="1" fillId="0" fontId="8" numFmtId="0" xfId="0" applyAlignment="1" applyBorder="1" applyFont="1">
      <alignment readingOrder="0" shrinkToFit="0" wrapText="1"/>
    </xf>
    <xf borderId="6" fillId="4" fontId="5" numFmtId="0" xfId="0" applyBorder="1" applyFont="1"/>
    <xf borderId="1" fillId="4" fontId="7" numFmtId="0" xfId="0" applyAlignment="1" applyBorder="1" applyFont="1">
      <alignment horizontal="left" vertical="top"/>
    </xf>
    <xf borderId="1" fillId="0" fontId="7" numFmtId="0" xfId="0" applyAlignment="1" applyBorder="1" applyFont="1">
      <alignment horizontal="right"/>
    </xf>
    <xf borderId="1" fillId="0" fontId="7" numFmtId="166" xfId="0" applyAlignment="1" applyBorder="1" applyFont="1" applyNumberFormat="1">
      <alignment horizontal="right"/>
    </xf>
    <xf borderId="1" fillId="0" fontId="1" numFmtId="0" xfId="0" applyBorder="1" applyFont="1"/>
    <xf borderId="10" fillId="4" fontId="1" numFmtId="0" xfId="0" applyBorder="1" applyFont="1"/>
    <xf borderId="1" fillId="4" fontId="7" numFmtId="0" xfId="0" applyAlignment="1" applyBorder="1" applyFont="1">
      <alignment horizontal="left" shrinkToFit="0" vertical="top" wrapText="1"/>
    </xf>
    <xf borderId="11" fillId="4" fontId="1" numFmtId="0" xfId="0" applyBorder="1" applyFont="1"/>
    <xf borderId="12" fillId="4" fontId="1" numFmtId="0" xfId="0" applyBorder="1" applyFont="1"/>
    <xf borderId="1" fillId="0" fontId="7" numFmtId="165" xfId="0" applyAlignment="1" applyBorder="1" applyFont="1" applyNumberFormat="1">
      <alignment horizontal="center" shrinkToFit="0" vertical="top" wrapText="1"/>
    </xf>
    <xf borderId="1" fillId="0" fontId="7" numFmtId="166" xfId="0" applyAlignment="1" applyBorder="1" applyFont="1" applyNumberFormat="1">
      <alignment horizontal="right" shrinkToFit="0" wrapText="1"/>
    </xf>
    <xf borderId="1" fillId="0" fontId="7" numFmtId="0" xfId="0" applyAlignment="1" applyBorder="1" applyFont="1">
      <alignment shrinkToFit="0" wrapText="1"/>
    </xf>
    <xf borderId="6" fillId="6" fontId="15" numFmtId="0" xfId="0" applyBorder="1" applyFill="1" applyFont="1"/>
    <xf borderId="6" fillId="6" fontId="1" numFmtId="0" xfId="0" applyBorder="1" applyFont="1"/>
    <xf borderId="6" fillId="6" fontId="16" numFmtId="0" xfId="0" applyBorder="1" applyFont="1"/>
    <xf borderId="1" fillId="0" fontId="17" numFmtId="0" xfId="0" applyAlignment="1" applyBorder="1" applyFont="1">
      <alignment readingOrder="0"/>
    </xf>
    <xf borderId="6" fillId="5" fontId="1" numFmtId="0" xfId="0" applyBorder="1" applyFont="1"/>
    <xf borderId="0" fillId="0" fontId="18" numFmtId="0" xfId="0" applyAlignment="1" applyFont="1">
      <alignment horizontal="center" readingOrder="0" shrinkToFit="1" wrapText="0"/>
    </xf>
    <xf borderId="0" fillId="0" fontId="19" numFmtId="0" xfId="0" applyAlignment="1" applyFont="1">
      <alignment shrinkToFit="1" wrapText="0"/>
    </xf>
    <xf borderId="0" fillId="0" fontId="20" numFmtId="0" xfId="0" applyAlignment="1" applyFont="1">
      <alignment shrinkToFit="1" wrapText="0"/>
    </xf>
    <xf borderId="0" fillId="0" fontId="20" numFmtId="0" xfId="0" applyAlignment="1" applyFont="1">
      <alignment horizontal="center" shrinkToFit="1" wrapText="0"/>
    </xf>
    <xf borderId="0" fillId="0" fontId="20" numFmtId="49" xfId="0" applyAlignment="1" applyFont="1" applyNumberFormat="1">
      <alignment shrinkToFit="1" vertical="center" wrapText="0"/>
    </xf>
    <xf borderId="0" fillId="0" fontId="20" numFmtId="0" xfId="0" applyAlignment="1" applyFont="1">
      <alignment horizontal="center" shrinkToFit="1" vertical="center" wrapText="0"/>
    </xf>
    <xf borderId="0" fillId="0" fontId="21" numFmtId="0" xfId="0" applyAlignment="1" applyFont="1">
      <alignment shrinkToFit="1" wrapText="0"/>
    </xf>
    <xf borderId="0" fillId="0" fontId="22" numFmtId="0" xfId="0" applyAlignment="1" applyFont="1">
      <alignment horizontal="left"/>
    </xf>
    <xf borderId="0" fillId="0" fontId="5" numFmtId="0" xfId="0" applyAlignment="1" applyFont="1">
      <alignment horizontal="center"/>
    </xf>
    <xf borderId="0" fillId="0" fontId="23" numFmtId="0" xfId="0" applyAlignment="1" applyFont="1">
      <alignment shrinkToFit="1" vertical="center" wrapText="0"/>
    </xf>
    <xf borderId="0" fillId="0" fontId="7" numFmtId="164" xfId="0" applyAlignment="1" applyFont="1" applyNumberFormat="1">
      <alignment horizontal="right"/>
    </xf>
    <xf borderId="1" fillId="3" fontId="24" numFmtId="0" xfId="0" applyAlignment="1" applyBorder="1" applyFont="1">
      <alignment horizontal="center" shrinkToFit="1" vertical="center" wrapText="0"/>
    </xf>
    <xf borderId="0" fillId="0" fontId="1" numFmtId="0" xfId="0" applyAlignment="1" applyFont="1">
      <alignment shrinkToFit="0" wrapText="1"/>
    </xf>
    <xf borderId="1" fillId="3" fontId="24" numFmtId="0" xfId="0" applyAlignment="1" applyBorder="1" applyFont="1">
      <alignment horizontal="center" shrinkToFit="1" wrapText="0"/>
    </xf>
    <xf borderId="1" fillId="3" fontId="24" numFmtId="49" xfId="0" applyAlignment="1" applyBorder="1" applyFont="1" applyNumberFormat="1">
      <alignment horizontal="center" shrinkToFit="1" vertical="center" wrapText="0"/>
    </xf>
    <xf borderId="1" fillId="3" fontId="24" numFmtId="0" xfId="0" applyAlignment="1" applyBorder="1" applyFont="1">
      <alignment horizontal="center" shrinkToFit="0" vertical="center" wrapText="1"/>
    </xf>
    <xf borderId="1" fillId="7" fontId="24" numFmtId="0" xfId="0" applyAlignment="1" applyBorder="1" applyFill="1" applyFont="1">
      <alignment horizontal="left" readingOrder="0" shrinkToFit="1" vertical="center" wrapText="0"/>
    </xf>
    <xf borderId="1" fillId="3" fontId="24" numFmtId="0" xfId="0" applyAlignment="1" applyBorder="1" applyFont="1">
      <alignment horizontal="center" readingOrder="0" shrinkToFit="1" vertical="center" wrapText="0"/>
    </xf>
    <xf borderId="0" fillId="0" fontId="5" numFmtId="0" xfId="0" applyAlignment="1" applyFont="1">
      <alignment horizontal="right"/>
    </xf>
    <xf borderId="1" fillId="3" fontId="25" numFmtId="0" xfId="0" applyAlignment="1" applyBorder="1" applyFont="1">
      <alignment horizontal="center" readingOrder="0" shrinkToFit="0" vertical="center" wrapText="1"/>
    </xf>
    <xf borderId="1" fillId="3" fontId="24" numFmtId="0" xfId="0" applyAlignment="1" applyBorder="1" applyFont="1">
      <alignment horizontal="center" readingOrder="0" shrinkToFit="0" vertical="center" wrapText="1"/>
    </xf>
    <xf borderId="1" fillId="8" fontId="24" numFmtId="0" xfId="0" applyAlignment="1" applyBorder="1" applyFill="1" applyFont="1">
      <alignment horizontal="center" readingOrder="0" shrinkToFit="1" wrapText="0"/>
    </xf>
    <xf borderId="1" fillId="8" fontId="24" numFmtId="0" xfId="0" applyAlignment="1" applyBorder="1" applyFont="1">
      <alignment shrinkToFit="1" wrapText="0"/>
    </xf>
    <xf borderId="1" fillId="8" fontId="24" numFmtId="0" xfId="0" applyAlignment="1" applyBorder="1" applyFont="1">
      <alignment horizontal="center" shrinkToFit="1" wrapText="0"/>
    </xf>
    <xf borderId="1" fillId="8" fontId="24" numFmtId="49" xfId="0" applyAlignment="1" applyBorder="1" applyFont="1" applyNumberFormat="1">
      <alignment shrinkToFit="1" vertical="center" wrapText="0"/>
    </xf>
    <xf borderId="1" fillId="8" fontId="24" numFmtId="0" xfId="0" applyAlignment="1" applyBorder="1" applyFont="1">
      <alignment horizontal="center" shrinkToFit="1" vertical="center" wrapText="0"/>
    </xf>
    <xf borderId="1" fillId="8" fontId="24" numFmtId="0" xfId="0" applyAlignment="1" applyBorder="1" applyFont="1">
      <alignment horizontal="center" readingOrder="0" shrinkToFit="1" vertical="center" wrapText="0"/>
    </xf>
    <xf borderId="13" fillId="0" fontId="1" numFmtId="0" xfId="0" applyBorder="1" applyFont="1"/>
    <xf borderId="14" fillId="0" fontId="1" numFmtId="0" xfId="0" applyBorder="1" applyFont="1"/>
    <xf borderId="1" fillId="0" fontId="1" numFmtId="0" xfId="0" applyAlignment="1" applyBorder="1" applyFont="1">
      <alignment horizontal="center" shrinkToFit="1" wrapText="0"/>
    </xf>
    <xf borderId="1" fillId="0" fontId="1" numFmtId="0" xfId="0" applyAlignment="1" applyBorder="1" applyFont="1">
      <alignment shrinkToFit="1" wrapText="0"/>
    </xf>
    <xf borderId="1" fillId="0" fontId="1" numFmtId="0" xfId="0" applyAlignment="1" applyBorder="1" applyFont="1">
      <alignment horizontal="right" shrinkToFit="1" wrapText="0"/>
    </xf>
    <xf borderId="15" fillId="0" fontId="1" numFmtId="0" xfId="0" applyBorder="1" applyFont="1"/>
    <xf borderId="0" fillId="0" fontId="1" numFmtId="0" xfId="0" applyAlignment="1" applyFont="1">
      <alignment shrinkToFit="1" wrapText="0"/>
    </xf>
    <xf borderId="1" fillId="0" fontId="26" numFmtId="0" xfId="0" applyAlignment="1" applyBorder="1" applyFont="1">
      <alignment horizontal="center" shrinkToFit="1" wrapText="0"/>
    </xf>
    <xf borderId="1" fillId="0" fontId="26" numFmtId="0" xfId="0" applyAlignment="1" applyBorder="1" applyFont="1">
      <alignment shrinkToFit="1" wrapText="0"/>
    </xf>
    <xf borderId="1" fillId="0" fontId="26" numFmtId="0" xfId="0" applyAlignment="1" applyBorder="1" applyFont="1">
      <alignment readingOrder="0" shrinkToFit="0" wrapText="1"/>
    </xf>
    <xf borderId="1" fillId="0" fontId="26" numFmtId="0" xfId="0" applyAlignment="1" applyBorder="1" applyFont="1">
      <alignment horizontal="center" readingOrder="0" shrinkToFit="1" wrapText="0"/>
    </xf>
    <xf borderId="1" fillId="0" fontId="26" numFmtId="0" xfId="0" applyAlignment="1" applyBorder="1" applyFont="1">
      <alignment horizontal="center" shrinkToFit="1" vertical="center" wrapText="0"/>
    </xf>
    <xf borderId="1" fillId="0" fontId="26" numFmtId="0" xfId="0" applyAlignment="1" applyBorder="1" applyFont="1">
      <alignment readingOrder="0" shrinkToFit="1" wrapText="0"/>
    </xf>
    <xf borderId="6" fillId="5" fontId="27" numFmtId="0" xfId="0" applyBorder="1" applyFont="1"/>
    <xf borderId="6" fillId="5" fontId="28" numFmtId="0" xfId="0" applyBorder="1" applyFont="1"/>
    <xf borderId="0" fillId="0" fontId="7" numFmtId="164" xfId="0" applyFont="1" applyNumberFormat="1"/>
    <xf borderId="1" fillId="0" fontId="1" numFmtId="0" xfId="0" applyAlignment="1" applyBorder="1" applyFont="1">
      <alignment horizontal="center" readingOrder="0" shrinkToFit="1" wrapText="0"/>
    </xf>
    <xf borderId="1" fillId="0" fontId="1" numFmtId="0" xfId="0" applyAlignment="1" applyBorder="1" applyFont="1">
      <alignment shrinkToFit="1" vertical="top" wrapText="0"/>
    </xf>
    <xf borderId="1" fillId="0" fontId="1" numFmtId="0" xfId="0" applyAlignment="1" applyBorder="1" applyFont="1">
      <alignment horizontal="center" shrinkToFit="1" vertical="center" wrapText="0"/>
    </xf>
    <xf borderId="13" fillId="5" fontId="1" numFmtId="0" xfId="0" applyBorder="1" applyFont="1"/>
    <xf borderId="0" fillId="0" fontId="1" numFmtId="0" xfId="0" applyAlignment="1" applyFont="1">
      <alignment horizontal="center"/>
    </xf>
    <xf borderId="0" fillId="0" fontId="29" numFmtId="0" xfId="0" applyFont="1"/>
    <xf borderId="1" fillId="0" fontId="19" numFmtId="0" xfId="0" applyAlignment="1" applyBorder="1" applyFont="1">
      <alignment shrinkToFit="1" wrapText="0"/>
    </xf>
    <xf borderId="1" fillId="0" fontId="26" numFmtId="49" xfId="0" applyAlignment="1" applyBorder="1" applyFont="1" applyNumberFormat="1">
      <alignment readingOrder="0" shrinkToFit="1" vertical="center" wrapText="0"/>
    </xf>
    <xf borderId="1" fillId="0" fontId="19" numFmtId="0" xfId="0" applyAlignment="1" applyBorder="1" applyFont="1">
      <alignment horizontal="center" readingOrder="0" shrinkToFit="0" vertical="center" wrapText="1"/>
    </xf>
    <xf borderId="1" fillId="0" fontId="26" numFmtId="0" xfId="0" applyAlignment="1" applyBorder="1" applyFont="1">
      <alignment horizontal="left" shrinkToFit="1" vertical="center" wrapText="0"/>
    </xf>
    <xf borderId="1" fillId="0" fontId="26" numFmtId="0" xfId="0" applyAlignment="1" applyBorder="1" applyFont="1">
      <alignment horizontal="left" readingOrder="0" shrinkToFit="1" vertical="center" wrapText="0"/>
    </xf>
    <xf borderId="1" fillId="0" fontId="30" numFmtId="0" xfId="0" applyAlignment="1" applyBorder="1" applyFont="1">
      <alignment readingOrder="0" shrinkToFit="1" wrapText="0"/>
    </xf>
    <xf borderId="1" fillId="0" fontId="31" numFmtId="49" xfId="0" applyAlignment="1" applyBorder="1" applyFont="1" applyNumberFormat="1">
      <alignment readingOrder="0" shrinkToFit="0" vertical="center" wrapText="1"/>
    </xf>
    <xf borderId="1" fillId="0" fontId="24" numFmtId="0" xfId="0" applyAlignment="1" applyBorder="1" applyFont="1">
      <alignment readingOrder="0" shrinkToFit="0" wrapText="1"/>
    </xf>
    <xf borderId="1" fillId="0" fontId="26" numFmtId="49" xfId="0" applyAlignment="1" applyBorder="1" applyFont="1" applyNumberFormat="1">
      <alignment shrinkToFit="1" vertical="center" wrapText="0"/>
    </xf>
    <xf borderId="1" fillId="0" fontId="26" numFmtId="0" xfId="0" applyAlignment="1" applyBorder="1" applyFont="1">
      <alignment horizontal="left" shrinkToFit="1" wrapText="0"/>
    </xf>
    <xf borderId="1" fillId="0" fontId="26" numFmtId="0" xfId="0" applyAlignment="1" applyBorder="1" applyFont="1">
      <alignment horizontal="left" readingOrder="0" shrinkToFit="1" wrapText="0"/>
    </xf>
    <xf borderId="1" fillId="0" fontId="26" numFmtId="0" xfId="0" applyAlignment="1" applyBorder="1" applyFont="1">
      <alignment shrinkToFit="0" wrapText="1"/>
    </xf>
    <xf borderId="1" fillId="4" fontId="32" numFmtId="0" xfId="0" applyAlignment="1" applyBorder="1" applyFont="1">
      <alignment horizontal="left" readingOrder="0"/>
    </xf>
    <xf borderId="1" fillId="0" fontId="26" numFmtId="0" xfId="0" applyAlignment="1" applyBorder="1" applyFont="1">
      <alignment horizontal="center" readingOrder="0" shrinkToFit="1" vertical="center" wrapText="0"/>
    </xf>
    <xf borderId="1" fillId="7" fontId="1" numFmtId="0" xfId="0" applyAlignment="1" applyBorder="1" applyFont="1">
      <alignment shrinkToFit="1" wrapText="0"/>
    </xf>
    <xf borderId="1" fillId="0" fontId="26" numFmtId="0" xfId="0" applyAlignment="1" applyBorder="1" applyFont="1">
      <alignment readingOrder="0" shrinkToFit="1" vertical="top" wrapText="0"/>
    </xf>
    <xf borderId="1" fillId="0" fontId="19" numFmtId="49" xfId="0" applyAlignment="1" applyBorder="1" applyFont="1" applyNumberFormat="1">
      <alignment readingOrder="0" shrinkToFit="0" vertical="center" wrapText="1"/>
    </xf>
    <xf borderId="1" fillId="0" fontId="26" numFmtId="0" xfId="0" applyAlignment="1" applyBorder="1" applyFont="1">
      <alignment horizontal="center" shrinkToFit="1" vertical="top" wrapText="0"/>
    </xf>
    <xf borderId="1" fillId="0" fontId="26" numFmtId="0" xfId="0" applyAlignment="1" applyBorder="1" applyFont="1">
      <alignment shrinkToFit="1" vertical="top" wrapText="0"/>
    </xf>
    <xf borderId="1" fillId="4" fontId="26" numFmtId="49" xfId="0" applyAlignment="1" applyBorder="1" applyFont="1" applyNumberFormat="1">
      <alignment readingOrder="0" shrinkToFit="0" vertical="center" wrapText="1"/>
    </xf>
    <xf borderId="1" fillId="4" fontId="32" numFmtId="0" xfId="0" applyAlignment="1" applyBorder="1" applyFont="1">
      <alignment horizontal="left" readingOrder="0" shrinkToFit="0" wrapText="1"/>
    </xf>
    <xf borderId="1" fillId="4" fontId="26" numFmtId="0" xfId="0" applyAlignment="1" applyBorder="1" applyFont="1">
      <alignment horizontal="left" readingOrder="0"/>
    </xf>
    <xf borderId="1" fillId="0" fontId="26" numFmtId="0" xfId="0" applyAlignment="1" applyBorder="1" applyFont="1">
      <alignment horizontal="left" readingOrder="0" shrinkToFit="0" wrapText="1"/>
    </xf>
    <xf borderId="1" fillId="0" fontId="26" numFmtId="49" xfId="0" applyAlignment="1" applyBorder="1" applyFont="1" applyNumberFormat="1">
      <alignment shrinkToFit="0" vertical="center" wrapText="1"/>
    </xf>
    <xf borderId="1" fillId="0" fontId="26" numFmtId="0" xfId="0" applyAlignment="1" applyBorder="1" applyFont="1">
      <alignment horizontal="left" readingOrder="0" shrinkToFit="1" vertical="top" wrapText="0"/>
    </xf>
    <xf borderId="0" fillId="0" fontId="1" numFmtId="0" xfId="0" applyAlignment="1" applyFont="1">
      <alignment shrinkToFit="1" vertical="top" wrapText="0"/>
    </xf>
    <xf borderId="0" fillId="0" fontId="20" numFmtId="0" xfId="0" applyAlignment="1" applyFont="1">
      <alignment horizontal="center" readingOrder="0" shrinkToFit="1" wrapText="0"/>
    </xf>
    <xf borderId="0" fillId="0" fontId="20" numFmtId="0" xfId="0" applyAlignment="1" applyFont="1">
      <alignment readingOrder="0" shrinkToFit="1" wrapText="0"/>
    </xf>
    <xf borderId="1" fillId="0" fontId="26" numFmtId="0" xfId="0" applyAlignment="1" applyBorder="1" applyFont="1">
      <alignment horizontal="left" readingOrder="0" shrinkToFit="0" vertical="top" wrapText="1"/>
    </xf>
    <xf borderId="1" fillId="0" fontId="26" numFmtId="49" xfId="0" applyAlignment="1" applyBorder="1" applyFont="1" applyNumberFormat="1">
      <alignment readingOrder="0" shrinkToFit="0" vertical="center" wrapText="1"/>
    </xf>
    <xf borderId="1" fillId="0" fontId="26" numFmtId="0" xfId="0" applyAlignment="1" applyBorder="1" applyFont="1">
      <alignment readingOrder="0" shrinkToFit="0" vertical="top" wrapText="1"/>
    </xf>
    <xf borderId="1" fillId="0" fontId="26" numFmtId="0" xfId="0" applyAlignment="1" applyBorder="1" applyFont="1">
      <alignment horizontal="left" shrinkToFit="1" vertical="top" wrapText="0"/>
    </xf>
    <xf borderId="1" fillId="0" fontId="1" numFmtId="0" xfId="0" applyAlignment="1" applyBorder="1" applyFont="1">
      <alignment readingOrder="0" shrinkToFit="1" wrapText="0"/>
    </xf>
    <xf borderId="1" fillId="0" fontId="1" numFmtId="0" xfId="0" applyAlignment="1" applyBorder="1" applyFont="1">
      <alignment horizontal="center" readingOrder="0" shrinkToFit="1" vertical="top" wrapText="0"/>
    </xf>
    <xf borderId="1" fillId="0" fontId="20" numFmtId="0" xfId="0" applyAlignment="1" applyBorder="1" applyFont="1">
      <alignment horizontal="center" shrinkToFit="1" wrapText="0"/>
    </xf>
    <xf borderId="1" fillId="5" fontId="26" numFmtId="0" xfId="0" applyAlignment="1" applyBorder="1" applyFont="1">
      <alignment readingOrder="0" shrinkToFit="0" wrapText="1"/>
    </xf>
    <xf borderId="1" fillId="5" fontId="19" numFmtId="0" xfId="0" applyAlignment="1" applyBorder="1" applyFont="1">
      <alignment horizontal="center" readingOrder="0" shrinkToFit="1" vertical="top" wrapText="0"/>
    </xf>
    <xf borderId="1" fillId="0" fontId="20" numFmtId="0" xfId="0" applyAlignment="1" applyBorder="1" applyFont="1">
      <alignment horizontal="center" shrinkToFit="1" vertical="top" wrapText="0"/>
    </xf>
    <xf borderId="0" fillId="0" fontId="26" numFmtId="0" xfId="0" applyAlignment="1" applyFont="1">
      <alignment readingOrder="0" shrinkToFit="1" wrapText="0"/>
    </xf>
    <xf borderId="1" fillId="0" fontId="20" numFmtId="0" xfId="0" applyAlignment="1" applyBorder="1" applyFont="1">
      <alignment horizontal="left" readingOrder="0" shrinkToFit="0" vertical="center" wrapText="1"/>
    </xf>
    <xf borderId="1" fillId="0" fontId="20" numFmtId="0" xfId="0" applyAlignment="1" applyBorder="1" applyFont="1">
      <alignment horizontal="left" readingOrder="0" shrinkToFit="1" vertical="center" wrapText="0"/>
    </xf>
    <xf borderId="1" fillId="0" fontId="26" numFmtId="0" xfId="0" applyAlignment="1" applyBorder="1" applyFont="1">
      <alignment horizontal="left" readingOrder="0" shrinkToFit="0" vertical="center" wrapText="1"/>
    </xf>
    <xf borderId="0" fillId="0" fontId="33" numFmtId="0" xfId="0" applyFont="1"/>
    <xf borderId="0" fillId="0" fontId="34" numFmtId="0" xfId="0" applyFont="1"/>
    <xf borderId="0" fillId="0" fontId="35" numFmtId="0" xfId="0" applyFont="1"/>
    <xf borderId="1" fillId="0" fontId="36" numFmtId="0" xfId="0" applyAlignment="1" applyBorder="1" applyFont="1">
      <alignment shrinkToFit="0" wrapText="1"/>
    </xf>
    <xf borderId="1" fillId="8" fontId="5" numFmtId="0" xfId="0" applyAlignment="1" applyBorder="1" applyFont="1">
      <alignment horizontal="center"/>
    </xf>
    <xf borderId="1" fillId="8" fontId="5" numFmtId="0" xfId="0" applyAlignment="1" applyBorder="1" applyFont="1">
      <alignment shrinkToFit="1" wrapText="0"/>
    </xf>
    <xf borderId="1" fillId="8" fontId="1" numFmtId="0" xfId="0" applyBorder="1" applyFont="1"/>
    <xf borderId="1" fillId="8" fontId="1" numFmtId="0" xfId="0" applyAlignment="1" applyBorder="1" applyFont="1">
      <alignment horizontal="center"/>
    </xf>
    <xf borderId="1" fillId="8" fontId="5" numFmtId="0" xfId="0" applyBorder="1" applyFont="1"/>
    <xf borderId="1" fillId="0" fontId="1" numFmtId="0" xfId="0" applyAlignment="1" applyBorder="1" applyFont="1">
      <alignment horizontal="center" shrinkToFit="0" wrapText="1"/>
    </xf>
    <xf borderId="1" fillId="0" fontId="1" numFmtId="0" xfId="0" applyAlignment="1" applyBorder="1" applyFont="1">
      <alignment shrinkToFit="0" wrapText="1"/>
    </xf>
    <xf borderId="1" fillId="0" fontId="1" numFmtId="0" xfId="0" applyAlignment="1" applyBorder="1" applyFont="1">
      <alignment horizontal="center"/>
    </xf>
    <xf borderId="1" fillId="8" fontId="1" numFmtId="0" xfId="0" applyAlignment="1" applyBorder="1" applyFont="1">
      <alignment shrinkToFit="0" wrapText="1"/>
    </xf>
    <xf borderId="0" fillId="0" fontId="7" numFmtId="0" xfId="0" applyAlignment="1" applyFont="1">
      <alignment horizontal="center"/>
    </xf>
    <xf borderId="1" fillId="0" fontId="1" numFmtId="0" xfId="0" applyAlignment="1" applyBorder="1" applyFont="1">
      <alignment horizontal="left" shrinkToFit="1" vertical="top" wrapText="0"/>
    </xf>
    <xf borderId="1" fillId="5" fontId="26" numFmtId="49" xfId="0" applyAlignment="1" applyBorder="1" applyFont="1" applyNumberFormat="1">
      <alignment shrinkToFit="1" vertical="center" wrapText="0"/>
    </xf>
    <xf borderId="1" fillId="5" fontId="26" numFmtId="0" xfId="0" applyAlignment="1" applyBorder="1" applyFont="1">
      <alignment horizontal="center" shrinkToFit="1" wrapText="0"/>
    </xf>
    <xf borderId="16" fillId="0" fontId="26" numFmtId="0" xfId="0" applyAlignment="1" applyBorder="1" applyFont="1">
      <alignment shrinkToFit="1" wrapText="0"/>
    </xf>
    <xf borderId="1" fillId="0" fontId="1" numFmtId="49" xfId="0" applyAlignment="1" applyBorder="1" applyFont="1" applyNumberFormat="1">
      <alignment shrinkToFit="0" vertical="center" wrapText="1"/>
    </xf>
    <xf borderId="16" fillId="0" fontId="1" numFmtId="0" xfId="0" applyAlignment="1" applyBorder="1" applyFont="1">
      <alignment shrinkToFit="1" wrapText="0"/>
    </xf>
    <xf borderId="1" fillId="0" fontId="1" numFmtId="0" xfId="0" applyAlignment="1" applyBorder="1" applyFont="1">
      <alignment horizontal="left" readingOrder="0" shrinkToFit="1" wrapText="0"/>
    </xf>
    <xf borderId="0" fillId="0" fontId="1" numFmtId="0" xfId="0" applyAlignment="1" applyFont="1">
      <alignment horizontal="center" shrinkToFit="1" vertical="center" wrapText="0"/>
    </xf>
    <xf borderId="0" fillId="0" fontId="7" numFmtId="0" xfId="0" applyAlignment="1" applyFont="1">
      <alignment shrinkToFit="0" vertical="bottom" wrapText="0"/>
    </xf>
    <xf borderId="0" fillId="0" fontId="37" numFmtId="0" xfId="0" applyAlignment="1" applyFont="1">
      <alignment readingOrder="0" shrinkToFit="0" vertical="bottom" wrapText="0"/>
    </xf>
    <xf borderId="0" fillId="4" fontId="38" numFmtId="0" xfId="0" applyAlignment="1" applyFont="1">
      <alignment horizontal="left" readingOrder="0"/>
    </xf>
    <xf borderId="0" fillId="4" fontId="7" numFmtId="0" xfId="0" applyAlignment="1" applyFont="1">
      <alignment shrinkToFit="0" vertical="bottom" wrapText="0"/>
    </xf>
    <xf borderId="0" fillId="4" fontId="39" numFmtId="0" xfId="0" applyFont="1"/>
    <xf borderId="0" fillId="0" fontId="40" numFmtId="0" xfId="0" applyAlignment="1" applyFont="1">
      <alignment readingOrder="0" shrinkToFit="0" vertical="bottom" wrapText="0"/>
    </xf>
    <xf borderId="1" fillId="9" fontId="1" numFmtId="0" xfId="0" applyAlignment="1" applyBorder="1" applyFill="1" applyFont="1">
      <alignment shrinkToFit="1" wrapText="0"/>
    </xf>
    <xf borderId="0" fillId="4" fontId="39" numFmtId="0" xfId="0" applyAlignment="1" applyFont="1">
      <alignment readingOrder="0"/>
    </xf>
    <xf borderId="0" fillId="4" fontId="41" numFmtId="0" xfId="0" applyAlignment="1" applyFont="1">
      <alignment readingOrder="0"/>
    </xf>
    <xf borderId="1" fillId="8" fontId="5" numFmtId="0" xfId="0" applyAlignment="1" applyBorder="1" applyFont="1">
      <alignment horizontal="center" shrinkToFit="1" wrapText="0"/>
    </xf>
    <xf borderId="0" fillId="8" fontId="5" numFmtId="0" xfId="0" applyAlignment="1" applyFont="1">
      <alignment shrinkToFit="1" wrapText="0"/>
    </xf>
    <xf borderId="1" fillId="8" fontId="24" numFmtId="0" xfId="0" applyAlignment="1" applyBorder="1" applyFont="1">
      <alignment readingOrder="0" shrinkToFit="1" wrapText="0"/>
    </xf>
    <xf borderId="1" fillId="8" fontId="24" numFmtId="49" xfId="0" applyAlignment="1" applyBorder="1" applyFont="1" applyNumberFormat="1">
      <alignment readingOrder="0" shrinkToFit="1" vertical="center" wrapText="0"/>
    </xf>
    <xf borderId="1" fillId="0" fontId="42" numFmtId="0" xfId="0" applyAlignment="1" applyBorder="1" applyFont="1">
      <alignment shrinkToFit="0" vertical="bottom" wrapText="0"/>
    </xf>
    <xf borderId="17" fillId="4" fontId="7" numFmtId="0" xfId="0" applyAlignment="1" applyBorder="1" applyFont="1">
      <alignment vertical="bottom"/>
    </xf>
    <xf borderId="0" fillId="4" fontId="7" numFmtId="0" xfId="0" applyAlignment="1" applyFont="1">
      <alignment vertical="bottom"/>
    </xf>
    <xf borderId="0" fillId="0" fontId="7" numFmtId="0" xfId="0" applyAlignment="1" applyFont="1">
      <alignment vertical="bottom"/>
    </xf>
    <xf borderId="1" fillId="0" fontId="26" numFmtId="0" xfId="0" applyAlignment="1" applyBorder="1" applyFont="1">
      <alignment horizontal="center" readingOrder="0" shrinkToFit="1" vertical="top" wrapText="0"/>
    </xf>
    <xf borderId="0" fillId="0" fontId="20" numFmtId="49" xfId="0" applyAlignment="1" applyFont="1" applyNumberFormat="1">
      <alignment readingOrder="0" shrinkToFit="0" vertical="center" wrapText="1"/>
    </xf>
    <xf borderId="17" fillId="0" fontId="26" numFmtId="0" xfId="0" applyAlignment="1" applyBorder="1" applyFont="1">
      <alignment horizontal="left" readingOrder="0" shrinkToFit="0" vertical="center" wrapText="1"/>
    </xf>
    <xf borderId="0" fillId="0" fontId="43" numFmtId="0" xfId="0" applyFont="1"/>
    <xf borderId="1" fillId="0" fontId="24" numFmtId="0" xfId="0" applyAlignment="1" applyBorder="1" applyFont="1">
      <alignment readingOrder="0" shrinkToFit="1" vertical="top" wrapText="0"/>
    </xf>
    <xf borderId="1" fillId="0" fontId="20" numFmtId="0" xfId="0" applyAlignment="1" applyBorder="1" applyFont="1">
      <alignment readingOrder="0" shrinkToFit="0" vertical="center" wrapText="1"/>
    </xf>
    <xf borderId="1" fillId="0" fontId="20" numFmtId="0" xfId="0" applyAlignment="1" applyBorder="1" applyFont="1">
      <alignment horizontal="left" shrinkToFit="0" wrapText="1"/>
    </xf>
    <xf borderId="1" fillId="0" fontId="26" numFmtId="0" xfId="0" applyAlignment="1" applyBorder="1" applyFont="1">
      <alignment horizontal="right" readingOrder="0" shrinkToFit="1" vertical="top" wrapText="0"/>
    </xf>
    <xf borderId="1" fillId="0" fontId="44" numFmtId="0" xfId="0" applyAlignment="1" applyBorder="1" applyFont="1">
      <alignment readingOrder="0" shrinkToFit="0" vertical="top" wrapText="1"/>
    </xf>
    <xf borderId="1" fillId="10" fontId="26" numFmtId="0" xfId="0" applyAlignment="1" applyBorder="1" applyFill="1" applyFont="1">
      <alignment readingOrder="0" shrinkToFit="0" vertical="top" wrapText="1"/>
    </xf>
    <xf borderId="1" fillId="0" fontId="1" numFmtId="0" xfId="0" applyAlignment="1" applyBorder="1" applyFont="1">
      <alignment horizontal="center" shrinkToFit="1" vertical="top" wrapText="0"/>
    </xf>
    <xf borderId="1" fillId="0" fontId="7" numFmtId="0" xfId="0" applyAlignment="1" applyBorder="1" applyFont="1">
      <alignment horizontal="left" shrinkToFit="0" wrapText="1"/>
    </xf>
    <xf borderId="1" fillId="0" fontId="1" numFmtId="0" xfId="0" applyAlignment="1" applyBorder="1" applyFont="1">
      <alignment shrinkToFit="0" vertical="top" wrapText="1"/>
    </xf>
    <xf borderId="17" fillId="0" fontId="1" numFmtId="0" xfId="0" applyAlignment="1" applyBorder="1" applyFont="1">
      <alignment horizontal="center" shrinkToFit="1" vertical="center" wrapText="0"/>
    </xf>
    <xf borderId="1" fillId="0" fontId="1" numFmtId="0" xfId="0" applyAlignment="1" applyBorder="1" applyFont="1">
      <alignment readingOrder="0" shrinkToFit="0" vertical="top" wrapText="1"/>
    </xf>
    <xf borderId="17" fillId="0" fontId="26" numFmtId="0" xfId="0" applyAlignment="1" applyBorder="1" applyFont="1">
      <alignment horizontal="left" shrinkToFit="1" vertical="center" wrapText="0"/>
    </xf>
    <xf borderId="17" fillId="0" fontId="26" numFmtId="0" xfId="0" applyAlignment="1" applyBorder="1" applyFont="1">
      <alignment horizontal="left" readingOrder="0" shrinkToFit="1" vertical="center" wrapText="0"/>
    </xf>
    <xf borderId="1" fillId="11" fontId="1" numFmtId="49" xfId="0" applyAlignment="1" applyBorder="1" applyFill="1" applyFont="1" applyNumberFormat="1">
      <alignment shrinkToFit="1" vertical="center" wrapText="0"/>
    </xf>
    <xf borderId="1" fillId="0" fontId="1" numFmtId="0" xfId="0" applyAlignment="1" applyBorder="1" applyFont="1">
      <alignment horizontal="left" readingOrder="0" shrinkToFit="0" vertical="center" wrapText="1"/>
    </xf>
    <xf borderId="1" fillId="0" fontId="1" numFmtId="0" xfId="0" applyAlignment="1" applyBorder="1" applyFont="1">
      <alignment readingOrder="0" shrinkToFit="1" vertical="top" wrapText="0"/>
    </xf>
    <xf borderId="1" fillId="0" fontId="1" numFmtId="0" xfId="0" applyAlignment="1" applyBorder="1" applyFont="1">
      <alignment horizontal="center" readingOrder="0" shrinkToFit="1" vertical="center" wrapText="0"/>
    </xf>
    <xf borderId="1" fillId="0" fontId="1" numFmtId="0" xfId="0" applyAlignment="1" applyBorder="1" applyFont="1">
      <alignment horizontal="center" shrinkToFit="0" vertical="top" wrapText="1"/>
    </xf>
    <xf borderId="0" fillId="0" fontId="26" numFmtId="0" xfId="0" applyAlignment="1" applyFont="1">
      <alignment horizontal="center" shrinkToFit="1" vertical="center" wrapText="0"/>
    </xf>
    <xf borderId="1" fillId="0" fontId="26" numFmtId="0" xfId="0" applyAlignment="1" applyBorder="1" applyFont="1">
      <alignment horizontal="center" shrinkToFit="0" vertical="top" wrapText="1"/>
    </xf>
    <xf borderId="1" fillId="10" fontId="26" numFmtId="0" xfId="0" applyAlignment="1" applyBorder="1" applyFont="1">
      <alignment readingOrder="0" shrinkToFit="1" vertical="top" wrapText="0"/>
    </xf>
    <xf borderId="1" fillId="9" fontId="1" numFmtId="0" xfId="0" applyAlignment="1" applyBorder="1" applyFont="1">
      <alignment horizontal="center" shrinkToFit="1" wrapText="0"/>
    </xf>
    <xf borderId="1" fillId="0" fontId="1" numFmtId="49" xfId="0" applyAlignment="1" applyBorder="1" applyFont="1" applyNumberFormat="1">
      <alignment readingOrder="0" shrinkToFit="1" vertical="center" wrapText="0"/>
    </xf>
    <xf borderId="1" fillId="5" fontId="1" numFmtId="0" xfId="0" applyAlignment="1" applyBorder="1" applyFont="1">
      <alignment horizontal="center" readingOrder="0" shrinkToFit="1" wrapText="0"/>
    </xf>
    <xf borderId="1" fillId="12" fontId="1" numFmtId="0" xfId="0" applyAlignment="1" applyBorder="1" applyFill="1" applyFont="1">
      <alignment horizontal="left" readingOrder="0" shrinkToFit="0" vertical="center" wrapText="1"/>
    </xf>
    <xf borderId="1" fillId="0" fontId="1" numFmtId="49" xfId="0" applyAlignment="1" applyBorder="1" applyFont="1" applyNumberFormat="1">
      <alignment shrinkToFit="1" vertical="center" wrapText="0"/>
    </xf>
    <xf borderId="1" fillId="0" fontId="1" numFmtId="167" xfId="0" applyAlignment="1" applyBorder="1" applyFont="1" applyNumberFormat="1">
      <alignment shrinkToFit="1" wrapText="0"/>
    </xf>
    <xf borderId="1" fillId="0" fontId="26" numFmtId="0" xfId="0" applyAlignment="1" applyBorder="1" applyFont="1">
      <alignment horizontal="left" shrinkToFit="0" vertical="center" wrapText="1"/>
    </xf>
    <xf borderId="1" fillId="8" fontId="5" numFmtId="0" xfId="0" applyAlignment="1" applyBorder="1" applyFont="1">
      <alignment horizontal="center" readingOrder="0" shrinkToFit="1" wrapText="0"/>
    </xf>
    <xf borderId="1" fillId="8" fontId="5" numFmtId="0" xfId="0" applyAlignment="1" applyBorder="1" applyFont="1">
      <alignment shrinkToFit="0" wrapText="1"/>
    </xf>
    <xf borderId="1" fillId="8" fontId="5" numFmtId="49" xfId="0" applyAlignment="1" applyBorder="1" applyFont="1" applyNumberFormat="1">
      <alignment shrinkToFit="1" vertical="center" wrapText="0"/>
    </xf>
    <xf borderId="1" fillId="8" fontId="5" numFmtId="0" xfId="0" applyAlignment="1" applyBorder="1" applyFont="1">
      <alignment horizontal="center" shrinkToFit="1" vertical="center" wrapText="0"/>
    </xf>
    <xf borderId="1" fillId="8" fontId="5" numFmtId="0" xfId="0" applyAlignment="1" applyBorder="1" applyFont="1">
      <alignment horizontal="center" readingOrder="0" shrinkToFit="1" vertical="center" wrapText="0"/>
    </xf>
    <xf borderId="0" fillId="8" fontId="5" numFmtId="0" xfId="0" applyAlignment="1" applyFont="1">
      <alignment horizontal="center" shrinkToFit="1" vertical="center" wrapText="0"/>
    </xf>
    <xf borderId="1" fillId="0" fontId="1" numFmtId="0" xfId="0" applyAlignment="1" applyBorder="1" applyFont="1">
      <alignment horizontal="left" readingOrder="0" shrinkToFit="1" vertical="center" wrapText="0"/>
    </xf>
    <xf borderId="1" fillId="0" fontId="31" numFmtId="0" xfId="0" applyAlignment="1" applyBorder="1" applyFont="1">
      <alignment readingOrder="0" shrinkToFit="1" wrapText="0"/>
    </xf>
    <xf borderId="1" fillId="0" fontId="31" numFmtId="0" xfId="0" applyAlignment="1" applyBorder="1" applyFont="1">
      <alignment horizontal="center" readingOrder="0" shrinkToFit="1" wrapText="0"/>
    </xf>
    <xf borderId="1" fillId="0" fontId="31" numFmtId="0" xfId="0" applyAlignment="1" applyBorder="1" applyFont="1">
      <alignment readingOrder="0" shrinkToFit="0" wrapText="1"/>
    </xf>
    <xf borderId="1" fillId="0" fontId="1" numFmtId="0" xfId="0" applyAlignment="1" applyBorder="1" applyFont="1">
      <alignment horizontal="left" shrinkToFit="1" vertical="center" wrapText="0"/>
    </xf>
    <xf borderId="1" fillId="0" fontId="1" numFmtId="0" xfId="0" applyAlignment="1" applyBorder="1" applyFont="1">
      <alignment horizontal="center" shrinkToFit="0" vertical="center" wrapText="1"/>
    </xf>
    <xf borderId="1" fillId="13" fontId="43" numFmtId="0" xfId="0" applyAlignment="1" applyBorder="1" applyFill="1" applyFont="1">
      <alignment horizontal="center"/>
    </xf>
    <xf borderId="1" fillId="0" fontId="45" numFmtId="0" xfId="0" applyAlignment="1" applyBorder="1" applyFont="1">
      <alignment shrinkToFit="1" wrapText="0"/>
    </xf>
    <xf borderId="1" fillId="0" fontId="20" numFmtId="0" xfId="0" applyAlignment="1" applyBorder="1" applyFont="1">
      <alignment horizontal="center"/>
    </xf>
    <xf borderId="1" fillId="0" fontId="20" numFmtId="0" xfId="0" applyAlignment="1" applyBorder="1" applyFont="1">
      <alignment readingOrder="0"/>
    </xf>
    <xf borderId="1" fillId="0" fontId="20" numFmtId="0" xfId="0" applyBorder="1" applyFont="1"/>
    <xf borderId="1" fillId="0" fontId="20" numFmtId="49" xfId="0" applyAlignment="1" applyBorder="1" applyFont="1" applyNumberFormat="1">
      <alignment readingOrder="0" shrinkToFit="0" vertical="top" wrapText="1"/>
    </xf>
    <xf borderId="1" fillId="0" fontId="20" numFmtId="0" xfId="0" applyAlignment="1" applyBorder="1" applyFont="1">
      <alignment readingOrder="0" shrinkToFit="0" wrapText="1"/>
    </xf>
    <xf borderId="1" fillId="0" fontId="20" numFmtId="0" xfId="0" applyAlignment="1" applyBorder="1" applyFont="1">
      <alignment horizontal="center" readingOrder="0"/>
    </xf>
    <xf borderId="1" fillId="0" fontId="43" numFmtId="0" xfId="0" applyAlignment="1" applyBorder="1" applyFont="1">
      <alignment horizontal="center" readingOrder="0"/>
    </xf>
    <xf borderId="1" fillId="0" fontId="43" numFmtId="0" xfId="0" applyBorder="1" applyFont="1"/>
    <xf borderId="1" fillId="0" fontId="43" numFmtId="0" xfId="0" applyAlignment="1" applyBorder="1" applyFont="1">
      <alignment horizontal="center"/>
    </xf>
    <xf borderId="1" fillId="0" fontId="43" numFmtId="49" xfId="0" applyAlignment="1" applyBorder="1" applyFont="1" applyNumberFormat="1">
      <alignment shrinkToFit="0" vertical="top" wrapText="1"/>
    </xf>
    <xf borderId="1" fillId="0" fontId="43" numFmtId="0" xfId="0" applyAlignment="1" applyBorder="1" applyFont="1">
      <alignment horizontal="center" readingOrder="0" vertical="center"/>
    </xf>
    <xf borderId="1" fillId="0" fontId="43" numFmtId="0" xfId="0" applyAlignment="1" applyBorder="1" applyFont="1">
      <alignment readingOrder="0"/>
    </xf>
    <xf borderId="1" fillId="0" fontId="43" numFmtId="49" xfId="0" applyAlignment="1" applyBorder="1" applyFont="1" applyNumberFormat="1">
      <alignment readingOrder="0" shrinkToFit="0" vertical="top" wrapText="1"/>
    </xf>
    <xf borderId="1" fillId="4" fontId="26" numFmtId="0" xfId="0" applyAlignment="1" applyBorder="1" applyFont="1">
      <alignment readingOrder="0" vertical="bottom"/>
    </xf>
    <xf borderId="6" fillId="4" fontId="46" numFmtId="0" xfId="0" applyAlignment="1" applyBorder="1" applyFont="1">
      <alignment horizontal="left"/>
    </xf>
    <xf borderId="1" fillId="0" fontId="31" numFmtId="0" xfId="0" applyAlignment="1" applyBorder="1" applyFont="1">
      <alignment horizontal="center" readingOrder="0"/>
    </xf>
    <xf borderId="1" fillId="4" fontId="24" numFmtId="0" xfId="0" applyAlignment="1" applyBorder="1" applyFont="1">
      <alignment horizontal="center" shrinkToFit="1" wrapText="0"/>
    </xf>
    <xf borderId="1" fillId="4" fontId="24" numFmtId="0" xfId="0" applyAlignment="1" applyBorder="1" applyFont="1">
      <alignment readingOrder="0" shrinkToFit="1" wrapText="0"/>
    </xf>
    <xf borderId="1" fillId="4" fontId="24" numFmtId="0" xfId="0" applyAlignment="1" applyBorder="1" applyFont="1">
      <alignment shrinkToFit="1" wrapText="0"/>
    </xf>
    <xf borderId="1" fillId="0" fontId="24" numFmtId="0" xfId="0" applyAlignment="1" applyBorder="1" applyFont="1">
      <alignment readingOrder="0" shrinkToFit="1" wrapText="0"/>
    </xf>
    <xf borderId="1" fillId="4" fontId="24" numFmtId="49" xfId="0" applyAlignment="1" applyBorder="1" applyFont="1" applyNumberFormat="1">
      <alignment shrinkToFit="1" vertical="center" wrapText="0"/>
    </xf>
    <xf borderId="1" fillId="4" fontId="24" numFmtId="0" xfId="0" applyAlignment="1" applyBorder="1" applyFont="1">
      <alignment horizontal="center" shrinkToFit="1" vertical="center" wrapText="0"/>
    </xf>
    <xf borderId="1" fillId="0" fontId="1" numFmtId="49" xfId="0" applyAlignment="1" applyBorder="1" applyFont="1" applyNumberFormat="1">
      <alignment shrinkToFit="0" wrapText="1"/>
    </xf>
    <xf borderId="0" fillId="0" fontId="1" numFmtId="0" xfId="0" applyAlignment="1" applyFont="1">
      <alignment horizontal="left" shrinkToFit="1" vertical="center" wrapText="0"/>
    </xf>
    <xf borderId="0" fillId="0" fontId="15" numFmtId="0" xfId="0" applyFont="1"/>
    <xf borderId="18" fillId="0" fontId="7" numFmtId="0" xfId="0" applyBorder="1" applyFont="1"/>
    <xf borderId="18" fillId="0" fontId="2" numFmtId="0" xfId="0" applyBorder="1" applyFont="1"/>
    <xf borderId="18" fillId="0" fontId="1" numFmtId="0" xfId="0" applyAlignment="1" applyBorder="1" applyFont="1">
      <alignment vertical="top"/>
    </xf>
    <xf borderId="18" fillId="0" fontId="5" numFmtId="0" xfId="0" applyBorder="1" applyFont="1"/>
    <xf borderId="6" fillId="6" fontId="47" numFmtId="0" xfId="0" applyBorder="1" applyFont="1"/>
    <xf borderId="6" fillId="6" fontId="8" numFmtId="0" xfId="0" applyBorder="1" applyFont="1"/>
    <xf borderId="0" fillId="0" fontId="8" numFmtId="0" xfId="0" applyFont="1"/>
    <xf borderId="6" fillId="3" fontId="3" numFmtId="0" xfId="0" applyAlignment="1" applyBorder="1" applyFont="1">
      <alignment horizontal="center"/>
    </xf>
    <xf borderId="0" fillId="0" fontId="8" numFmtId="0" xfId="0" applyAlignment="1" applyFont="1">
      <alignment horizontal="center"/>
    </xf>
    <xf quotePrefix="1" borderId="0" fillId="0" fontId="1" numFmtId="0" xfId="0" applyAlignment="1" applyFont="1">
      <alignment horizontal="right"/>
    </xf>
    <xf borderId="0" fillId="0" fontId="1" numFmtId="0" xfId="0" applyAlignment="1" applyFont="1">
      <alignment horizontal="right"/>
    </xf>
    <xf borderId="0" fillId="0" fontId="48" numFmtId="0" xfId="0" applyAlignment="1" applyFont="1">
      <alignment horizontal="left"/>
    </xf>
    <xf borderId="1" fillId="8" fontId="5" numFmtId="0" xfId="0" applyAlignment="1" applyBorder="1" applyFont="1">
      <alignment shrinkToFit="1" vertical="top" wrapText="0"/>
    </xf>
    <xf borderId="0" fillId="0" fontId="48" numFmtId="0" xfId="0" applyFont="1"/>
    <xf borderId="1" fillId="0" fontId="26" numFmtId="0" xfId="0" applyAlignment="1" applyBorder="1" applyFont="1">
      <alignment readingOrder="0" shrinkToFit="1" vertical="center" wrapText="0"/>
    </xf>
    <xf borderId="1" fillId="5" fontId="26" numFmtId="0" xfId="0" applyAlignment="1" applyBorder="1" applyFont="1">
      <alignment shrinkToFit="1" wrapText="0"/>
    </xf>
    <xf borderId="1" fillId="0" fontId="20" numFmtId="0" xfId="0" applyAlignment="1" applyBorder="1" applyFont="1">
      <alignment horizontal="left" shrinkToFit="0" vertical="center" wrapText="1"/>
    </xf>
    <xf borderId="1" fillId="0" fontId="20" numFmtId="0" xfId="0" applyAlignment="1" applyBorder="1" applyFont="1">
      <alignment shrinkToFit="0" wrapText="1"/>
    </xf>
    <xf borderId="1" fillId="0" fontId="20" numFmtId="0" xfId="0" applyAlignment="1" applyBorder="1" applyFont="1">
      <alignment horizontal="center" shrinkToFit="0" wrapText="1"/>
    </xf>
    <xf borderId="1" fillId="0" fontId="20" numFmtId="49" xfId="0" applyAlignment="1" applyBorder="1" applyFont="1" applyNumberFormat="1">
      <alignment shrinkToFit="0" wrapText="1"/>
    </xf>
    <xf borderId="1" fillId="0" fontId="20" numFmtId="0" xfId="0" applyAlignment="1" applyBorder="1" applyFont="1">
      <alignment horizontal="center" readingOrder="0" shrinkToFit="0" vertical="center" wrapText="1"/>
    </xf>
    <xf borderId="19" fillId="0" fontId="1" numFmtId="0" xfId="0" applyAlignment="1" applyBorder="1" applyFont="1">
      <alignment shrinkToFit="1" wrapText="0"/>
    </xf>
    <xf borderId="1" fillId="0" fontId="49" numFmtId="0" xfId="0" applyAlignment="1" applyBorder="1" applyFont="1">
      <alignment shrinkToFit="1" wrapText="0"/>
    </xf>
    <xf borderId="0" fillId="0" fontId="50" numFmtId="0" xfId="0" applyAlignment="1" applyFont="1">
      <alignment shrinkToFit="1" wrapText="0"/>
    </xf>
    <xf borderId="1" fillId="8" fontId="24" numFmtId="0" xfId="0" applyAlignment="1" applyBorder="1" applyFont="1">
      <alignment horizontal="center" readingOrder="0" shrinkToFit="0" vertical="center" wrapText="1"/>
    </xf>
    <xf borderId="1" fillId="9" fontId="26" numFmtId="0" xfId="0" applyAlignment="1" applyBorder="1" applyFont="1">
      <alignment horizontal="center" shrinkToFit="1" vertical="center" wrapText="0"/>
    </xf>
    <xf borderId="1" fillId="8" fontId="51" numFmtId="49" xfId="0" applyAlignment="1" applyBorder="1" applyFont="1" applyNumberFormat="1">
      <alignment readingOrder="0" shrinkToFit="1" vertical="center" wrapText="0"/>
    </xf>
    <xf borderId="0" fillId="0" fontId="52" numFmtId="0" xfId="0" applyAlignment="1" applyFont="1">
      <alignment readingOrder="0"/>
    </xf>
    <xf borderId="1" fillId="0" fontId="53" numFmtId="0" xfId="0" applyAlignment="1" applyBorder="1" applyFont="1">
      <alignment readingOrder="0" shrinkToFit="1" wrapText="0"/>
    </xf>
    <xf borderId="1" fillId="0" fontId="53" numFmtId="49" xfId="0" applyAlignment="1" applyBorder="1" applyFont="1" applyNumberFormat="1">
      <alignment readingOrder="0" shrinkToFit="0" vertical="center" wrapText="1"/>
    </xf>
    <xf borderId="1" fillId="8" fontId="5" numFmtId="0" xfId="0" applyAlignment="1" applyBorder="1" applyFont="1">
      <alignment horizontal="left" shrinkToFit="1" vertical="top" wrapText="0"/>
    </xf>
    <xf borderId="1" fillId="8" fontId="54" numFmtId="0" xfId="0" applyAlignment="1" applyBorder="1" applyFont="1">
      <alignment horizontal="center" readingOrder="0" shrinkToFit="0" wrapText="1"/>
    </xf>
    <xf borderId="1" fillId="8" fontId="54" numFmtId="0" xfId="0" applyAlignment="1" applyBorder="1" applyFont="1">
      <alignment shrinkToFit="0" wrapText="1"/>
    </xf>
    <xf borderId="1" fillId="8" fontId="54" numFmtId="49" xfId="0" applyAlignment="1" applyBorder="1" applyFont="1" applyNumberFormat="1">
      <alignment shrinkToFit="0" wrapText="1"/>
    </xf>
    <xf borderId="1" fillId="8" fontId="54" numFmtId="0" xfId="0" applyAlignment="1" applyBorder="1" applyFont="1">
      <alignment horizontal="center" shrinkToFit="0" wrapText="1"/>
    </xf>
    <xf borderId="1" fillId="8" fontId="54" numFmtId="0" xfId="0" applyAlignment="1" applyBorder="1" applyFont="1">
      <alignment horizontal="center" shrinkToFit="0" vertical="center" wrapText="1"/>
    </xf>
    <xf borderId="0" fillId="8" fontId="54" numFmtId="0" xfId="0" applyAlignment="1" applyFont="1">
      <alignment horizontal="center" shrinkToFit="0" wrapText="1"/>
    </xf>
    <xf borderId="1" fillId="0" fontId="43" numFmtId="0" xfId="0" applyAlignment="1" applyBorder="1" applyFont="1">
      <alignment horizontal="center" readingOrder="0" shrinkToFit="0" wrapText="1"/>
    </xf>
    <xf borderId="1" fillId="0" fontId="43" numFmtId="0" xfId="0" applyAlignment="1" applyBorder="1" applyFont="1">
      <alignment shrinkToFit="0" wrapText="1"/>
    </xf>
    <xf borderId="1" fillId="0" fontId="43" numFmtId="0" xfId="0" applyAlignment="1" applyBorder="1" applyFont="1">
      <alignment horizontal="center" shrinkToFit="0" wrapText="1"/>
    </xf>
    <xf borderId="1" fillId="0" fontId="43" numFmtId="49" xfId="0" applyAlignment="1" applyBorder="1" applyFont="1" applyNumberFormat="1">
      <alignment shrinkToFit="0" wrapText="1"/>
    </xf>
    <xf borderId="1" fillId="0" fontId="43" numFmtId="0" xfId="0" applyAlignment="1" applyBorder="1" applyFont="1">
      <alignment horizontal="center" readingOrder="0" shrinkToFit="0" vertical="center" wrapText="1"/>
    </xf>
    <xf borderId="1" fillId="0" fontId="43" numFmtId="0" xfId="0" applyAlignment="1" applyBorder="1" applyFont="1">
      <alignment horizontal="right" shrinkToFit="0" wrapText="1"/>
    </xf>
    <xf borderId="1" fillId="0" fontId="20" numFmtId="49" xfId="0" applyAlignment="1" applyBorder="1" applyFont="1" applyNumberFormat="1">
      <alignment readingOrder="0" shrinkToFit="0" wrapText="1"/>
    </xf>
    <xf borderId="1" fillId="0" fontId="20" numFmtId="0" xfId="0" applyAlignment="1" applyBorder="1" applyFont="1">
      <alignment horizontal="center" shrinkToFit="0" vertical="center" wrapText="1"/>
    </xf>
    <xf borderId="0" fillId="0" fontId="7" numFmtId="0" xfId="0" applyAlignment="1" applyFont="1">
      <alignment shrinkToFit="1" wrapText="0"/>
    </xf>
    <xf borderId="1" fillId="0" fontId="7" numFmtId="0" xfId="0" applyAlignment="1" applyBorder="1" applyFont="1">
      <alignment shrinkToFit="1" wrapText="0"/>
    </xf>
    <xf borderId="1" fillId="0" fontId="20" numFmtId="0" xfId="0" applyAlignment="1" applyBorder="1" applyFont="1">
      <alignment horizontal="left" readingOrder="0" shrinkToFit="1" vertical="top" wrapText="0"/>
    </xf>
    <xf borderId="1" fillId="0" fontId="20" numFmtId="0" xfId="0" applyAlignment="1" applyBorder="1" applyFont="1">
      <alignment horizontal="left" readingOrder="0" shrinkToFit="0" vertical="top" wrapText="1"/>
    </xf>
    <xf borderId="1" fillId="0" fontId="20" numFmtId="0" xfId="0" applyAlignment="1" applyBorder="1" applyFont="1">
      <alignment horizontal="left" shrinkToFit="1" vertical="top" wrapText="0"/>
    </xf>
    <xf borderId="1" fillId="4" fontId="20" numFmtId="0" xfId="0" applyAlignment="1" applyBorder="1" applyFont="1">
      <alignment horizontal="left" readingOrder="0"/>
    </xf>
    <xf borderId="1" fillId="4" fontId="20" numFmtId="0" xfId="0" applyAlignment="1" applyBorder="1" applyFont="1">
      <alignment horizontal="left"/>
    </xf>
    <xf borderId="1" fillId="14" fontId="43" numFmtId="0" xfId="0" applyAlignment="1" applyBorder="1" applyFill="1" applyFont="1">
      <alignment horizontal="center"/>
    </xf>
    <xf borderId="1" fillId="0" fontId="45" numFmtId="0" xfId="0" applyAlignment="1" applyBorder="1" applyFont="1">
      <alignment horizontal="center" readingOrder="0" shrinkToFit="1" wrapText="0"/>
    </xf>
    <xf borderId="1" fillId="0" fontId="45" numFmtId="0" xfId="0" applyAlignment="1" applyBorder="1" applyFont="1">
      <alignment horizontal="center" shrinkToFit="1" wrapText="0"/>
    </xf>
    <xf borderId="1" fillId="0" fontId="45" numFmtId="0" xfId="0" applyAlignment="1" applyBorder="1" applyFont="1">
      <alignment horizontal="center" readingOrder="0" shrinkToFit="1" vertical="center" wrapText="0"/>
    </xf>
    <xf borderId="1" fillId="0" fontId="45" numFmtId="0" xfId="0" applyAlignment="1" applyBorder="1" applyFont="1">
      <alignment horizontal="center" shrinkToFit="1" vertical="center" wrapText="0"/>
    </xf>
    <xf borderId="0" fillId="0" fontId="45" numFmtId="0" xfId="0" applyAlignment="1" applyFont="1">
      <alignment horizontal="center" shrinkToFit="1" vertical="center" wrapText="0"/>
    </xf>
    <xf borderId="1" fillId="0" fontId="20" numFmtId="0" xfId="0" applyAlignment="1" applyBorder="1" applyFont="1">
      <alignment horizontal="center" readingOrder="0" vertical="center"/>
    </xf>
    <xf borderId="1" fillId="0" fontId="20" numFmtId="49" xfId="0" applyAlignment="1" applyBorder="1" applyFont="1" applyNumberFormat="1">
      <alignment vertical="top"/>
    </xf>
    <xf borderId="1" fillId="0" fontId="43" numFmtId="49" xfId="0" applyAlignment="1" applyBorder="1" applyFont="1" applyNumberFormat="1">
      <alignment vertical="top"/>
    </xf>
    <xf borderId="1" fillId="0" fontId="43" numFmtId="0" xfId="0" applyAlignment="1" applyBorder="1" applyFont="1">
      <alignment shrinkToFit="0" vertical="top" wrapText="1"/>
    </xf>
    <xf borderId="1" fillId="0" fontId="19" numFmtId="0" xfId="0" applyAlignment="1" applyBorder="1" applyFont="1">
      <alignment readingOrder="0"/>
    </xf>
    <xf borderId="1" fillId="0" fontId="26" numFmtId="49" xfId="0" applyAlignment="1" applyBorder="1" applyFont="1" applyNumberFormat="1">
      <alignment readingOrder="0" shrinkToFit="0" wrapText="1"/>
    </xf>
    <xf borderId="0" fillId="0" fontId="26" numFmtId="0" xfId="0" applyAlignment="1" applyFont="1">
      <alignment readingOrder="0" shrinkToFit="0" wrapText="1"/>
    </xf>
    <xf borderId="1" fillId="0" fontId="1" numFmtId="0" xfId="0" applyAlignment="1" applyBorder="1" applyFont="1">
      <alignment readingOrder="0" shrinkToFit="0" wrapText="1"/>
    </xf>
    <xf borderId="1" fillId="0" fontId="6" numFmtId="0" xfId="0" applyBorder="1" applyFont="1"/>
    <xf borderId="1" fillId="0" fontId="6" numFmtId="49" xfId="0" applyBorder="1" applyFont="1" applyNumberFormat="1"/>
    <xf borderId="1" fillId="0" fontId="6" numFmtId="49" xfId="0" applyAlignment="1" applyBorder="1" applyFont="1" applyNumberFormat="1">
      <alignment horizontal="center"/>
    </xf>
    <xf borderId="1" fillId="0" fontId="6" numFmtId="0" xfId="0" applyAlignment="1" applyBorder="1" applyFont="1">
      <alignment horizontal="center" readingOrder="0" vertical="center"/>
    </xf>
    <xf borderId="1" fillId="0" fontId="6" numFmtId="0" xfId="0" applyAlignment="1" applyBorder="1" applyFont="1">
      <alignment readingOrder="0"/>
    </xf>
    <xf borderId="0" fillId="0" fontId="6" numFmtId="0" xfId="0" applyFont="1"/>
    <xf borderId="1" fillId="0" fontId="6" numFmtId="49" xfId="0" applyAlignment="1" applyBorder="1" applyFont="1" applyNumberFormat="1">
      <alignment shrinkToFit="0" wrapText="1"/>
    </xf>
    <xf borderId="1" fillId="0" fontId="55" numFmtId="0" xfId="0" applyAlignment="1" applyBorder="1" applyFont="1">
      <alignment readingOrder="0" shrinkToFit="1" wrapText="0"/>
    </xf>
    <xf borderId="1" fillId="0" fontId="55" numFmtId="0" xfId="0" applyAlignment="1" applyBorder="1" applyFont="1">
      <alignment readingOrder="0" shrinkToFit="1" vertical="top" wrapText="0"/>
    </xf>
    <xf borderId="1" fillId="0" fontId="31" numFmtId="0" xfId="0" applyAlignment="1" applyBorder="1" applyFont="1">
      <alignment horizontal="center" readingOrder="0" shrinkToFit="1" vertical="center" wrapText="0"/>
    </xf>
    <xf borderId="0" fillId="0" fontId="1" numFmtId="0" xfId="0" applyAlignment="1" applyFont="1">
      <alignment readingOrder="0" shrinkToFit="1" wrapText="0"/>
    </xf>
    <xf borderId="1" fillId="0" fontId="55" numFmtId="0" xfId="0" applyAlignment="1" applyBorder="1" applyFont="1">
      <alignment readingOrder="0" shrinkToFit="0" vertical="top" wrapText="1"/>
    </xf>
    <xf borderId="0" fillId="8" fontId="26" numFmtId="0" xfId="0" applyAlignment="1" applyFont="1">
      <alignment horizontal="center" readingOrder="0" shrinkToFit="1" vertical="center" wrapText="0"/>
    </xf>
    <xf borderId="1" fillId="8" fontId="56" numFmtId="0" xfId="0" applyAlignment="1" applyBorder="1" applyFont="1">
      <alignment readingOrder="0" shrinkToFit="1" wrapText="0"/>
    </xf>
    <xf borderId="1" fillId="0" fontId="26" numFmtId="0" xfId="0" applyBorder="1" applyFont="1"/>
    <xf borderId="0" fillId="0" fontId="6" numFmtId="49" xfId="0" applyFont="1" applyNumberFormat="1"/>
    <xf borderId="0" fillId="0" fontId="6" numFmtId="0" xfId="0" applyAlignment="1" applyFont="1">
      <alignment horizontal="center" vertical="center"/>
    </xf>
    <xf borderId="1" fillId="8" fontId="24" numFmtId="0" xfId="0" applyAlignment="1" applyBorder="1" applyFont="1">
      <alignment horizontal="left" readingOrder="0" shrinkToFit="1" vertical="center" wrapText="0"/>
    </xf>
    <xf borderId="0" fillId="0" fontId="26" numFmtId="0" xfId="0" applyFont="1"/>
    <xf borderId="0" fillId="0" fontId="26" numFmtId="49" xfId="0" applyFont="1" applyNumberFormat="1"/>
    <xf borderId="0" fillId="0" fontId="26" numFmtId="0" xfId="0" applyAlignment="1" applyFon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24</xdr:row>
      <xdr:rowOff>66675</xdr:rowOff>
    </xdr:from>
    <xdr:ext cx="10506075" cy="67437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11</xdr:row>
      <xdr:rowOff>-28575</xdr:rowOff>
    </xdr:from>
    <xdr:ext cx="304800" cy="257175"/>
    <xdr:sp>
      <xdr:nvSpPr>
        <xdr:cNvPr id="3" name="Shape 3"/>
        <xdr:cNvSpPr/>
      </xdr:nvSpPr>
      <xdr:spPr>
        <a:xfrm>
          <a:off x="5203125" y="3660938"/>
          <a:ext cx="285750" cy="238125"/>
        </a:xfrm>
        <a:prstGeom prst="rect">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28575</xdr:colOff>
      <xdr:row>21</xdr:row>
      <xdr:rowOff>-28575</xdr:rowOff>
    </xdr:from>
    <xdr:ext cx="304800" cy="257175"/>
    <xdr:sp>
      <xdr:nvSpPr>
        <xdr:cNvPr id="3" name="Shape 3"/>
        <xdr:cNvSpPr/>
      </xdr:nvSpPr>
      <xdr:spPr>
        <a:xfrm>
          <a:off x="5203125" y="3660938"/>
          <a:ext cx="285750" cy="238125"/>
        </a:xfrm>
        <a:prstGeom prst="rect">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28575</xdr:colOff>
      <xdr:row>30</xdr:row>
      <xdr:rowOff>-28575</xdr:rowOff>
    </xdr:from>
    <xdr:ext cx="304800" cy="257175"/>
    <xdr:sp>
      <xdr:nvSpPr>
        <xdr:cNvPr id="3" name="Shape 3"/>
        <xdr:cNvSpPr/>
      </xdr:nvSpPr>
      <xdr:spPr>
        <a:xfrm>
          <a:off x="5203125" y="3660938"/>
          <a:ext cx="285750" cy="238125"/>
        </a:xfrm>
        <a:prstGeom prst="rect">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28575</xdr:colOff>
      <xdr:row>39</xdr:row>
      <xdr:rowOff>-28575</xdr:rowOff>
    </xdr:from>
    <xdr:ext cx="304800" cy="257175"/>
    <xdr:sp>
      <xdr:nvSpPr>
        <xdr:cNvPr id="3" name="Shape 3"/>
        <xdr:cNvSpPr/>
      </xdr:nvSpPr>
      <xdr:spPr>
        <a:xfrm>
          <a:off x="5203125" y="3660938"/>
          <a:ext cx="285750" cy="238125"/>
        </a:xfrm>
        <a:prstGeom prst="rect">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qa.vad.oms.order.create.in/" TargetMode="External"/><Relationship Id="rId2" Type="http://schemas.openxmlformats.org/officeDocument/2006/relationships/hyperlink" Target="http://qa.vad.oms.order.create.in/"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app.diagrams.net/?splash=0#G1ODQTKsvYvLiL9x1p6e7nLHfRf7fVOr9Y#%7B%22pageId%22%3A%22rr7fJLVtMMIywW8xStFg%22%7D" TargetMode="External"/><Relationship Id="rId3" Type="http://schemas.openxmlformats.org/officeDocument/2006/relationships/hyperlink" Target="https://docs.google.com/spreadsheets/d/1PCirn9FMWe_9TGRud51ix-TE-RV1ve-CYEnaZpnUd1g/edit?gid=0" TargetMode="External"/><Relationship Id="rId4" Type="http://schemas.openxmlformats.org/officeDocument/2006/relationships/hyperlink" Target="about:blank" TargetMode="External"/><Relationship Id="rId5" Type="http://schemas.openxmlformats.org/officeDocument/2006/relationships/drawing" Target="../drawings/drawing5.xml"/><Relationship Id="rId6"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hXn-TQ7gpClDp-vKLELzD5nWmEiuOfhC/view?usp=drive_link" TargetMode="External"/><Relationship Id="rId2" Type="http://schemas.openxmlformats.org/officeDocument/2006/relationships/hyperlink" Target="https://drive.google.com/file/d/1H45MoGuT9vW57PKTNXFbCQM3Hb46oCGA/view?usp=drive_link"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9.xml"/><Relationship Id="rId3"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3.14"/>
    <col customWidth="1" min="3" max="7" width="8.86"/>
    <col customWidth="1" min="8" max="8" width="7.43"/>
    <col customWidth="1" min="9" max="9" width="18.86"/>
    <col customWidth="1" min="10" max="13" width="8.86"/>
    <col customWidth="1" min="14" max="14" width="21.57"/>
    <col customWidth="1" min="15" max="16" width="8.86"/>
    <col customWidth="1" min="17" max="17" width="14.86"/>
    <col customWidth="1" min="18" max="18" width="3.43"/>
    <col customWidth="1" min="19" max="26" width="8.86"/>
  </cols>
  <sheetData>
    <row r="1" ht="12.75" customHeight="1">
      <c r="A1" s="1"/>
      <c r="B1" s="1"/>
      <c r="C1" s="1"/>
      <c r="D1" s="1"/>
      <c r="E1" s="6"/>
      <c r="F1" s="1"/>
      <c r="G1" s="1"/>
      <c r="H1" s="1"/>
      <c r="I1" s="1"/>
      <c r="J1" s="1"/>
      <c r="K1" s="1"/>
      <c r="L1" s="1"/>
      <c r="M1" s="1"/>
      <c r="N1" s="1"/>
      <c r="O1" s="1"/>
      <c r="P1" s="1"/>
      <c r="Q1" s="1"/>
      <c r="R1" s="1"/>
      <c r="S1" s="1"/>
      <c r="T1" s="1"/>
      <c r="U1" s="1"/>
      <c r="V1" s="1"/>
      <c r="W1" s="1"/>
      <c r="X1" s="1"/>
      <c r="Y1" s="1"/>
      <c r="Z1" s="1"/>
    </row>
    <row r="2" ht="12.75" customHeight="1">
      <c r="A2" s="1"/>
      <c r="B2" s="15"/>
      <c r="C2" s="16"/>
      <c r="D2" s="16"/>
      <c r="E2" s="16"/>
      <c r="F2" s="16"/>
      <c r="G2" s="16"/>
      <c r="H2" s="16"/>
      <c r="I2" s="16"/>
      <c r="J2" s="16"/>
      <c r="K2" s="16"/>
      <c r="L2" s="16"/>
      <c r="M2" s="16"/>
      <c r="N2" s="16"/>
      <c r="O2" s="16"/>
      <c r="P2" s="16"/>
      <c r="Q2" s="16"/>
      <c r="R2" s="24"/>
      <c r="S2" s="1"/>
      <c r="T2" s="1"/>
      <c r="U2" s="1"/>
      <c r="V2" s="1"/>
      <c r="W2" s="1"/>
      <c r="X2" s="1"/>
      <c r="Y2" s="1"/>
      <c r="Z2" s="1"/>
    </row>
    <row r="3" ht="12.75" customHeight="1">
      <c r="A3" s="1"/>
      <c r="B3" s="31"/>
      <c r="C3" s="33"/>
      <c r="D3" s="33"/>
      <c r="E3" s="33"/>
      <c r="F3" s="33"/>
      <c r="G3" s="33"/>
      <c r="H3" s="33"/>
      <c r="I3" s="33"/>
      <c r="J3" s="33"/>
      <c r="K3" s="33"/>
      <c r="L3" s="33"/>
      <c r="M3" s="33"/>
      <c r="N3" s="33"/>
      <c r="O3" s="33"/>
      <c r="P3" s="33"/>
      <c r="Q3" s="41"/>
      <c r="R3" s="44"/>
      <c r="S3" s="1"/>
      <c r="T3" s="1"/>
      <c r="U3" s="1"/>
      <c r="V3" s="1"/>
      <c r="W3" s="1"/>
      <c r="X3" s="1"/>
      <c r="Y3" s="1"/>
      <c r="Z3" s="1"/>
    </row>
    <row r="4" ht="12.75" customHeight="1">
      <c r="A4" s="1"/>
      <c r="B4" s="31"/>
      <c r="C4" s="45"/>
      <c r="D4" s="33"/>
      <c r="E4" s="33"/>
      <c r="F4" s="33"/>
      <c r="G4" s="33"/>
      <c r="H4" s="33"/>
      <c r="I4" s="33"/>
      <c r="J4" s="33"/>
      <c r="K4" s="33"/>
      <c r="L4" s="33"/>
      <c r="M4" s="33"/>
      <c r="N4" s="33"/>
      <c r="O4" s="33"/>
      <c r="P4" s="33"/>
      <c r="Q4" s="33"/>
      <c r="R4" s="44"/>
      <c r="S4" s="1"/>
      <c r="T4" s="1"/>
      <c r="U4" s="1"/>
      <c r="V4" s="1"/>
      <c r="W4" s="1"/>
      <c r="X4" s="1"/>
      <c r="Y4" s="1"/>
      <c r="Z4" s="1"/>
    </row>
    <row r="5" ht="18.0" customHeight="1">
      <c r="A5" s="1"/>
      <c r="B5" s="31"/>
      <c r="C5" s="47"/>
      <c r="D5" s="33"/>
      <c r="E5" s="33"/>
      <c r="F5" s="48" t="s">
        <v>31</v>
      </c>
      <c r="G5" s="33"/>
      <c r="H5" s="33"/>
      <c r="I5" s="50"/>
      <c r="J5" s="33"/>
      <c r="K5" s="33"/>
      <c r="L5" s="33"/>
      <c r="M5" s="33"/>
      <c r="N5" s="33"/>
      <c r="O5" s="33"/>
      <c r="P5" s="33"/>
      <c r="Q5" s="33"/>
      <c r="R5" s="44"/>
      <c r="S5" s="1"/>
      <c r="T5" s="1"/>
      <c r="U5" s="1"/>
      <c r="V5" s="1"/>
      <c r="W5" s="1"/>
      <c r="X5" s="1"/>
      <c r="Y5" s="1"/>
      <c r="Z5" s="1"/>
    </row>
    <row r="6" ht="19.5" customHeight="1">
      <c r="A6" s="1"/>
      <c r="B6" s="31"/>
      <c r="C6" s="54"/>
      <c r="D6" s="33"/>
      <c r="E6" s="33"/>
      <c r="F6" s="54" t="s">
        <v>34</v>
      </c>
      <c r="G6" s="33"/>
      <c r="H6" s="33"/>
      <c r="I6" s="33"/>
      <c r="J6" s="33"/>
      <c r="K6" s="33"/>
      <c r="L6" s="33"/>
      <c r="M6" s="33"/>
      <c r="N6" s="33"/>
      <c r="O6" s="57" t="s">
        <v>38</v>
      </c>
      <c r="P6" s="33"/>
      <c r="Q6" s="33"/>
      <c r="R6" s="44"/>
      <c r="S6" s="1"/>
      <c r="T6" s="1"/>
      <c r="U6" s="1"/>
      <c r="V6" s="1"/>
      <c r="W6" s="1"/>
      <c r="X6" s="1"/>
      <c r="Y6" s="1"/>
      <c r="Z6" s="1"/>
    </row>
    <row r="7" ht="12.75" customHeight="1">
      <c r="A7" s="1"/>
      <c r="B7" s="31"/>
      <c r="C7" s="33"/>
      <c r="D7" s="33"/>
      <c r="E7" s="33"/>
      <c r="F7" s="33"/>
      <c r="G7" s="33"/>
      <c r="H7" s="33"/>
      <c r="I7" s="33"/>
      <c r="J7" s="33"/>
      <c r="K7" s="33"/>
      <c r="L7" s="33"/>
      <c r="M7" s="33"/>
      <c r="N7" s="33"/>
      <c r="O7" s="57"/>
      <c r="P7" s="33"/>
      <c r="Q7" s="33"/>
      <c r="R7" s="44"/>
      <c r="S7" s="1"/>
      <c r="T7" s="1"/>
      <c r="U7" s="1"/>
      <c r="V7" s="1"/>
      <c r="W7" s="1"/>
      <c r="X7" s="1"/>
      <c r="Y7" s="1"/>
      <c r="Z7" s="1"/>
    </row>
    <row r="8" ht="12.75" customHeight="1">
      <c r="A8" s="1"/>
      <c r="B8" s="62"/>
      <c r="C8" s="64"/>
      <c r="D8" s="64"/>
      <c r="E8" s="64"/>
      <c r="F8" s="64"/>
      <c r="G8" s="64"/>
      <c r="H8" s="64"/>
      <c r="I8" s="64"/>
      <c r="J8" s="64"/>
      <c r="K8" s="64"/>
      <c r="L8" s="64"/>
      <c r="M8" s="64"/>
      <c r="N8" s="64"/>
      <c r="O8" s="64"/>
      <c r="P8" s="64"/>
      <c r="Q8" s="64"/>
      <c r="R8" s="65"/>
      <c r="S8" s="1"/>
      <c r="T8" s="1"/>
      <c r="U8" s="1"/>
      <c r="V8" s="1"/>
      <c r="W8" s="1"/>
      <c r="X8" s="1"/>
      <c r="Y8" s="1"/>
      <c r="Z8" s="1"/>
    </row>
    <row r="9" ht="12.75" customHeight="1">
      <c r="A9" s="1"/>
      <c r="B9" s="1"/>
      <c r="C9" s="1"/>
      <c r="D9" s="1"/>
      <c r="E9" s="1"/>
      <c r="F9" s="1"/>
      <c r="G9" s="1"/>
      <c r="H9" s="1"/>
      <c r="I9" s="1"/>
      <c r="J9" s="1"/>
      <c r="K9" s="1"/>
      <c r="L9" s="1"/>
      <c r="M9" s="1"/>
      <c r="N9" s="1"/>
      <c r="O9" s="1"/>
      <c r="P9" s="1"/>
      <c r="Q9" s="1"/>
      <c r="R9" s="1"/>
      <c r="S9" s="1"/>
      <c r="T9" s="1"/>
      <c r="U9" s="1"/>
      <c r="V9" s="1"/>
      <c r="W9" s="1"/>
      <c r="X9" s="1"/>
      <c r="Y9" s="1"/>
      <c r="Z9" s="1"/>
    </row>
    <row r="10" ht="12.75" customHeight="1">
      <c r="A10" s="1"/>
      <c r="B10" s="15"/>
      <c r="C10" s="16"/>
      <c r="D10" s="16"/>
      <c r="E10" s="16"/>
      <c r="F10" s="16"/>
      <c r="G10" s="16"/>
      <c r="H10" s="16"/>
      <c r="I10" s="16"/>
      <c r="J10" s="16"/>
      <c r="K10" s="16"/>
      <c r="L10" s="16"/>
      <c r="M10" s="16"/>
      <c r="N10" s="16"/>
      <c r="O10" s="16"/>
      <c r="P10" s="16"/>
      <c r="Q10" s="16"/>
      <c r="R10" s="24"/>
      <c r="S10" s="1"/>
      <c r="T10" s="1"/>
      <c r="U10" s="1"/>
      <c r="V10" s="1"/>
      <c r="W10" s="1"/>
      <c r="X10" s="1"/>
      <c r="Y10" s="1"/>
      <c r="Z10" s="1"/>
    </row>
    <row r="11" ht="12.75" customHeight="1">
      <c r="A11" s="1"/>
      <c r="B11" s="31"/>
      <c r="C11" s="69" t="s">
        <v>47</v>
      </c>
      <c r="D11" s="70"/>
      <c r="E11" s="70"/>
      <c r="F11" s="70"/>
      <c r="G11" s="70"/>
      <c r="H11" s="70"/>
      <c r="I11" s="70"/>
      <c r="J11" s="70"/>
      <c r="K11" s="70"/>
      <c r="L11" s="70"/>
      <c r="M11" s="71"/>
      <c r="N11" s="71"/>
      <c r="O11" s="71"/>
      <c r="P11" s="70"/>
      <c r="Q11" s="70"/>
      <c r="R11" s="44"/>
      <c r="S11" s="1"/>
      <c r="T11" s="1"/>
      <c r="U11" s="1"/>
      <c r="V11" s="1"/>
      <c r="W11" s="1"/>
      <c r="X11" s="1"/>
      <c r="Y11" s="1"/>
      <c r="Z11" s="1"/>
    </row>
    <row r="12" ht="12.75" customHeight="1">
      <c r="A12" s="1"/>
      <c r="B12" s="31"/>
      <c r="C12" s="73"/>
      <c r="D12" s="73"/>
      <c r="E12" s="73"/>
      <c r="F12" s="73"/>
      <c r="G12" s="73"/>
      <c r="H12" s="73"/>
      <c r="I12" s="73"/>
      <c r="J12" s="73"/>
      <c r="K12" s="73"/>
      <c r="L12" s="73"/>
      <c r="M12" s="73"/>
      <c r="N12" s="73"/>
      <c r="O12" s="73"/>
      <c r="P12" s="73"/>
      <c r="Q12" s="73"/>
      <c r="R12" s="44"/>
      <c r="S12" s="1"/>
      <c r="T12" s="1"/>
      <c r="U12" s="1"/>
      <c r="V12" s="1"/>
      <c r="W12" s="1"/>
      <c r="X12" s="1"/>
      <c r="Y12" s="1"/>
      <c r="Z12" s="1"/>
    </row>
    <row r="13" ht="12.75" customHeight="1">
      <c r="A13" s="1"/>
      <c r="B13" s="31"/>
      <c r="C13" s="73"/>
      <c r="D13" s="73"/>
      <c r="E13" s="73"/>
      <c r="F13" s="73"/>
      <c r="G13" s="73"/>
      <c r="H13" s="73"/>
      <c r="I13" s="73"/>
      <c r="J13" s="73"/>
      <c r="K13" s="73"/>
      <c r="L13" s="73"/>
      <c r="M13" s="73"/>
      <c r="N13" s="73"/>
      <c r="O13" s="73"/>
      <c r="P13" s="73"/>
      <c r="Q13" s="73"/>
      <c r="R13" s="44"/>
      <c r="S13" s="1"/>
      <c r="T13" s="1"/>
      <c r="U13" s="1"/>
      <c r="V13" s="1"/>
      <c r="W13" s="1"/>
      <c r="X13" s="1"/>
      <c r="Y13" s="1"/>
      <c r="Z13" s="1"/>
    </row>
    <row r="14" ht="12.75" customHeight="1">
      <c r="A14" s="1"/>
      <c r="B14" s="31"/>
      <c r="C14" s="73" t="s">
        <v>49</v>
      </c>
      <c r="D14" s="73"/>
      <c r="E14" s="73"/>
      <c r="F14" s="73"/>
      <c r="G14" s="73"/>
      <c r="H14" s="73"/>
      <c r="I14" s="73"/>
      <c r="J14" s="73"/>
      <c r="K14" s="73"/>
      <c r="L14" s="73"/>
      <c r="M14" s="73"/>
      <c r="N14" s="73"/>
      <c r="O14" s="73"/>
      <c r="P14" s="73"/>
      <c r="Q14" s="73"/>
      <c r="R14" s="44"/>
      <c r="S14" s="1"/>
      <c r="T14" s="1"/>
      <c r="U14" s="1"/>
      <c r="V14" s="1"/>
      <c r="W14" s="1"/>
      <c r="X14" s="1"/>
      <c r="Y14" s="1"/>
      <c r="Z14" s="1"/>
    </row>
    <row r="15" ht="12.75" customHeight="1">
      <c r="A15" s="1"/>
      <c r="B15" s="31"/>
      <c r="C15" s="73" t="s">
        <v>50</v>
      </c>
      <c r="D15" s="73"/>
      <c r="E15" s="73"/>
      <c r="F15" s="73"/>
      <c r="G15" s="73"/>
      <c r="H15" s="73"/>
      <c r="I15" s="73"/>
      <c r="J15" s="73"/>
      <c r="K15" s="73"/>
      <c r="L15" s="73"/>
      <c r="M15" s="73"/>
      <c r="N15" s="73"/>
      <c r="O15" s="73"/>
      <c r="P15" s="73"/>
      <c r="Q15" s="73"/>
      <c r="R15" s="44"/>
      <c r="S15" s="1"/>
      <c r="T15" s="1"/>
      <c r="U15" s="1"/>
      <c r="V15" s="1"/>
      <c r="W15" s="1"/>
      <c r="X15" s="1"/>
      <c r="Y15" s="1"/>
      <c r="Z15" s="1"/>
    </row>
    <row r="16" ht="12.75" customHeight="1">
      <c r="A16" s="1"/>
      <c r="B16" s="31"/>
      <c r="C16" s="73" t="s">
        <v>51</v>
      </c>
      <c r="D16" s="73"/>
      <c r="E16" s="73"/>
      <c r="F16" s="73"/>
      <c r="G16" s="73"/>
      <c r="H16" s="73"/>
      <c r="I16" s="73"/>
      <c r="J16" s="73"/>
      <c r="K16" s="73"/>
      <c r="L16" s="73"/>
      <c r="M16" s="73"/>
      <c r="N16" s="73"/>
      <c r="O16" s="73"/>
      <c r="P16" s="73"/>
      <c r="Q16" s="73"/>
      <c r="R16" s="44"/>
      <c r="S16" s="1"/>
      <c r="T16" s="1"/>
      <c r="U16" s="1"/>
      <c r="V16" s="1"/>
      <c r="W16" s="1"/>
      <c r="X16" s="1"/>
      <c r="Y16" s="1"/>
      <c r="Z16" s="1"/>
    </row>
    <row r="17" ht="12.75" customHeight="1">
      <c r="A17" s="1"/>
      <c r="B17" s="31"/>
      <c r="C17" s="73" t="s">
        <v>52</v>
      </c>
      <c r="D17" s="73"/>
      <c r="E17" s="73"/>
      <c r="F17" s="73"/>
      <c r="G17" s="73"/>
      <c r="H17" s="73"/>
      <c r="I17" s="73"/>
      <c r="J17" s="73"/>
      <c r="K17" s="73"/>
      <c r="L17" s="73"/>
      <c r="M17" s="73"/>
      <c r="N17" s="73"/>
      <c r="O17" s="73"/>
      <c r="P17" s="73"/>
      <c r="Q17" s="73"/>
      <c r="R17" s="44"/>
      <c r="S17" s="1"/>
      <c r="T17" s="1"/>
      <c r="U17" s="1"/>
      <c r="V17" s="1"/>
      <c r="W17" s="1"/>
      <c r="X17" s="1"/>
      <c r="Y17" s="1"/>
      <c r="Z17" s="1"/>
    </row>
    <row r="18" ht="12.75" customHeight="1">
      <c r="A18" s="1"/>
      <c r="B18" s="31"/>
      <c r="C18" s="73" t="s">
        <v>57</v>
      </c>
      <c r="D18" s="73"/>
      <c r="E18" s="73"/>
      <c r="F18" s="73"/>
      <c r="G18" s="73"/>
      <c r="H18" s="73"/>
      <c r="I18" s="73"/>
      <c r="J18" s="73"/>
      <c r="K18" s="73"/>
      <c r="L18" s="73"/>
      <c r="M18" s="73"/>
      <c r="N18" s="73"/>
      <c r="O18" s="73"/>
      <c r="P18" s="73"/>
      <c r="Q18" s="73"/>
      <c r="R18" s="44"/>
      <c r="S18" s="1"/>
      <c r="T18" s="1"/>
      <c r="U18" s="1"/>
      <c r="V18" s="1"/>
      <c r="W18" s="1"/>
      <c r="X18" s="1"/>
      <c r="Y18" s="1"/>
      <c r="Z18" s="1"/>
    </row>
    <row r="19" ht="12.75" customHeight="1">
      <c r="A19" s="1"/>
      <c r="B19" s="31"/>
      <c r="C19" s="73"/>
      <c r="D19" s="73"/>
      <c r="E19" s="73"/>
      <c r="F19" s="73"/>
      <c r="G19" s="73"/>
      <c r="H19" s="73"/>
      <c r="I19" s="73"/>
      <c r="J19" s="73"/>
      <c r="K19" s="73"/>
      <c r="L19" s="73"/>
      <c r="M19" s="73"/>
      <c r="N19" s="73"/>
      <c r="O19" s="73"/>
      <c r="P19" s="73"/>
      <c r="Q19" s="73"/>
      <c r="R19" s="44"/>
      <c r="S19" s="1"/>
      <c r="T19" s="1"/>
      <c r="U19" s="1"/>
      <c r="V19" s="1"/>
      <c r="W19" s="1"/>
      <c r="X19" s="1"/>
      <c r="Y19" s="1"/>
      <c r="Z19" s="1"/>
    </row>
    <row r="20" ht="12.75" customHeight="1">
      <c r="A20" s="1"/>
      <c r="B20" s="31"/>
      <c r="C20" s="33"/>
      <c r="D20" s="33"/>
      <c r="E20" s="33"/>
      <c r="F20" s="33"/>
      <c r="G20" s="33"/>
      <c r="H20" s="33"/>
      <c r="I20" s="33"/>
      <c r="J20" s="33"/>
      <c r="K20" s="33"/>
      <c r="L20" s="33"/>
      <c r="M20" s="33"/>
      <c r="N20" s="33"/>
      <c r="O20" s="33"/>
      <c r="P20" s="33"/>
      <c r="Q20" s="33"/>
      <c r="R20" s="44"/>
      <c r="S20" s="1"/>
      <c r="T20" s="1"/>
      <c r="U20" s="1"/>
      <c r="V20" s="1"/>
      <c r="W20" s="1"/>
      <c r="X20" s="1"/>
      <c r="Y20" s="1"/>
      <c r="Z20" s="1"/>
    </row>
    <row r="21" ht="12.75" customHeight="1">
      <c r="A21" s="1"/>
      <c r="B21" s="31"/>
      <c r="C21" s="69" t="s">
        <v>58</v>
      </c>
      <c r="D21" s="70"/>
      <c r="E21" s="70"/>
      <c r="F21" s="70"/>
      <c r="G21" s="70"/>
      <c r="H21" s="70"/>
      <c r="I21" s="70"/>
      <c r="J21" s="70"/>
      <c r="K21" s="70"/>
      <c r="L21" s="70"/>
      <c r="M21" s="70"/>
      <c r="N21" s="70"/>
      <c r="O21" s="70"/>
      <c r="P21" s="70"/>
      <c r="Q21" s="70"/>
      <c r="R21" s="44"/>
      <c r="S21" s="1"/>
      <c r="T21" s="1"/>
      <c r="U21" s="1"/>
      <c r="V21" s="1"/>
      <c r="W21" s="1"/>
      <c r="X21" s="1"/>
      <c r="Y21" s="1"/>
      <c r="Z21" s="1"/>
    </row>
    <row r="22" ht="12.75" customHeight="1">
      <c r="A22" s="1"/>
      <c r="B22" s="31"/>
      <c r="C22" s="33"/>
      <c r="D22" s="33"/>
      <c r="E22" s="33"/>
      <c r="F22" s="33"/>
      <c r="G22" s="33"/>
      <c r="H22" s="33"/>
      <c r="I22" s="33"/>
      <c r="J22" s="33"/>
      <c r="K22" s="33"/>
      <c r="L22" s="33"/>
      <c r="M22" s="33"/>
      <c r="N22" s="33"/>
      <c r="O22" s="33"/>
      <c r="P22" s="33"/>
      <c r="Q22" s="33"/>
      <c r="R22" s="44"/>
      <c r="S22" s="1"/>
      <c r="T22" s="1"/>
      <c r="U22" s="1"/>
      <c r="V22" s="1"/>
      <c r="W22" s="1"/>
      <c r="X22" s="1"/>
      <c r="Y22" s="1"/>
      <c r="Z22" s="1"/>
    </row>
    <row r="23" ht="12.75" customHeight="1">
      <c r="A23" s="1"/>
      <c r="B23" s="31"/>
      <c r="C23" s="33" t="s">
        <v>67</v>
      </c>
      <c r="D23" s="33"/>
      <c r="E23" s="33"/>
      <c r="F23" s="33"/>
      <c r="G23" s="33"/>
      <c r="H23" s="33"/>
      <c r="I23" s="33"/>
      <c r="J23" s="33"/>
      <c r="K23" s="33"/>
      <c r="L23" s="33"/>
      <c r="M23" s="73"/>
      <c r="N23" s="33"/>
      <c r="O23" s="33"/>
      <c r="P23" s="33"/>
      <c r="Q23" s="33"/>
      <c r="R23" s="44"/>
      <c r="S23" s="1"/>
      <c r="T23" s="1"/>
      <c r="U23" s="1"/>
      <c r="V23" s="1"/>
      <c r="W23" s="1"/>
      <c r="X23" s="1"/>
      <c r="Y23" s="1"/>
      <c r="Z23" s="1"/>
    </row>
    <row r="24" ht="12.75" customHeight="1">
      <c r="A24" s="1"/>
      <c r="B24" s="31"/>
      <c r="C24" s="33" t="s">
        <v>68</v>
      </c>
      <c r="D24" s="33"/>
      <c r="E24" s="33"/>
      <c r="F24" s="33" t="s">
        <v>69</v>
      </c>
      <c r="G24" s="101"/>
      <c r="H24" s="33"/>
      <c r="I24" s="33"/>
      <c r="J24" s="33" t="s">
        <v>70</v>
      </c>
      <c r="K24" s="33"/>
      <c r="L24" s="102"/>
      <c r="M24" s="73"/>
      <c r="N24" s="33"/>
      <c r="O24" s="33"/>
      <c r="P24" s="33"/>
      <c r="Q24" s="33"/>
      <c r="R24" s="44"/>
      <c r="S24" s="1"/>
      <c r="T24" s="1"/>
      <c r="U24" s="1"/>
      <c r="V24" s="1"/>
      <c r="W24" s="1"/>
      <c r="X24" s="1"/>
      <c r="Y24" s="1"/>
      <c r="Z24" s="1"/>
    </row>
    <row r="25" ht="12.75" customHeight="1">
      <c r="A25" s="1"/>
      <c r="B25" s="31"/>
      <c r="C25" s="33" t="s">
        <v>72</v>
      </c>
      <c r="D25" s="33"/>
      <c r="E25" s="33"/>
      <c r="F25" s="33" t="s">
        <v>73</v>
      </c>
      <c r="G25" s="101"/>
      <c r="H25" s="33"/>
      <c r="I25" s="33"/>
      <c r="J25" s="33" t="s">
        <v>74</v>
      </c>
      <c r="K25" s="33"/>
      <c r="L25" s="106"/>
      <c r="M25" s="73"/>
      <c r="N25" s="33"/>
      <c r="O25" s="33"/>
      <c r="P25" s="1"/>
      <c r="Q25" s="33"/>
      <c r="R25" s="44"/>
      <c r="S25" s="1"/>
      <c r="T25" s="1"/>
      <c r="U25" s="1"/>
      <c r="V25" s="1"/>
      <c r="W25" s="1"/>
      <c r="X25" s="1"/>
      <c r="Y25" s="1"/>
      <c r="Z25" s="1"/>
    </row>
    <row r="26" ht="12.75" customHeight="1">
      <c r="A26" s="1"/>
      <c r="B26" s="31"/>
      <c r="C26" s="1"/>
      <c r="D26" s="33"/>
      <c r="E26" s="33"/>
      <c r="F26" s="33"/>
      <c r="G26" s="1"/>
      <c r="H26" s="33"/>
      <c r="I26" s="33"/>
      <c r="J26" s="33"/>
      <c r="K26" s="33"/>
      <c r="L26" s="1"/>
      <c r="M26" s="73"/>
      <c r="N26" s="33"/>
      <c r="O26" s="33"/>
      <c r="P26" s="33"/>
      <c r="Q26" s="33"/>
      <c r="R26" s="44"/>
      <c r="S26" s="1"/>
      <c r="T26" s="1"/>
      <c r="U26" s="1"/>
      <c r="V26" s="1"/>
      <c r="W26" s="1"/>
      <c r="X26" s="1"/>
      <c r="Y26" s="1"/>
      <c r="Z26" s="1"/>
    </row>
    <row r="27" ht="12.75" customHeight="1">
      <c r="A27" s="1"/>
      <c r="B27" s="31"/>
      <c r="C27" s="57" t="s">
        <v>75</v>
      </c>
      <c r="D27" s="33"/>
      <c r="E27" s="33"/>
      <c r="F27" s="33"/>
      <c r="G27" s="33"/>
      <c r="H27" s="33"/>
      <c r="I27" s="33"/>
      <c r="J27" s="33"/>
      <c r="K27" s="33"/>
      <c r="L27" s="33"/>
      <c r="M27" s="73"/>
      <c r="N27" s="33"/>
      <c r="O27" s="33"/>
      <c r="P27" s="33"/>
      <c r="Q27" s="33"/>
      <c r="R27" s="44"/>
      <c r="S27" s="1"/>
      <c r="T27" s="1"/>
      <c r="U27" s="1"/>
      <c r="V27" s="1"/>
      <c r="W27" s="1"/>
      <c r="X27" s="1"/>
      <c r="Y27" s="1"/>
      <c r="Z27" s="1"/>
    </row>
    <row r="28" ht="12.75" customHeight="1">
      <c r="A28" s="1"/>
      <c r="B28" s="31"/>
      <c r="C28" s="73"/>
      <c r="D28" s="73"/>
      <c r="E28" s="73"/>
      <c r="F28" s="73"/>
      <c r="G28" s="73"/>
      <c r="H28" s="73"/>
      <c r="I28" s="73"/>
      <c r="J28" s="33"/>
      <c r="K28" s="33"/>
      <c r="L28" s="33"/>
      <c r="M28" s="33"/>
      <c r="N28" s="33"/>
      <c r="O28" s="33"/>
      <c r="P28" s="33"/>
      <c r="Q28" s="33"/>
      <c r="R28" s="44"/>
      <c r="S28" s="1"/>
      <c r="T28" s="1"/>
      <c r="U28" s="1"/>
      <c r="V28" s="1"/>
      <c r="W28" s="1"/>
      <c r="X28" s="1"/>
      <c r="Y28" s="1"/>
      <c r="Z28" s="1"/>
    </row>
    <row r="29" ht="12.75" customHeight="1">
      <c r="A29" s="1"/>
      <c r="B29" s="31"/>
      <c r="C29" s="114" t="s">
        <v>84</v>
      </c>
      <c r="D29" s="115"/>
      <c r="E29" s="115"/>
      <c r="F29" s="73"/>
      <c r="G29" s="73"/>
      <c r="H29" s="73"/>
      <c r="I29" s="73"/>
      <c r="J29" s="33"/>
      <c r="K29" s="33"/>
      <c r="L29" s="33"/>
      <c r="M29" s="33"/>
      <c r="N29" s="33"/>
      <c r="O29" s="33"/>
      <c r="P29" s="33"/>
      <c r="Q29" s="33"/>
      <c r="R29" s="44"/>
      <c r="S29" s="1"/>
      <c r="T29" s="1"/>
      <c r="U29" s="1"/>
      <c r="V29" s="1"/>
      <c r="W29" s="1"/>
      <c r="X29" s="1"/>
      <c r="Y29" s="1"/>
      <c r="Z29" s="1"/>
    </row>
    <row r="30" ht="12.75" customHeight="1">
      <c r="A30" s="1"/>
      <c r="B30" s="31"/>
      <c r="C30" s="73" t="str">
        <f>"- This tab summarizes the key revisions made to the mappings by revision number."</f>
        <v>- This tab summarizes the key revisions made to the mappings by revision number.</v>
      </c>
      <c r="D30" s="73"/>
      <c r="E30" s="73"/>
      <c r="F30" s="73"/>
      <c r="G30" s="73"/>
      <c r="H30" s="73"/>
      <c r="I30" s="73"/>
      <c r="J30" s="33"/>
      <c r="K30" s="33"/>
      <c r="L30" s="33"/>
      <c r="M30" s="33"/>
      <c r="N30" s="33"/>
      <c r="O30" s="33"/>
      <c r="P30" s="33"/>
      <c r="Q30" s="33"/>
      <c r="R30" s="44"/>
      <c r="S30" s="1"/>
      <c r="T30" s="1"/>
      <c r="U30" s="1"/>
      <c r="V30" s="1"/>
      <c r="W30" s="1"/>
      <c r="X30" s="1"/>
      <c r="Y30" s="1"/>
      <c r="Z30" s="1"/>
    </row>
    <row r="31" ht="12.75" customHeight="1">
      <c r="A31" s="1"/>
      <c r="B31" s="31"/>
      <c r="C31" s="73"/>
      <c r="D31" s="73"/>
      <c r="E31" s="73"/>
      <c r="F31" s="73"/>
      <c r="G31" s="73"/>
      <c r="H31" s="73"/>
      <c r="I31" s="73"/>
      <c r="J31" s="33"/>
      <c r="K31" s="33"/>
      <c r="L31" s="33"/>
      <c r="M31" s="33"/>
      <c r="N31" s="33"/>
      <c r="O31" s="33"/>
      <c r="P31" s="33"/>
      <c r="Q31" s="33"/>
      <c r="R31" s="44"/>
      <c r="S31" s="1"/>
      <c r="T31" s="1"/>
      <c r="U31" s="1"/>
      <c r="V31" s="1"/>
      <c r="W31" s="1"/>
      <c r="X31" s="1"/>
      <c r="Y31" s="1"/>
      <c r="Z31" s="1"/>
    </row>
    <row r="32" ht="12.75" customHeight="1">
      <c r="A32" s="1"/>
      <c r="B32" s="31"/>
      <c r="C32" s="114" t="s">
        <v>2</v>
      </c>
      <c r="D32" s="115"/>
      <c r="E32" s="115"/>
      <c r="F32" s="73"/>
      <c r="G32" s="73"/>
      <c r="H32" s="73"/>
      <c r="I32" s="73"/>
      <c r="J32" s="33"/>
      <c r="K32" s="33"/>
      <c r="L32" s="33"/>
      <c r="M32" s="33"/>
      <c r="N32" s="33"/>
      <c r="O32" s="33"/>
      <c r="P32" s="33"/>
      <c r="Q32" s="33"/>
      <c r="R32" s="44"/>
      <c r="S32" s="1"/>
      <c r="T32" s="1"/>
      <c r="U32" s="1"/>
      <c r="V32" s="1"/>
      <c r="W32" s="1"/>
      <c r="X32" s="1"/>
      <c r="Y32" s="1"/>
      <c r="Z32" s="1"/>
    </row>
    <row r="33" ht="12.75" customHeight="1">
      <c r="A33" s="1"/>
      <c r="B33" s="31"/>
      <c r="C33" s="73" t="s">
        <v>88</v>
      </c>
      <c r="D33" s="73"/>
      <c r="E33" s="73"/>
      <c r="F33" s="73"/>
      <c r="G33" s="73"/>
      <c r="H33" s="73"/>
      <c r="I33" s="73"/>
      <c r="J33" s="33"/>
      <c r="K33" s="33"/>
      <c r="L33" s="33"/>
      <c r="M33" s="33"/>
      <c r="N33" s="33"/>
      <c r="O33" s="33"/>
      <c r="P33" s="33"/>
      <c r="Q33" s="33"/>
      <c r="R33" s="44"/>
      <c r="S33" s="1"/>
      <c r="T33" s="1"/>
      <c r="U33" s="1"/>
      <c r="V33" s="1"/>
      <c r="W33" s="1"/>
      <c r="X33" s="1"/>
      <c r="Y33" s="1"/>
      <c r="Z33" s="1"/>
    </row>
    <row r="34" ht="12.75" customHeight="1">
      <c r="A34" s="1"/>
      <c r="B34" s="31"/>
      <c r="C34" s="73" t="s">
        <v>90</v>
      </c>
      <c r="D34" s="73"/>
      <c r="E34" s="73"/>
      <c r="F34" s="73"/>
      <c r="G34" s="73"/>
      <c r="H34" s="73"/>
      <c r="I34" s="73"/>
      <c r="J34" s="33"/>
      <c r="K34" s="33"/>
      <c r="L34" s="33"/>
      <c r="M34" s="33"/>
      <c r="N34" s="33"/>
      <c r="O34" s="33"/>
      <c r="P34" s="33"/>
      <c r="Q34" s="33"/>
      <c r="R34" s="44"/>
      <c r="S34" s="1"/>
      <c r="T34" s="1"/>
      <c r="U34" s="1"/>
      <c r="V34" s="1"/>
      <c r="W34" s="1"/>
      <c r="X34" s="1"/>
      <c r="Y34" s="1"/>
      <c r="Z34" s="1"/>
    </row>
    <row r="35" ht="12.75" customHeight="1">
      <c r="A35" s="1"/>
      <c r="B35" s="31"/>
      <c r="C35" s="73" t="s">
        <v>91</v>
      </c>
      <c r="D35" s="73"/>
      <c r="E35" s="73"/>
      <c r="F35" s="73"/>
      <c r="G35" s="73"/>
      <c r="H35" s="73"/>
      <c r="I35" s="73"/>
      <c r="J35" s="33"/>
      <c r="K35" s="33"/>
      <c r="L35" s="33"/>
      <c r="M35" s="33"/>
      <c r="N35" s="33"/>
      <c r="O35" s="33"/>
      <c r="P35" s="33"/>
      <c r="Q35" s="33"/>
      <c r="R35" s="44"/>
      <c r="S35" s="1"/>
      <c r="T35" s="1"/>
      <c r="U35" s="1"/>
      <c r="V35" s="1"/>
      <c r="W35" s="1"/>
      <c r="X35" s="1"/>
      <c r="Y35" s="1"/>
      <c r="Z35" s="1"/>
    </row>
    <row r="36" ht="12.75" customHeight="1">
      <c r="A36" s="1"/>
      <c r="B36" s="31"/>
      <c r="C36" s="73" t="s">
        <v>94</v>
      </c>
      <c r="D36" s="73"/>
      <c r="E36" s="73"/>
      <c r="F36" s="73"/>
      <c r="G36" s="73"/>
      <c r="H36" s="73"/>
      <c r="I36" s="73"/>
      <c r="J36" s="33"/>
      <c r="K36" s="33"/>
      <c r="L36" s="33"/>
      <c r="M36" s="33"/>
      <c r="N36" s="33"/>
      <c r="O36" s="33"/>
      <c r="P36" s="33"/>
      <c r="Q36" s="33"/>
      <c r="R36" s="44"/>
      <c r="S36" s="1"/>
      <c r="T36" s="1"/>
      <c r="U36" s="1"/>
      <c r="V36" s="1"/>
      <c r="W36" s="1"/>
      <c r="X36" s="1"/>
      <c r="Y36" s="1"/>
      <c r="Z36" s="1"/>
    </row>
    <row r="37" ht="12.75" customHeight="1">
      <c r="A37" s="1"/>
      <c r="B37" s="31"/>
      <c r="C37" s="73"/>
      <c r="D37" s="73"/>
      <c r="E37" s="73"/>
      <c r="F37" s="73"/>
      <c r="G37" s="73"/>
      <c r="H37" s="73"/>
      <c r="I37" s="73"/>
      <c r="J37" s="33"/>
      <c r="K37" s="33"/>
      <c r="L37" s="33"/>
      <c r="M37" s="33"/>
      <c r="N37" s="33"/>
      <c r="O37" s="33"/>
      <c r="P37" s="33"/>
      <c r="Q37" s="33"/>
      <c r="R37" s="44"/>
      <c r="S37" s="1"/>
      <c r="T37" s="1"/>
      <c r="U37" s="1"/>
      <c r="V37" s="1"/>
      <c r="W37" s="1"/>
      <c r="X37" s="1"/>
      <c r="Y37" s="1"/>
      <c r="Z37" s="1"/>
    </row>
    <row r="38" ht="12.75" customHeight="1">
      <c r="A38" s="1"/>
      <c r="B38" s="31"/>
      <c r="C38" s="114" t="s">
        <v>96</v>
      </c>
      <c r="D38" s="73"/>
      <c r="E38" s="73"/>
      <c r="F38" s="73"/>
      <c r="G38" s="73"/>
      <c r="H38" s="73"/>
      <c r="I38" s="73"/>
      <c r="J38" s="33"/>
      <c r="K38" s="33"/>
      <c r="L38" s="33"/>
      <c r="M38" s="33"/>
      <c r="N38" s="33"/>
      <c r="O38" s="33"/>
      <c r="P38" s="33"/>
      <c r="Q38" s="33"/>
      <c r="R38" s="44"/>
      <c r="S38" s="1"/>
      <c r="T38" s="1"/>
      <c r="U38" s="1"/>
      <c r="V38" s="1"/>
      <c r="W38" s="1"/>
      <c r="X38" s="1"/>
      <c r="Y38" s="1"/>
      <c r="Z38" s="1"/>
    </row>
    <row r="39" ht="12.75" customHeight="1">
      <c r="A39" s="1"/>
      <c r="B39" s="31"/>
      <c r="C39" s="120" t="s">
        <v>98</v>
      </c>
      <c r="D39" s="73"/>
      <c r="E39" s="73"/>
      <c r="F39" s="73"/>
      <c r="G39" s="73"/>
      <c r="H39" s="73"/>
      <c r="I39" s="73"/>
      <c r="J39" s="33"/>
      <c r="K39" s="33"/>
      <c r="L39" s="33"/>
      <c r="M39" s="33"/>
      <c r="N39" s="33"/>
      <c r="O39" s="33"/>
      <c r="P39" s="33"/>
      <c r="Q39" s="33"/>
      <c r="R39" s="44"/>
      <c r="S39" s="1"/>
      <c r="T39" s="1"/>
      <c r="U39" s="1"/>
      <c r="V39" s="1"/>
      <c r="W39" s="1"/>
      <c r="X39" s="1"/>
      <c r="Y39" s="1"/>
      <c r="Z39" s="1"/>
    </row>
    <row r="40" ht="12.75" customHeight="1">
      <c r="A40" s="1"/>
      <c r="B40" s="31"/>
      <c r="C40" s="120"/>
      <c r="D40" s="73"/>
      <c r="E40" s="73"/>
      <c r="F40" s="73"/>
      <c r="G40" s="73"/>
      <c r="H40" s="73"/>
      <c r="I40" s="73"/>
      <c r="J40" s="33"/>
      <c r="K40" s="33"/>
      <c r="L40" s="33"/>
      <c r="M40" s="33"/>
      <c r="N40" s="33"/>
      <c r="O40" s="33"/>
      <c r="P40" s="33"/>
      <c r="Q40" s="33"/>
      <c r="R40" s="44"/>
      <c r="S40" s="1"/>
      <c r="T40" s="1"/>
      <c r="U40" s="1"/>
      <c r="V40" s="1"/>
      <c r="W40" s="1"/>
      <c r="X40" s="1"/>
      <c r="Y40" s="1"/>
      <c r="Z40" s="1"/>
    </row>
    <row r="41" ht="12.75" customHeight="1">
      <c r="A41" s="1"/>
      <c r="B41" s="31"/>
      <c r="C41" s="114" t="s">
        <v>100</v>
      </c>
      <c r="D41" s="73"/>
      <c r="E41" s="73"/>
      <c r="F41" s="73"/>
      <c r="G41" s="73"/>
      <c r="H41" s="73"/>
      <c r="I41" s="73"/>
      <c r="J41" s="33"/>
      <c r="K41" s="33"/>
      <c r="L41" s="33"/>
      <c r="M41" s="33"/>
      <c r="N41" s="33"/>
      <c r="O41" s="33"/>
      <c r="P41" s="33"/>
      <c r="Q41" s="33"/>
      <c r="R41" s="44"/>
      <c r="S41" s="1"/>
      <c r="T41" s="1"/>
      <c r="U41" s="1"/>
      <c r="V41" s="1"/>
      <c r="W41" s="1"/>
      <c r="X41" s="1"/>
      <c r="Y41" s="1"/>
      <c r="Z41" s="1"/>
    </row>
    <row r="42" ht="12.75" customHeight="1">
      <c r="A42" s="1"/>
      <c r="B42" s="31"/>
      <c r="C42" s="120" t="s">
        <v>102</v>
      </c>
      <c r="D42" s="73"/>
      <c r="E42" s="73"/>
      <c r="F42" s="73"/>
      <c r="G42" s="73"/>
      <c r="H42" s="73"/>
      <c r="I42" s="73"/>
      <c r="J42" s="33"/>
      <c r="K42" s="33"/>
      <c r="L42" s="33"/>
      <c r="M42" s="33"/>
      <c r="N42" s="33"/>
      <c r="O42" s="33"/>
      <c r="P42" s="33"/>
      <c r="Q42" s="33"/>
      <c r="R42" s="44"/>
      <c r="S42" s="1"/>
      <c r="T42" s="1"/>
      <c r="U42" s="1"/>
      <c r="V42" s="1"/>
      <c r="W42" s="1"/>
      <c r="X42" s="1"/>
      <c r="Y42" s="1"/>
      <c r="Z42" s="1"/>
    </row>
    <row r="43" ht="12.75" customHeight="1">
      <c r="A43" s="1"/>
      <c r="B43" s="31"/>
      <c r="C43" s="73"/>
      <c r="D43" s="73"/>
      <c r="E43" s="73"/>
      <c r="F43" s="73"/>
      <c r="G43" s="73"/>
      <c r="H43" s="73"/>
      <c r="I43" s="73"/>
      <c r="J43" s="33"/>
      <c r="K43" s="33"/>
      <c r="L43" s="33"/>
      <c r="M43" s="33"/>
      <c r="N43" s="33"/>
      <c r="O43" s="33"/>
      <c r="P43" s="33"/>
      <c r="Q43" s="33"/>
      <c r="R43" s="44"/>
      <c r="S43" s="1"/>
      <c r="T43" s="1"/>
      <c r="U43" s="1"/>
      <c r="V43" s="1"/>
      <c r="W43" s="1"/>
      <c r="X43" s="1"/>
      <c r="Y43" s="1"/>
      <c r="Z43" s="1"/>
    </row>
    <row r="44" ht="12.75" customHeight="1">
      <c r="A44" s="1"/>
      <c r="B44" s="31"/>
      <c r="C44" s="114" t="s">
        <v>105</v>
      </c>
      <c r="D44" s="73"/>
      <c r="E44" s="73"/>
      <c r="F44" s="73"/>
      <c r="G44" s="73"/>
      <c r="H44" s="73"/>
      <c r="I44" s="73"/>
      <c r="J44" s="33"/>
      <c r="K44" s="33"/>
      <c r="L44" s="33"/>
      <c r="M44" s="33"/>
      <c r="N44" s="33"/>
      <c r="O44" s="33"/>
      <c r="P44" s="33"/>
      <c r="Q44" s="33"/>
      <c r="R44" s="44"/>
      <c r="S44" s="1"/>
      <c r="T44" s="1"/>
      <c r="U44" s="1"/>
      <c r="V44" s="1"/>
      <c r="W44" s="1"/>
      <c r="X44" s="1"/>
      <c r="Y44" s="1"/>
      <c r="Z44" s="1"/>
    </row>
    <row r="45" ht="12.75" customHeight="1">
      <c r="A45" s="1"/>
      <c r="B45" s="31"/>
      <c r="C45" s="120" t="s">
        <v>107</v>
      </c>
      <c r="D45" s="73"/>
      <c r="E45" s="73"/>
      <c r="F45" s="73"/>
      <c r="G45" s="73"/>
      <c r="H45" s="73"/>
      <c r="I45" s="73"/>
      <c r="J45" s="33"/>
      <c r="K45" s="33"/>
      <c r="L45" s="33"/>
      <c r="M45" s="33"/>
      <c r="N45" s="33"/>
      <c r="O45" s="33"/>
      <c r="P45" s="33"/>
      <c r="Q45" s="33"/>
      <c r="R45" s="44"/>
      <c r="S45" s="1"/>
      <c r="T45" s="1"/>
      <c r="U45" s="1"/>
      <c r="V45" s="1"/>
      <c r="W45" s="1"/>
      <c r="X45" s="1"/>
      <c r="Y45" s="1"/>
      <c r="Z45" s="1"/>
    </row>
    <row r="46" ht="12.75" customHeight="1">
      <c r="A46" s="1"/>
      <c r="B46" s="31"/>
      <c r="C46" s="73"/>
      <c r="D46" s="33"/>
      <c r="E46" s="33"/>
      <c r="F46" s="33"/>
      <c r="G46" s="33"/>
      <c r="H46" s="33"/>
      <c r="I46" s="33"/>
      <c r="J46" s="33"/>
      <c r="K46" s="33"/>
      <c r="L46" s="33"/>
      <c r="M46" s="33"/>
      <c r="N46" s="33"/>
      <c r="O46" s="33"/>
      <c r="P46" s="33"/>
      <c r="Q46" s="33"/>
      <c r="R46" s="44"/>
      <c r="S46" s="1"/>
      <c r="T46" s="1"/>
      <c r="U46" s="1"/>
      <c r="V46" s="1"/>
      <c r="W46" s="1"/>
      <c r="X46" s="1"/>
      <c r="Y46" s="1"/>
      <c r="Z46" s="1"/>
    </row>
    <row r="47" ht="12.75" customHeight="1">
      <c r="A47" s="1"/>
      <c r="B47" s="31"/>
      <c r="C47" s="114" t="s">
        <v>109</v>
      </c>
      <c r="D47" s="33"/>
      <c r="E47" s="33"/>
      <c r="F47" s="33"/>
      <c r="G47" s="33"/>
      <c r="H47" s="33"/>
      <c r="I47" s="33"/>
      <c r="J47" s="33"/>
      <c r="K47" s="33"/>
      <c r="L47" s="33"/>
      <c r="M47" s="33"/>
      <c r="N47" s="33"/>
      <c r="O47" s="33"/>
      <c r="P47" s="33"/>
      <c r="Q47" s="33"/>
      <c r="R47" s="44"/>
      <c r="S47" s="1"/>
      <c r="T47" s="1"/>
      <c r="U47" s="1"/>
      <c r="V47" s="1"/>
      <c r="W47" s="1"/>
      <c r="X47" s="1"/>
      <c r="Y47" s="1"/>
      <c r="Z47" s="1"/>
    </row>
    <row r="48" ht="12.75" customHeight="1">
      <c r="A48" s="1"/>
      <c r="B48" s="31"/>
      <c r="C48" s="120" t="s">
        <v>111</v>
      </c>
      <c r="D48" s="33"/>
      <c r="E48" s="33"/>
      <c r="F48" s="33"/>
      <c r="G48" s="33"/>
      <c r="H48" s="33"/>
      <c r="I48" s="33"/>
      <c r="J48" s="33"/>
      <c r="K48" s="33"/>
      <c r="L48" s="33"/>
      <c r="M48" s="33"/>
      <c r="N48" s="33"/>
      <c r="O48" s="33"/>
      <c r="P48" s="33"/>
      <c r="Q48" s="33"/>
      <c r="R48" s="44"/>
      <c r="S48" s="1"/>
      <c r="T48" s="1"/>
      <c r="U48" s="1"/>
      <c r="V48" s="1"/>
      <c r="W48" s="1"/>
      <c r="X48" s="1"/>
      <c r="Y48" s="1"/>
      <c r="Z48" s="1"/>
    </row>
    <row r="49" ht="12.75" customHeight="1">
      <c r="A49" s="1"/>
      <c r="B49" s="31"/>
      <c r="C49" s="1"/>
      <c r="D49" s="33"/>
      <c r="E49" s="33"/>
      <c r="F49" s="33"/>
      <c r="G49" s="33"/>
      <c r="H49" s="33"/>
      <c r="I49" s="33"/>
      <c r="J49" s="33"/>
      <c r="K49" s="33"/>
      <c r="L49" s="33"/>
      <c r="M49" s="33"/>
      <c r="N49" s="33"/>
      <c r="O49" s="33"/>
      <c r="P49" s="33"/>
      <c r="Q49" s="33"/>
      <c r="R49" s="44"/>
      <c r="S49" s="1"/>
      <c r="T49" s="1"/>
      <c r="U49" s="1"/>
      <c r="V49" s="1"/>
      <c r="W49" s="1"/>
      <c r="X49" s="1"/>
      <c r="Y49" s="1"/>
      <c r="Z49" s="1"/>
    </row>
    <row r="50" ht="12.75" customHeight="1">
      <c r="A50" s="1"/>
      <c r="B50" s="31"/>
      <c r="C50" s="122" t="s">
        <v>115</v>
      </c>
      <c r="D50" s="33"/>
      <c r="E50" s="33"/>
      <c r="F50" s="33"/>
      <c r="G50" s="33"/>
      <c r="H50" s="33"/>
      <c r="I50" s="33"/>
      <c r="J50" s="33"/>
      <c r="K50" s="33"/>
      <c r="L50" s="33"/>
      <c r="M50" s="33"/>
      <c r="N50" s="33"/>
      <c r="O50" s="33"/>
      <c r="P50" s="33"/>
      <c r="Q50" s="33"/>
      <c r="R50" s="44"/>
      <c r="S50" s="1"/>
      <c r="T50" s="1"/>
      <c r="U50" s="1"/>
      <c r="V50" s="1"/>
      <c r="W50" s="1"/>
      <c r="X50" s="1"/>
      <c r="Y50" s="1"/>
      <c r="Z50" s="1"/>
    </row>
    <row r="51" ht="12.75" customHeight="1">
      <c r="A51" s="1"/>
      <c r="B51" s="31"/>
      <c r="C51" s="33" t="s">
        <v>116</v>
      </c>
      <c r="D51" s="33"/>
      <c r="E51" s="33"/>
      <c r="F51" s="33"/>
      <c r="G51" s="33"/>
      <c r="H51" s="33"/>
      <c r="I51" s="33"/>
      <c r="J51" s="33"/>
      <c r="K51" s="33"/>
      <c r="L51" s="33"/>
      <c r="M51" s="33"/>
      <c r="N51" s="33"/>
      <c r="O51" s="33"/>
      <c r="P51" s="33"/>
      <c r="Q51" s="33"/>
      <c r="R51" s="44"/>
      <c r="S51" s="1"/>
      <c r="T51" s="1"/>
      <c r="U51" s="1"/>
      <c r="V51" s="1"/>
      <c r="W51" s="1"/>
      <c r="X51" s="1"/>
      <c r="Y51" s="1"/>
      <c r="Z51" s="1"/>
    </row>
    <row r="52" ht="12.75" customHeight="1">
      <c r="A52" s="1"/>
      <c r="B52" s="62"/>
      <c r="C52" s="64"/>
      <c r="D52" s="64"/>
      <c r="E52" s="64"/>
      <c r="F52" s="64"/>
      <c r="G52" s="64"/>
      <c r="H52" s="64"/>
      <c r="I52" s="64"/>
      <c r="J52" s="64"/>
      <c r="K52" s="64"/>
      <c r="L52" s="64"/>
      <c r="M52" s="64"/>
      <c r="N52" s="64"/>
      <c r="O52" s="64"/>
      <c r="P52" s="64"/>
      <c r="Q52" s="64"/>
      <c r="R52" s="65"/>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0"/>
    <col customWidth="1" min="2" max="2" width="59.43"/>
    <col customWidth="1" min="3" max="3" width="73.43"/>
    <col customWidth="1" min="4" max="26" width="9.14"/>
  </cols>
  <sheetData>
    <row r="1" ht="12.75" customHeight="1">
      <c r="A1" s="5" t="s">
        <v>2</v>
      </c>
      <c r="B1" s="1"/>
      <c r="C1" s="1"/>
      <c r="D1" s="1"/>
      <c r="E1" s="1"/>
      <c r="F1" s="1"/>
      <c r="G1" s="1"/>
      <c r="H1" s="1"/>
      <c r="I1" s="1"/>
      <c r="J1" s="1"/>
      <c r="K1" s="1"/>
      <c r="L1" s="1"/>
      <c r="M1" s="1"/>
      <c r="N1" s="1"/>
      <c r="O1" s="1"/>
      <c r="P1" s="1"/>
      <c r="Q1" s="1"/>
      <c r="R1" s="1"/>
      <c r="S1" s="1"/>
      <c r="T1" s="1"/>
      <c r="U1" s="1"/>
      <c r="V1" s="1"/>
      <c r="W1" s="1"/>
      <c r="X1" s="1"/>
      <c r="Y1" s="1"/>
      <c r="Z1" s="1"/>
    </row>
    <row r="2" ht="12.75" customHeight="1">
      <c r="A2" s="1"/>
      <c r="B2" s="1"/>
      <c r="C2" s="1"/>
      <c r="D2" s="1"/>
      <c r="E2" s="1"/>
      <c r="F2" s="1"/>
      <c r="G2" s="1"/>
      <c r="H2" s="1"/>
      <c r="I2" s="1"/>
      <c r="J2" s="1"/>
      <c r="K2" s="1"/>
      <c r="L2" s="1"/>
      <c r="M2" s="1"/>
      <c r="N2" s="1"/>
      <c r="O2" s="1"/>
      <c r="P2" s="1"/>
      <c r="Q2" s="1"/>
      <c r="R2" s="1"/>
      <c r="S2" s="1"/>
      <c r="T2" s="1"/>
      <c r="U2" s="1"/>
      <c r="V2" s="1"/>
      <c r="W2" s="1"/>
      <c r="X2" s="1"/>
      <c r="Y2" s="1"/>
      <c r="Z2" s="1"/>
    </row>
    <row r="3" ht="12.75" customHeight="1">
      <c r="A3" s="18" t="s">
        <v>11</v>
      </c>
      <c r="B3" s="18" t="s">
        <v>13</v>
      </c>
      <c r="C3" s="20" t="s">
        <v>14</v>
      </c>
      <c r="D3" s="1"/>
      <c r="E3" s="1"/>
      <c r="F3" s="1"/>
      <c r="G3" s="1"/>
      <c r="H3" s="1"/>
      <c r="I3" s="1"/>
      <c r="J3" s="1"/>
      <c r="K3" s="1"/>
      <c r="L3" s="1"/>
      <c r="M3" s="1"/>
      <c r="N3" s="1"/>
      <c r="O3" s="1"/>
      <c r="P3" s="1"/>
      <c r="Q3" s="1"/>
      <c r="R3" s="1"/>
      <c r="S3" s="1"/>
      <c r="T3" s="1"/>
      <c r="U3" s="1"/>
      <c r="V3" s="1"/>
      <c r="W3" s="1"/>
      <c r="X3" s="1"/>
      <c r="Y3" s="1"/>
      <c r="Z3" s="1"/>
    </row>
    <row r="4" ht="12.75" customHeight="1">
      <c r="A4" s="25" t="s">
        <v>20</v>
      </c>
      <c r="B4" s="25" t="str">
        <f>Home!F6</f>
        <v>EPL OMS SL [INT200_ATG_APV_OMS_Order_Load]"</v>
      </c>
      <c r="C4" s="28" t="s">
        <v>22</v>
      </c>
      <c r="D4" s="30"/>
      <c r="E4" s="30"/>
      <c r="F4" s="30"/>
      <c r="G4" s="30"/>
      <c r="H4" s="30"/>
      <c r="I4" s="30"/>
      <c r="J4" s="30"/>
      <c r="K4" s="30"/>
      <c r="L4" s="30"/>
      <c r="M4" s="30"/>
      <c r="N4" s="30"/>
      <c r="O4" s="30"/>
      <c r="P4" s="30"/>
      <c r="Q4" s="30"/>
      <c r="R4" s="30"/>
      <c r="S4" s="30"/>
      <c r="T4" s="30"/>
      <c r="U4" s="30"/>
      <c r="V4" s="30"/>
      <c r="W4" s="30"/>
      <c r="X4" s="30"/>
      <c r="Y4" s="30"/>
      <c r="Z4" s="30"/>
    </row>
    <row r="5" ht="12.75" customHeight="1">
      <c r="A5" s="37" t="s">
        <v>26</v>
      </c>
      <c r="B5" s="37" t="s">
        <v>27</v>
      </c>
      <c r="C5" s="43"/>
      <c r="D5" s="1"/>
      <c r="E5" s="1"/>
      <c r="F5" s="1"/>
      <c r="G5" s="1"/>
      <c r="H5" s="1"/>
      <c r="I5" s="1"/>
      <c r="J5" s="1"/>
      <c r="K5" s="1"/>
      <c r="L5" s="1"/>
      <c r="M5" s="1"/>
      <c r="N5" s="1"/>
      <c r="O5" s="1"/>
      <c r="P5" s="1"/>
      <c r="Q5" s="1"/>
      <c r="R5" s="1"/>
      <c r="S5" s="1"/>
      <c r="T5" s="1"/>
      <c r="U5" s="1"/>
      <c r="V5" s="1"/>
      <c r="W5" s="1"/>
      <c r="X5" s="1"/>
      <c r="Y5" s="1"/>
      <c r="Z5" s="1"/>
    </row>
    <row r="6" ht="12.75" customHeight="1">
      <c r="A6" s="37" t="s">
        <v>28</v>
      </c>
      <c r="B6" s="46" t="s">
        <v>29</v>
      </c>
      <c r="C6" s="43"/>
      <c r="D6" s="1"/>
      <c r="E6" s="1"/>
      <c r="F6" s="1"/>
      <c r="G6" s="1"/>
      <c r="H6" s="1"/>
      <c r="I6" s="1"/>
      <c r="J6" s="1"/>
      <c r="K6" s="1"/>
      <c r="L6" s="1"/>
      <c r="M6" s="1"/>
      <c r="N6" s="1"/>
      <c r="O6" s="1"/>
      <c r="P6" s="1"/>
      <c r="Q6" s="1"/>
      <c r="R6" s="1"/>
      <c r="S6" s="1"/>
      <c r="T6" s="1"/>
      <c r="U6" s="1"/>
      <c r="V6" s="1"/>
      <c r="W6" s="1"/>
      <c r="X6" s="1"/>
      <c r="Y6" s="1"/>
      <c r="Z6" s="1"/>
    </row>
    <row r="7" ht="12.75" customHeight="1">
      <c r="A7" s="37" t="s">
        <v>30</v>
      </c>
      <c r="B7" s="37" t="str">
        <f>"IBM OMS"</f>
        <v>IBM OMS</v>
      </c>
      <c r="C7" s="37"/>
      <c r="D7" s="1"/>
      <c r="E7" s="1"/>
      <c r="F7" s="1"/>
      <c r="G7" s="1"/>
      <c r="H7" s="1"/>
      <c r="I7" s="1"/>
      <c r="J7" s="1"/>
      <c r="K7" s="1"/>
      <c r="L7" s="1"/>
      <c r="M7" s="1"/>
      <c r="N7" s="1"/>
      <c r="O7" s="1"/>
      <c r="P7" s="1"/>
      <c r="Q7" s="1"/>
      <c r="R7" s="1"/>
      <c r="S7" s="1"/>
      <c r="T7" s="1"/>
      <c r="U7" s="1"/>
      <c r="V7" s="1"/>
      <c r="W7" s="1"/>
      <c r="X7" s="1"/>
      <c r="Y7" s="1"/>
      <c r="Z7" s="1"/>
    </row>
    <row r="8" ht="12.75" customHeight="1">
      <c r="A8" s="49" t="s">
        <v>32</v>
      </c>
      <c r="B8" s="37" t="str">
        <f>"Middleware Team / IBM Message Broker V10.0"</f>
        <v>Middleware Team / IBM Message Broker V10.0</v>
      </c>
      <c r="C8" s="37"/>
      <c r="D8" s="1"/>
      <c r="E8" s="1"/>
      <c r="F8" s="1"/>
      <c r="G8" s="1"/>
      <c r="H8" s="1"/>
      <c r="I8" s="1"/>
      <c r="J8" s="1"/>
      <c r="K8" s="1"/>
      <c r="L8" s="1"/>
      <c r="M8" s="1"/>
      <c r="N8" s="1"/>
      <c r="O8" s="1"/>
      <c r="P8" s="1"/>
      <c r="Q8" s="1"/>
      <c r="R8" s="1"/>
      <c r="S8" s="1"/>
      <c r="T8" s="1"/>
      <c r="U8" s="1"/>
      <c r="V8" s="1"/>
      <c r="W8" s="1"/>
      <c r="X8" s="1"/>
      <c r="Y8" s="1"/>
      <c r="Z8" s="1"/>
    </row>
    <row r="9" ht="27.75" customHeight="1">
      <c r="A9" s="52" t="s">
        <v>33</v>
      </c>
      <c r="B9" s="25" t="str">
        <f>"Asynchronous MQSeries JMS queue"</f>
        <v>Asynchronous MQSeries JMS queue</v>
      </c>
      <c r="C9" s="28"/>
      <c r="D9" s="1"/>
      <c r="E9" s="1"/>
      <c r="F9" s="1"/>
      <c r="G9" s="1"/>
      <c r="H9" s="1"/>
      <c r="I9" s="1"/>
      <c r="J9" s="1"/>
      <c r="K9" s="1"/>
      <c r="L9" s="1"/>
      <c r="M9" s="1"/>
      <c r="N9" s="1"/>
      <c r="O9" s="1"/>
      <c r="P9" s="1"/>
      <c r="Q9" s="1"/>
      <c r="R9" s="1"/>
      <c r="S9" s="1"/>
      <c r="T9" s="1"/>
      <c r="U9" s="1"/>
      <c r="V9" s="1"/>
      <c r="W9" s="1"/>
      <c r="X9" s="1"/>
      <c r="Y9" s="1"/>
      <c r="Z9" s="1"/>
    </row>
    <row r="10" ht="12.75" customHeight="1">
      <c r="A10" s="37" t="s">
        <v>35</v>
      </c>
      <c r="B10" s="37" t="s">
        <v>36</v>
      </c>
      <c r="C10" s="56" t="s">
        <v>37</v>
      </c>
      <c r="D10" s="1"/>
      <c r="E10" s="1"/>
      <c r="F10" s="1"/>
      <c r="G10" s="1"/>
      <c r="H10" s="1"/>
      <c r="I10" s="1"/>
      <c r="J10" s="1"/>
      <c r="K10" s="1"/>
      <c r="L10" s="1"/>
      <c r="M10" s="1"/>
      <c r="N10" s="1"/>
      <c r="O10" s="1"/>
      <c r="P10" s="1"/>
      <c r="Q10" s="1"/>
      <c r="R10" s="1"/>
      <c r="S10" s="1"/>
      <c r="T10" s="1"/>
      <c r="U10" s="1"/>
      <c r="V10" s="1"/>
      <c r="W10" s="1"/>
      <c r="X10" s="1"/>
      <c r="Y10" s="1"/>
      <c r="Z10" s="1"/>
    </row>
    <row r="11" ht="12.75" customHeight="1">
      <c r="A11" s="37" t="s">
        <v>39</v>
      </c>
      <c r="B11" s="43"/>
      <c r="C11" s="43"/>
      <c r="D11" s="1"/>
      <c r="E11" s="1"/>
      <c r="F11" s="1"/>
      <c r="G11" s="1"/>
      <c r="H11" s="1"/>
      <c r="I11" s="1"/>
      <c r="J11" s="1"/>
      <c r="K11" s="1"/>
      <c r="L11" s="1"/>
      <c r="M11" s="1"/>
      <c r="N11" s="1"/>
      <c r="O11" s="1"/>
      <c r="P11" s="1"/>
      <c r="Q11" s="1"/>
      <c r="R11" s="1"/>
      <c r="S11" s="1"/>
      <c r="T11" s="1"/>
      <c r="U11" s="1"/>
      <c r="V11" s="1"/>
      <c r="W11" s="1"/>
      <c r="X11" s="1"/>
      <c r="Y11" s="1"/>
      <c r="Z11" s="1"/>
    </row>
    <row r="12" ht="12.75" customHeight="1">
      <c r="A12" s="37" t="s">
        <v>40</v>
      </c>
      <c r="B12" s="37"/>
      <c r="C12" s="43"/>
      <c r="D12" s="1"/>
      <c r="E12" s="1"/>
      <c r="F12" s="1"/>
      <c r="G12" s="1"/>
      <c r="H12" s="1"/>
      <c r="I12" s="1"/>
      <c r="J12" s="1"/>
      <c r="K12" s="1"/>
      <c r="L12" s="1"/>
      <c r="M12" s="1"/>
      <c r="N12" s="1"/>
      <c r="O12" s="1"/>
      <c r="P12" s="1"/>
      <c r="Q12" s="1"/>
      <c r="R12" s="1"/>
      <c r="S12" s="1"/>
      <c r="T12" s="1"/>
      <c r="U12" s="1"/>
      <c r="V12" s="1"/>
      <c r="W12" s="1"/>
      <c r="X12" s="1"/>
      <c r="Y12" s="1"/>
      <c r="Z12" s="1"/>
    </row>
    <row r="13" ht="12.75" customHeight="1">
      <c r="A13" s="37" t="s">
        <v>41</v>
      </c>
      <c r="B13" s="43" t="s">
        <v>42</v>
      </c>
      <c r="C13" s="61"/>
      <c r="D13" s="1"/>
      <c r="E13" s="1"/>
      <c r="F13" s="1"/>
      <c r="G13" s="1"/>
      <c r="H13" s="1"/>
      <c r="I13" s="1"/>
      <c r="J13" s="1"/>
      <c r="K13" s="1"/>
      <c r="L13" s="1"/>
      <c r="M13" s="1"/>
      <c r="N13" s="1"/>
      <c r="O13" s="1"/>
      <c r="P13" s="1"/>
      <c r="Q13" s="1"/>
      <c r="R13" s="1"/>
      <c r="S13" s="1"/>
      <c r="T13" s="1"/>
      <c r="U13" s="1"/>
      <c r="V13" s="1"/>
      <c r="W13" s="1"/>
      <c r="X13" s="1"/>
      <c r="Y13" s="1"/>
      <c r="Z13" s="1"/>
    </row>
    <row r="14" ht="12.75" customHeight="1">
      <c r="A14" s="37" t="s">
        <v>43</v>
      </c>
      <c r="B14" s="37" t="s">
        <v>42</v>
      </c>
      <c r="C14" s="43"/>
      <c r="D14" s="1"/>
      <c r="E14" s="1"/>
      <c r="F14" s="1"/>
      <c r="G14" s="1"/>
      <c r="H14" s="1"/>
      <c r="I14" s="1"/>
      <c r="J14" s="1"/>
      <c r="K14" s="1"/>
      <c r="L14" s="1"/>
      <c r="M14" s="1"/>
      <c r="N14" s="1"/>
      <c r="O14" s="1"/>
      <c r="P14" s="1"/>
      <c r="Q14" s="1"/>
      <c r="R14" s="1"/>
      <c r="S14" s="1"/>
      <c r="T14" s="1"/>
      <c r="U14" s="1"/>
      <c r="V14" s="1"/>
      <c r="W14" s="1"/>
      <c r="X14" s="1"/>
      <c r="Y14" s="1"/>
      <c r="Z14" s="1"/>
    </row>
    <row r="15" ht="12.75" customHeight="1">
      <c r="A15" s="37" t="str">
        <f>"Error XSD"</f>
        <v>Error XSD</v>
      </c>
      <c r="B15" s="37"/>
      <c r="C15" s="43"/>
      <c r="D15" s="1"/>
      <c r="E15" s="1"/>
      <c r="F15" s="1"/>
      <c r="G15" s="1"/>
      <c r="H15" s="1"/>
      <c r="I15" s="1"/>
      <c r="J15" s="1"/>
      <c r="K15" s="1"/>
      <c r="L15" s="1"/>
      <c r="M15" s="1"/>
      <c r="N15" s="1"/>
      <c r="O15" s="1"/>
      <c r="P15" s="1"/>
      <c r="Q15" s="1"/>
      <c r="R15" s="1"/>
      <c r="S15" s="1"/>
      <c r="T15" s="1"/>
      <c r="U15" s="1"/>
      <c r="V15" s="1"/>
      <c r="W15" s="1"/>
      <c r="X15" s="1"/>
      <c r="Y15" s="1"/>
      <c r="Z15" s="1"/>
    </row>
    <row r="16" ht="12.75" customHeight="1">
      <c r="A16" s="37" t="str">
        <f>"Error XML"</f>
        <v>Error XML</v>
      </c>
      <c r="B16" s="37"/>
      <c r="C16" s="43"/>
      <c r="D16" s="1"/>
      <c r="E16" s="1"/>
      <c r="F16" s="1"/>
      <c r="G16" s="1"/>
      <c r="H16" s="1"/>
      <c r="I16" s="1"/>
      <c r="J16" s="1"/>
      <c r="K16" s="1"/>
      <c r="L16" s="1"/>
      <c r="M16" s="1"/>
      <c r="N16" s="1"/>
      <c r="O16" s="1"/>
      <c r="P16" s="1"/>
      <c r="Q16" s="1"/>
      <c r="R16" s="1"/>
      <c r="S16" s="1"/>
      <c r="T16" s="1"/>
      <c r="U16" s="1"/>
      <c r="V16" s="1"/>
      <c r="W16" s="1"/>
      <c r="X16" s="1"/>
      <c r="Y16" s="1"/>
      <c r="Z16" s="1"/>
    </row>
    <row r="17" ht="12.75" customHeight="1">
      <c r="A17" s="37" t="s">
        <v>44</v>
      </c>
      <c r="B17" s="43"/>
      <c r="C17" s="61"/>
      <c r="D17" s="1"/>
      <c r="E17" s="1"/>
      <c r="F17" s="1"/>
      <c r="G17" s="1"/>
      <c r="H17" s="1"/>
      <c r="I17" s="1"/>
      <c r="J17" s="1"/>
      <c r="K17" s="1"/>
      <c r="L17" s="1"/>
      <c r="M17" s="1"/>
      <c r="N17" s="1"/>
      <c r="O17" s="1"/>
      <c r="P17" s="1"/>
      <c r="Q17" s="1"/>
      <c r="R17" s="1"/>
      <c r="S17" s="1"/>
      <c r="T17" s="1"/>
      <c r="U17" s="1"/>
      <c r="V17" s="1"/>
      <c r="W17" s="1"/>
      <c r="X17" s="1"/>
      <c r="Y17" s="1"/>
      <c r="Z17" s="1"/>
    </row>
    <row r="18" ht="12.75" customHeight="1">
      <c r="A18" s="37" t="s">
        <v>45</v>
      </c>
      <c r="B18" s="72" t="s">
        <v>46</v>
      </c>
      <c r="C18" s="72" t="s">
        <v>46</v>
      </c>
      <c r="D18" s="1"/>
      <c r="E18" s="1"/>
      <c r="F18" s="1"/>
      <c r="G18" s="1"/>
      <c r="H18" s="1"/>
      <c r="I18" s="1"/>
      <c r="J18" s="1"/>
      <c r="K18" s="1"/>
      <c r="L18" s="1"/>
      <c r="M18" s="1"/>
      <c r="N18" s="1"/>
      <c r="O18" s="1"/>
      <c r="P18" s="1"/>
      <c r="Q18" s="1"/>
      <c r="R18" s="1"/>
      <c r="S18" s="1"/>
      <c r="T18" s="1"/>
      <c r="U18" s="1"/>
      <c r="V18" s="1"/>
      <c r="W18" s="1"/>
      <c r="X18" s="1"/>
      <c r="Y18" s="1"/>
      <c r="Z18" s="1"/>
    </row>
    <row r="19" ht="12.75" customHeight="1">
      <c r="A19" s="61"/>
      <c r="B19" s="61"/>
      <c r="C19" s="61"/>
      <c r="D19" s="1"/>
      <c r="E19" s="1"/>
      <c r="F19" s="1"/>
      <c r="G19" s="1"/>
      <c r="H19" s="1"/>
      <c r="I19" s="1"/>
      <c r="J19" s="1"/>
      <c r="K19" s="1"/>
      <c r="L19" s="1"/>
      <c r="M19" s="1"/>
      <c r="N19" s="1"/>
      <c r="O19" s="1"/>
      <c r="P19" s="1"/>
      <c r="Q19" s="1"/>
      <c r="R19" s="1"/>
      <c r="S19" s="1"/>
      <c r="T19" s="1"/>
      <c r="U19" s="1"/>
      <c r="V19" s="1"/>
      <c r="W19" s="1"/>
      <c r="X19" s="1"/>
      <c r="Y19" s="1"/>
      <c r="Z19" s="1"/>
    </row>
    <row r="20" ht="12.75" customHeight="1">
      <c r="A20" s="61"/>
      <c r="B20" s="61"/>
      <c r="C20" s="61"/>
      <c r="D20" s="1"/>
      <c r="E20" s="1"/>
      <c r="F20" s="1"/>
      <c r="G20" s="1"/>
      <c r="H20" s="1"/>
      <c r="I20" s="1"/>
      <c r="J20" s="1"/>
      <c r="K20" s="1"/>
      <c r="L20" s="1"/>
      <c r="M20" s="1"/>
      <c r="N20" s="1"/>
      <c r="O20" s="1"/>
      <c r="P20" s="1"/>
      <c r="Q20" s="1"/>
      <c r="R20" s="1"/>
      <c r="S20" s="1"/>
      <c r="T20" s="1"/>
      <c r="U20" s="1"/>
      <c r="V20" s="1"/>
      <c r="W20" s="1"/>
      <c r="X20" s="1"/>
      <c r="Y20" s="1"/>
      <c r="Z20" s="1"/>
    </row>
    <row r="21" ht="12.75" customHeight="1">
      <c r="A21" s="61"/>
      <c r="B21" s="61"/>
      <c r="C21" s="6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81"/>
      <c r="C23" s="82"/>
      <c r="E23" s="1"/>
      <c r="F23" s="1"/>
      <c r="G23" s="1"/>
      <c r="H23" s="1"/>
      <c r="I23" s="1"/>
      <c r="J23" s="1"/>
      <c r="K23" s="1"/>
      <c r="L23" s="1"/>
      <c r="M23" s="1"/>
      <c r="N23" s="1"/>
      <c r="O23" s="1"/>
      <c r="P23" s="1"/>
      <c r="Q23" s="1"/>
      <c r="R23" s="1"/>
      <c r="S23" s="1"/>
      <c r="T23" s="1"/>
      <c r="U23" s="1"/>
      <c r="V23" s="1"/>
      <c r="W23" s="1"/>
      <c r="X23" s="1"/>
      <c r="Y23" s="1"/>
      <c r="Z23" s="1"/>
    </row>
    <row r="24" ht="12.75" customHeight="1">
      <c r="A24" s="1"/>
      <c r="B24" s="6"/>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86"/>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81"/>
      <c r="C31" s="92"/>
      <c r="D31" s="6"/>
      <c r="E31" s="6"/>
      <c r="F31" s="6"/>
      <c r="G31" s="6"/>
      <c r="H31" s="6"/>
      <c r="I31" s="6"/>
      <c r="J31" s="6"/>
      <c r="K31" s="6"/>
      <c r="L31" s="6"/>
      <c r="M31" s="6"/>
      <c r="N31" s="6"/>
      <c r="O31" s="6"/>
      <c r="P31" s="6"/>
      <c r="Q31" s="6"/>
      <c r="R31" s="6"/>
      <c r="S31" s="6"/>
      <c r="T31" s="6"/>
      <c r="U31" s="6"/>
      <c r="V31" s="6"/>
      <c r="W31" s="6"/>
      <c r="X31" s="6"/>
      <c r="Y31" s="6"/>
      <c r="Z31" s="6"/>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8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82"/>
      <c r="C49" s="82"/>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21"/>
      <c r="C74" s="12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A23:B23"/>
    <mergeCell ref="C23:D23"/>
    <mergeCell ref="A31:B31"/>
    <mergeCell ref="A39:B39"/>
    <mergeCell ref="A49:B49"/>
    <mergeCell ref="A74:B74"/>
  </mergeCells>
  <dataValidations>
    <dataValidation type="list" allowBlank="1" showErrorMessage="1" sqref="B5">
      <formula1>MeansOfComm</formula1>
    </dataValidation>
  </dataValidations>
  <hyperlinks>
    <hyperlink r:id="rId1" ref="B18"/>
    <hyperlink r:id="rId2" ref="C18"/>
  </hyperlinks>
  <printOptions/>
  <pageMargins bottom="0.75" footer="0.0" header="0.0" left="0.7" right="0.7" top="0.75"/>
  <pageSetup orientation="portrait"/>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2" width="18.14"/>
    <col customWidth="1" min="3" max="3" width="69.29"/>
    <col customWidth="1" min="4" max="4" width="11.14"/>
    <col customWidth="1" min="5" max="26" width="8.86"/>
  </cols>
  <sheetData>
    <row r="1">
      <c r="A1" s="3" t="str">
        <f>"Revision"</f>
        <v>Revision</v>
      </c>
      <c r="B1" s="7" t="str">
        <f>"Revision Date"</f>
        <v>Revision Date</v>
      </c>
      <c r="C1" s="10" t="str">
        <f>"Revision Comments"</f>
        <v>Revision Comments</v>
      </c>
      <c r="D1" s="10" t="s">
        <v>6</v>
      </c>
    </row>
    <row r="2">
      <c r="A2" s="12">
        <v>0.1</v>
      </c>
      <c r="B2" s="13">
        <v>45362.0</v>
      </c>
      <c r="C2" s="14" t="s">
        <v>8</v>
      </c>
      <c r="D2" s="14"/>
    </row>
    <row r="3">
      <c r="A3" s="17">
        <v>0.2</v>
      </c>
      <c r="B3" s="19" t="s">
        <v>12</v>
      </c>
      <c r="C3" s="21" t="s">
        <v>15</v>
      </c>
      <c r="D3" s="22" t="s">
        <v>17</v>
      </c>
    </row>
    <row r="4">
      <c r="A4" s="17">
        <v>0.3</v>
      </c>
      <c r="B4" s="23">
        <v>45873.0</v>
      </c>
      <c r="C4" s="21" t="s">
        <v>19</v>
      </c>
      <c r="D4" s="26"/>
    </row>
    <row r="5">
      <c r="A5" s="27"/>
      <c r="B5" s="29"/>
      <c r="C5" s="32"/>
      <c r="D5" s="26"/>
    </row>
    <row r="6">
      <c r="A6" s="34"/>
      <c r="B6" s="35"/>
      <c r="C6" s="36"/>
      <c r="D6" s="38"/>
    </row>
    <row r="7">
      <c r="A7" s="27"/>
      <c r="B7" s="39"/>
      <c r="C7" s="32"/>
      <c r="D7" s="40"/>
    </row>
    <row r="8">
      <c r="A8" s="27"/>
      <c r="B8" s="39"/>
      <c r="C8" s="32"/>
      <c r="D8" s="40"/>
      <c r="E8" s="42"/>
      <c r="F8" s="42"/>
      <c r="G8" s="42"/>
      <c r="H8" s="42"/>
      <c r="I8" s="42"/>
      <c r="J8" s="42"/>
      <c r="K8" s="42"/>
      <c r="L8" s="42"/>
      <c r="M8" s="42"/>
      <c r="N8" s="42"/>
      <c r="O8" s="42"/>
      <c r="P8" s="42"/>
      <c r="Q8" s="42"/>
      <c r="R8" s="42"/>
      <c r="S8" s="42"/>
      <c r="T8" s="42"/>
      <c r="U8" s="42"/>
      <c r="V8" s="42"/>
      <c r="W8" s="42"/>
      <c r="X8" s="42"/>
      <c r="Y8" s="42"/>
      <c r="Z8" s="42"/>
    </row>
    <row r="9">
      <c r="A9" s="27"/>
      <c r="B9" s="39"/>
      <c r="C9" s="32"/>
      <c r="D9" s="40"/>
      <c r="E9" s="42"/>
      <c r="F9" s="42"/>
      <c r="G9" s="42"/>
      <c r="H9" s="42"/>
      <c r="I9" s="42"/>
      <c r="J9" s="42"/>
      <c r="K9" s="42"/>
      <c r="L9" s="42"/>
      <c r="M9" s="42"/>
      <c r="N9" s="42"/>
      <c r="O9" s="42"/>
      <c r="P9" s="42"/>
      <c r="Q9" s="42"/>
      <c r="R9" s="42"/>
      <c r="S9" s="42"/>
      <c r="T9" s="42"/>
      <c r="U9" s="42"/>
      <c r="V9" s="42"/>
      <c r="W9" s="42"/>
      <c r="X9" s="42"/>
      <c r="Y9" s="42"/>
      <c r="Z9" s="42"/>
    </row>
    <row r="10">
      <c r="A10" s="27"/>
      <c r="B10" s="39"/>
      <c r="C10" s="32"/>
      <c r="D10" s="40"/>
      <c r="E10" s="42"/>
      <c r="F10" s="42"/>
      <c r="G10" s="42"/>
      <c r="H10" s="42"/>
      <c r="I10" s="42"/>
      <c r="J10" s="42"/>
      <c r="K10" s="42"/>
      <c r="L10" s="42"/>
      <c r="M10" s="42"/>
      <c r="N10" s="42"/>
      <c r="O10" s="42"/>
      <c r="P10" s="42"/>
      <c r="Q10" s="42"/>
      <c r="R10" s="42"/>
      <c r="S10" s="42"/>
      <c r="T10" s="42"/>
      <c r="U10" s="42"/>
      <c r="V10" s="42"/>
      <c r="W10" s="42"/>
      <c r="X10" s="42"/>
      <c r="Y10" s="42"/>
      <c r="Z10" s="42"/>
    </row>
    <row r="11">
      <c r="A11" s="27"/>
      <c r="B11" s="39"/>
      <c r="C11" s="32"/>
      <c r="D11" s="40"/>
      <c r="E11" s="42"/>
      <c r="F11" s="42"/>
      <c r="G11" s="42"/>
      <c r="H11" s="42"/>
      <c r="I11" s="42"/>
      <c r="J11" s="42"/>
      <c r="K11" s="42"/>
      <c r="L11" s="42"/>
      <c r="M11" s="42"/>
      <c r="N11" s="42"/>
      <c r="O11" s="42"/>
      <c r="P11" s="42"/>
      <c r="Q11" s="42"/>
      <c r="R11" s="42"/>
      <c r="S11" s="42"/>
      <c r="T11" s="42"/>
      <c r="U11" s="42"/>
      <c r="V11" s="42"/>
      <c r="W11" s="42"/>
      <c r="X11" s="42"/>
      <c r="Y11" s="42"/>
      <c r="Z11" s="42"/>
    </row>
    <row r="12">
      <c r="A12" s="51"/>
      <c r="B12" s="39"/>
      <c r="C12" s="53"/>
      <c r="D12" s="40"/>
    </row>
    <row r="13">
      <c r="A13" s="51"/>
      <c r="B13" s="39"/>
      <c r="C13" s="55"/>
      <c r="D13" s="40"/>
    </row>
    <row r="14">
      <c r="A14" s="51"/>
      <c r="B14" s="39"/>
      <c r="C14" s="55"/>
      <c r="D14" s="40"/>
    </row>
    <row r="15">
      <c r="A15" s="51"/>
      <c r="B15" s="39"/>
      <c r="C15" s="55"/>
      <c r="D15" s="40"/>
    </row>
    <row r="16">
      <c r="A16" s="51"/>
      <c r="B16" s="39"/>
      <c r="C16" s="53"/>
      <c r="D16" s="40"/>
    </row>
    <row r="17">
      <c r="A17" s="51"/>
      <c r="B17" s="39"/>
      <c r="C17" s="58"/>
      <c r="D17" s="40"/>
    </row>
    <row r="18">
      <c r="A18" s="51"/>
      <c r="B18" s="59"/>
      <c r="C18" s="58"/>
      <c r="D18" s="40"/>
    </row>
    <row r="19">
      <c r="A19" s="51"/>
      <c r="B19" s="60"/>
      <c r="C19" s="58"/>
      <c r="D19" s="40"/>
    </row>
    <row r="20">
      <c r="A20" s="51"/>
      <c r="B20" s="60"/>
      <c r="C20" s="58"/>
      <c r="D20" s="40"/>
    </row>
    <row r="21">
      <c r="A21" s="51"/>
      <c r="B21" s="60"/>
      <c r="C21" s="63"/>
      <c r="D21" s="40"/>
    </row>
    <row r="22">
      <c r="A22" s="51"/>
      <c r="B22" s="59"/>
      <c r="C22" s="63"/>
      <c r="D22" s="40"/>
    </row>
    <row r="23">
      <c r="A23" s="51"/>
      <c r="B23" s="60"/>
      <c r="C23" s="63"/>
      <c r="D23" s="40"/>
    </row>
    <row r="24" ht="15.75" customHeight="1">
      <c r="A24" s="51"/>
      <c r="B24" s="60"/>
      <c r="C24" s="58"/>
      <c r="D24" s="40"/>
    </row>
    <row r="25" ht="15.75" customHeight="1">
      <c r="A25" s="51"/>
      <c r="B25" s="59"/>
      <c r="C25" s="58"/>
      <c r="D25" s="40"/>
    </row>
    <row r="26">
      <c r="A26" s="66"/>
      <c r="B26" s="67"/>
      <c r="C26" s="63"/>
      <c r="D26" s="68"/>
    </row>
    <row r="27" ht="33.75" customHeight="1">
      <c r="A27" s="51"/>
      <c r="B27" s="60"/>
      <c r="C27" s="58"/>
      <c r="D27" s="40"/>
    </row>
    <row r="28" ht="15.75" customHeight="1">
      <c r="A28" s="51"/>
      <c r="B28" s="59"/>
      <c r="C28" s="58"/>
      <c r="D28" s="40"/>
    </row>
    <row r="29" ht="15.75" customHeight="1">
      <c r="A29" s="51"/>
      <c r="B29" s="60"/>
      <c r="C29" s="58"/>
      <c r="D29" s="40"/>
    </row>
    <row r="30" ht="15.75" customHeight="1">
      <c r="A30" s="51"/>
      <c r="B30" s="60"/>
      <c r="C30" s="58"/>
      <c r="D30" s="40"/>
    </row>
    <row r="31">
      <c r="A31" s="51"/>
      <c r="B31" s="59"/>
      <c r="C31" s="63"/>
      <c r="D31" s="40"/>
    </row>
    <row r="32">
      <c r="A32" s="51"/>
      <c r="B32" s="59"/>
      <c r="C32" s="63"/>
      <c r="D32" s="40"/>
    </row>
    <row r="33" ht="15.75" customHeight="1">
      <c r="A33" s="51"/>
      <c r="B33" s="60"/>
      <c r="C33" s="58"/>
      <c r="D33" s="40"/>
    </row>
    <row r="34" ht="15.75" customHeight="1">
      <c r="A34" s="51"/>
      <c r="B34" s="59"/>
      <c r="C34" s="58"/>
      <c r="D34" s="40"/>
    </row>
    <row r="35" ht="15.75" customHeight="1">
      <c r="A35" s="51"/>
      <c r="B35" s="59"/>
      <c r="C35" s="58"/>
      <c r="D35" s="40"/>
    </row>
    <row r="36">
      <c r="A36" s="12"/>
      <c r="B36" s="59"/>
      <c r="C36" s="63"/>
      <c r="D36" s="40"/>
    </row>
    <row r="37" ht="15.75" customHeight="1">
      <c r="A37" s="51"/>
      <c r="B37" s="60"/>
      <c r="C37" s="63"/>
      <c r="D37" s="40"/>
    </row>
    <row r="38">
      <c r="A38" s="51"/>
      <c r="B38" s="59"/>
      <c r="C38" s="63"/>
      <c r="D38" s="40"/>
    </row>
    <row r="39" ht="15.75" customHeight="1">
      <c r="A39" s="51"/>
      <c r="B39" s="59"/>
      <c r="C39" s="14"/>
      <c r="D39" s="40"/>
    </row>
    <row r="40" ht="15.75" customHeight="1">
      <c r="A40" s="51"/>
      <c r="B40" s="60"/>
      <c r="C40" s="58"/>
      <c r="D40" s="40"/>
    </row>
    <row r="41">
      <c r="A41" s="51"/>
      <c r="B41" s="59"/>
      <c r="C41" s="58"/>
      <c r="D41" s="40"/>
    </row>
    <row r="42" ht="15.75" customHeight="1">
      <c r="A42" s="51"/>
      <c r="B42" s="59"/>
      <c r="C42" s="58"/>
      <c r="D42" s="40"/>
    </row>
    <row r="43">
      <c r="A43" s="51"/>
      <c r="B43" s="59"/>
      <c r="C43" s="58"/>
      <c r="D43" s="40"/>
    </row>
    <row r="44" ht="15.75" customHeight="1">
      <c r="A44" s="51"/>
      <c r="B44" s="59"/>
      <c r="C44" s="58"/>
      <c r="D44" s="40"/>
    </row>
    <row r="45" ht="15.75" customHeight="1">
      <c r="A45" s="51"/>
      <c r="B45" s="59"/>
      <c r="C45" s="58"/>
      <c r="D45" s="40"/>
    </row>
    <row r="46" ht="15.75" customHeight="1">
      <c r="A46" s="51"/>
      <c r="B46" s="60"/>
      <c r="C46" s="58"/>
      <c r="D46" s="40"/>
    </row>
    <row r="47" ht="15.75" customHeight="1">
      <c r="A47" s="51"/>
      <c r="B47" s="60"/>
      <c r="C47" s="58"/>
      <c r="D47" s="40"/>
    </row>
    <row r="48" ht="15.75" customHeight="1">
      <c r="A48" s="51"/>
      <c r="B48" s="60"/>
      <c r="C48" s="58"/>
      <c r="D48" s="40"/>
    </row>
    <row r="49" ht="15.75" customHeight="1">
      <c r="A49" s="51"/>
      <c r="B49" s="60"/>
      <c r="C49" s="58"/>
      <c r="D49" s="40"/>
    </row>
    <row r="50" ht="15.75" customHeight="1">
      <c r="A50" s="51"/>
      <c r="B50" s="60"/>
      <c r="C50" s="58"/>
      <c r="D50" s="40"/>
    </row>
    <row r="51" ht="15.75" customHeight="1">
      <c r="B51" s="84"/>
    </row>
    <row r="52" ht="15.75" customHeight="1">
      <c r="B52" s="84"/>
    </row>
    <row r="53" ht="15.75" customHeight="1">
      <c r="B53" s="84"/>
    </row>
    <row r="54" ht="15.75" customHeight="1">
      <c r="B54" s="84"/>
    </row>
    <row r="55" ht="15.75" customHeight="1">
      <c r="B55" s="84"/>
    </row>
    <row r="56" ht="15.75" customHeight="1">
      <c r="B56" s="84"/>
    </row>
    <row r="57" ht="15.75" customHeight="1">
      <c r="B57" s="84"/>
    </row>
    <row r="58" ht="15.75" customHeight="1">
      <c r="B58" s="84"/>
    </row>
    <row r="59" ht="15.75" customHeight="1">
      <c r="B59" s="84"/>
    </row>
    <row r="60" ht="15.75" customHeight="1">
      <c r="B60" s="84"/>
    </row>
    <row r="61" ht="15.75" customHeight="1">
      <c r="B61" s="84"/>
    </row>
    <row r="62" ht="15.75" customHeight="1">
      <c r="B62" s="84"/>
    </row>
    <row r="63" ht="15.75" customHeight="1">
      <c r="B63" s="84"/>
    </row>
    <row r="64" ht="15.75" customHeight="1">
      <c r="B64" s="84"/>
    </row>
    <row r="65" ht="15.75" customHeight="1">
      <c r="B65" s="84"/>
    </row>
    <row r="66" ht="15.75" customHeight="1">
      <c r="B66" s="84"/>
    </row>
    <row r="67" ht="15.75" customHeight="1">
      <c r="B67" s="84"/>
    </row>
    <row r="68" ht="15.75" customHeight="1">
      <c r="B68" s="84"/>
    </row>
    <row r="69" ht="15.75" customHeight="1">
      <c r="B69" s="84"/>
    </row>
    <row r="70" ht="15.75" customHeight="1">
      <c r="B70" s="84"/>
    </row>
    <row r="71" ht="15.75" customHeight="1">
      <c r="B71" s="84"/>
    </row>
    <row r="72" ht="15.75" customHeight="1">
      <c r="B72" s="84"/>
    </row>
    <row r="73" ht="15.75" customHeight="1">
      <c r="B73" s="84"/>
    </row>
    <row r="74" ht="15.75" customHeight="1">
      <c r="B74" s="84"/>
    </row>
    <row r="75" ht="15.75" customHeight="1">
      <c r="B75" s="84"/>
    </row>
    <row r="76" ht="15.75" customHeight="1">
      <c r="B76" s="84"/>
    </row>
    <row r="77" ht="15.75" customHeight="1">
      <c r="B77" s="84"/>
    </row>
    <row r="78" ht="15.75" customHeight="1">
      <c r="B78" s="84"/>
    </row>
    <row r="79" ht="15.75" customHeight="1">
      <c r="B79" s="84"/>
    </row>
    <row r="80" ht="15.75" customHeight="1">
      <c r="B80" s="84"/>
    </row>
    <row r="81" ht="15.75" customHeight="1">
      <c r="B81" s="84"/>
    </row>
    <row r="82" ht="15.75" customHeight="1">
      <c r="B82" s="84"/>
    </row>
    <row r="83" ht="15.75" customHeight="1">
      <c r="B83" s="84"/>
    </row>
    <row r="84" ht="15.75" customHeight="1">
      <c r="B84" s="84"/>
    </row>
    <row r="85" ht="15.75" customHeight="1">
      <c r="B85" s="84"/>
    </row>
    <row r="86" ht="15.75" customHeight="1">
      <c r="B86" s="84"/>
    </row>
    <row r="87" ht="15.75" customHeight="1">
      <c r="B87" s="84"/>
    </row>
    <row r="88" ht="15.75" customHeight="1">
      <c r="B88" s="84"/>
    </row>
    <row r="89" ht="15.75" customHeight="1">
      <c r="B89" s="84"/>
    </row>
    <row r="90" ht="15.75" customHeight="1">
      <c r="B90" s="84"/>
    </row>
    <row r="91" ht="15.75" customHeight="1">
      <c r="B91" s="84"/>
    </row>
    <row r="92" ht="15.75" customHeight="1">
      <c r="B92" s="84"/>
    </row>
    <row r="93" ht="15.75" customHeight="1">
      <c r="B93" s="84"/>
    </row>
    <row r="94" ht="15.75" customHeight="1">
      <c r="B94" s="84"/>
    </row>
    <row r="95" ht="15.75" customHeight="1">
      <c r="B95" s="84"/>
    </row>
    <row r="96" ht="15.75" customHeight="1">
      <c r="B96" s="84"/>
    </row>
    <row r="97" ht="15.75" customHeight="1">
      <c r="B97" s="84"/>
    </row>
    <row r="98" ht="15.75" customHeight="1">
      <c r="B98" s="84"/>
    </row>
    <row r="99" ht="15.75" customHeight="1">
      <c r="B99" s="84"/>
    </row>
    <row r="100" ht="15.75" customHeight="1">
      <c r="B100" s="84"/>
    </row>
    <row r="101" ht="15.75" customHeight="1">
      <c r="B101" s="84"/>
    </row>
    <row r="102" ht="15.75" customHeight="1">
      <c r="B102" s="84"/>
    </row>
    <row r="103" ht="15.75" customHeight="1">
      <c r="B103" s="84"/>
    </row>
    <row r="104" ht="15.75" customHeight="1">
      <c r="B104" s="84"/>
    </row>
    <row r="105" ht="15.75" customHeight="1">
      <c r="B105" s="84"/>
    </row>
    <row r="106" ht="15.75" customHeight="1">
      <c r="B106" s="84"/>
    </row>
    <row r="107" ht="15.75" customHeight="1">
      <c r="B107" s="84"/>
    </row>
    <row r="108" ht="15.75" customHeight="1">
      <c r="B108" s="84"/>
    </row>
    <row r="109" ht="15.75" customHeight="1">
      <c r="B109" s="84"/>
    </row>
    <row r="110" ht="15.75" customHeight="1">
      <c r="B110" s="84"/>
    </row>
    <row r="111" ht="15.75" customHeight="1">
      <c r="B111" s="84"/>
    </row>
    <row r="112" ht="15.75" customHeight="1">
      <c r="B112" s="84"/>
    </row>
    <row r="113" ht="15.75" customHeight="1">
      <c r="B113" s="84"/>
    </row>
    <row r="114" ht="15.75" customHeight="1">
      <c r="B114" s="84"/>
    </row>
    <row r="115" ht="15.75" customHeight="1">
      <c r="B115" s="84"/>
    </row>
    <row r="116" ht="15.75" customHeight="1">
      <c r="B116" s="84"/>
    </row>
    <row r="117" ht="15.75" customHeight="1">
      <c r="B117" s="84"/>
    </row>
    <row r="118" ht="15.75" customHeight="1">
      <c r="B118" s="84"/>
    </row>
    <row r="119" ht="15.75" customHeight="1">
      <c r="B119" s="84"/>
    </row>
    <row r="120" ht="15.75" customHeight="1">
      <c r="B120" s="84"/>
    </row>
    <row r="121" ht="15.75" customHeight="1">
      <c r="B121" s="84"/>
    </row>
    <row r="122" ht="15.75" customHeight="1">
      <c r="B122" s="84"/>
    </row>
    <row r="123" ht="15.75" customHeight="1">
      <c r="B123" s="84"/>
    </row>
    <row r="124" ht="15.75" customHeight="1">
      <c r="B124" s="84"/>
    </row>
    <row r="125" ht="15.75" customHeight="1">
      <c r="B125" s="84"/>
    </row>
    <row r="126" ht="15.75" customHeight="1">
      <c r="B126" s="84"/>
    </row>
    <row r="127" ht="15.75" customHeight="1">
      <c r="B127" s="84"/>
    </row>
    <row r="128" ht="15.75" customHeight="1">
      <c r="B128" s="84"/>
    </row>
    <row r="129" ht="15.75" customHeight="1">
      <c r="B129" s="84"/>
    </row>
    <row r="130" ht="15.75" customHeight="1">
      <c r="B130" s="84"/>
    </row>
    <row r="131" ht="15.75" customHeight="1">
      <c r="B131" s="84"/>
    </row>
    <row r="132" ht="15.75" customHeight="1">
      <c r="B132" s="84"/>
    </row>
    <row r="133" ht="15.75" customHeight="1">
      <c r="B133" s="84"/>
    </row>
    <row r="134" ht="15.75" customHeight="1">
      <c r="B134" s="84"/>
    </row>
    <row r="135" ht="15.75" customHeight="1">
      <c r="B135" s="84"/>
    </row>
    <row r="136" ht="15.75" customHeight="1">
      <c r="B136" s="84"/>
    </row>
    <row r="137" ht="15.75" customHeight="1">
      <c r="B137" s="84"/>
    </row>
    <row r="138" ht="15.75" customHeight="1">
      <c r="B138" s="84"/>
    </row>
    <row r="139" ht="15.75" customHeight="1">
      <c r="B139" s="84"/>
    </row>
    <row r="140" ht="15.75" customHeight="1">
      <c r="B140" s="84"/>
    </row>
    <row r="141" ht="15.75" customHeight="1">
      <c r="B141" s="84"/>
    </row>
    <row r="142" ht="15.75" customHeight="1">
      <c r="B142" s="84"/>
    </row>
    <row r="143" ht="15.75" customHeight="1">
      <c r="B143" s="84"/>
    </row>
    <row r="144" ht="15.75" customHeight="1">
      <c r="B144" s="84"/>
    </row>
    <row r="145" ht="15.75" customHeight="1">
      <c r="B145" s="84"/>
    </row>
    <row r="146" ht="15.75" customHeight="1">
      <c r="B146" s="84"/>
    </row>
    <row r="147" ht="15.75" customHeight="1">
      <c r="B147" s="84"/>
    </row>
    <row r="148" ht="15.75" customHeight="1">
      <c r="B148" s="84"/>
    </row>
    <row r="149" ht="15.75" customHeight="1">
      <c r="B149" s="84"/>
    </row>
    <row r="150" ht="15.75" customHeight="1">
      <c r="B150" s="84"/>
    </row>
    <row r="151" ht="15.75" customHeight="1">
      <c r="B151" s="84"/>
    </row>
    <row r="152" ht="15.75" customHeight="1">
      <c r="B152" s="84"/>
    </row>
    <row r="153" ht="15.75" customHeight="1">
      <c r="B153" s="84"/>
    </row>
    <row r="154" ht="15.75" customHeight="1">
      <c r="B154" s="84"/>
    </row>
    <row r="155" ht="15.75" customHeight="1">
      <c r="B155" s="84"/>
    </row>
    <row r="156" ht="15.75" customHeight="1">
      <c r="B156" s="84"/>
    </row>
    <row r="157" ht="15.75" customHeight="1">
      <c r="B157" s="84"/>
    </row>
    <row r="158" ht="15.75" customHeight="1">
      <c r="B158" s="84"/>
    </row>
    <row r="159" ht="15.75" customHeight="1">
      <c r="B159" s="84"/>
    </row>
    <row r="160" ht="15.75" customHeight="1">
      <c r="B160" s="84"/>
    </row>
    <row r="161" ht="15.75" customHeight="1">
      <c r="B161" s="84"/>
    </row>
    <row r="162" ht="15.75" customHeight="1">
      <c r="B162" s="84"/>
    </row>
    <row r="163" ht="15.75" customHeight="1">
      <c r="B163" s="84"/>
    </row>
    <row r="164" ht="15.75" customHeight="1">
      <c r="B164" s="84"/>
    </row>
    <row r="165" ht="15.75" customHeight="1">
      <c r="B165" s="84"/>
    </row>
    <row r="166" ht="15.75" customHeight="1">
      <c r="B166" s="84"/>
    </row>
    <row r="167" ht="15.75" customHeight="1">
      <c r="B167" s="84"/>
    </row>
    <row r="168" ht="15.75" customHeight="1">
      <c r="B168" s="84"/>
    </row>
    <row r="169" ht="15.75" customHeight="1">
      <c r="B169" s="84"/>
    </row>
    <row r="170" ht="15.75" customHeight="1">
      <c r="B170" s="84"/>
    </row>
    <row r="171" ht="15.75" customHeight="1">
      <c r="B171" s="84"/>
    </row>
    <row r="172" ht="15.75" customHeight="1">
      <c r="B172" s="84"/>
    </row>
    <row r="173" ht="15.75" customHeight="1">
      <c r="B173" s="84"/>
    </row>
    <row r="174" ht="15.75" customHeight="1">
      <c r="B174" s="84"/>
    </row>
    <row r="175" ht="15.75" customHeight="1">
      <c r="B175" s="84"/>
    </row>
    <row r="176" ht="15.75" customHeight="1">
      <c r="B176" s="84"/>
    </row>
    <row r="177" ht="15.75" customHeight="1">
      <c r="B177" s="84"/>
    </row>
    <row r="178" ht="15.75" customHeight="1">
      <c r="B178" s="84"/>
    </row>
    <row r="179" ht="15.75" customHeight="1">
      <c r="B179" s="84"/>
    </row>
    <row r="180" ht="15.75" customHeight="1">
      <c r="B180" s="84"/>
    </row>
    <row r="181" ht="15.75" customHeight="1">
      <c r="B181" s="84"/>
    </row>
    <row r="182" ht="15.75" customHeight="1">
      <c r="B182" s="84"/>
    </row>
    <row r="183" ht="15.75" customHeight="1">
      <c r="B183" s="84"/>
    </row>
    <row r="184" ht="15.75" customHeight="1">
      <c r="B184" s="84"/>
    </row>
    <row r="185" ht="15.75" customHeight="1">
      <c r="B185" s="84"/>
    </row>
    <row r="186" ht="15.75" customHeight="1">
      <c r="B186" s="84"/>
    </row>
    <row r="187" ht="15.75" customHeight="1">
      <c r="B187" s="84"/>
    </row>
    <row r="188" ht="15.75" customHeight="1">
      <c r="B188" s="84"/>
    </row>
    <row r="189" ht="15.75" customHeight="1">
      <c r="B189" s="84"/>
    </row>
    <row r="190" ht="15.75" customHeight="1">
      <c r="B190" s="84"/>
    </row>
    <row r="191" ht="15.75" customHeight="1">
      <c r="B191" s="84"/>
    </row>
    <row r="192" ht="15.75" customHeight="1">
      <c r="B192" s="84"/>
    </row>
    <row r="193" ht="15.75" customHeight="1">
      <c r="B193" s="84"/>
    </row>
    <row r="194" ht="15.75" customHeight="1">
      <c r="B194" s="84"/>
    </row>
    <row r="195" ht="15.75" customHeight="1">
      <c r="B195" s="84"/>
    </row>
    <row r="196" ht="15.75" customHeight="1">
      <c r="B196" s="84"/>
    </row>
    <row r="197" ht="15.75" customHeight="1">
      <c r="B197" s="84"/>
    </row>
    <row r="198" ht="15.75" customHeight="1">
      <c r="B198" s="84"/>
    </row>
    <row r="199" ht="15.75" customHeight="1">
      <c r="B199" s="84"/>
    </row>
    <row r="200" ht="15.75" customHeight="1">
      <c r="B200" s="84"/>
    </row>
    <row r="201" ht="15.75" customHeight="1">
      <c r="B201" s="84"/>
    </row>
    <row r="202" ht="15.75" customHeight="1">
      <c r="B202" s="84"/>
    </row>
    <row r="203" ht="15.75" customHeight="1">
      <c r="B203" s="84"/>
    </row>
    <row r="204" ht="15.75" customHeight="1">
      <c r="B204" s="84"/>
    </row>
    <row r="205" ht="15.75" customHeight="1">
      <c r="B205" s="84"/>
    </row>
    <row r="206" ht="15.75" customHeight="1">
      <c r="B206" s="84"/>
    </row>
    <row r="207" ht="15.75" customHeight="1">
      <c r="B207" s="84"/>
    </row>
    <row r="208" ht="15.75" customHeight="1">
      <c r="B208" s="84"/>
    </row>
    <row r="209" ht="15.75" customHeight="1">
      <c r="B209" s="84"/>
    </row>
    <row r="210" ht="15.75" customHeight="1">
      <c r="B210" s="84"/>
    </row>
    <row r="211" ht="15.75" customHeight="1">
      <c r="B211" s="84"/>
    </row>
    <row r="212" ht="15.75" customHeight="1">
      <c r="B212" s="84"/>
    </row>
    <row r="213" ht="15.75" customHeight="1">
      <c r="B213" s="84"/>
    </row>
    <row r="214" ht="15.75" customHeight="1">
      <c r="B214" s="84"/>
    </row>
    <row r="215" ht="15.75" customHeight="1">
      <c r="B215" s="84"/>
    </row>
    <row r="216" ht="15.75" customHeight="1">
      <c r="B216" s="84"/>
    </row>
    <row r="217" ht="15.75" customHeight="1">
      <c r="B217" s="84"/>
    </row>
    <row r="218" ht="15.75" customHeight="1">
      <c r="B218" s="84"/>
    </row>
    <row r="219" ht="15.75" customHeight="1">
      <c r="B219" s="84"/>
    </row>
    <row r="220" ht="15.75" customHeight="1">
      <c r="B220" s="84"/>
    </row>
    <row r="221" ht="15.75" customHeight="1">
      <c r="B221" s="84"/>
    </row>
    <row r="222" ht="15.75" customHeight="1">
      <c r="B222" s="116"/>
    </row>
    <row r="223" ht="15.75" customHeight="1">
      <c r="B223" s="116"/>
    </row>
    <row r="224" ht="15.75" customHeight="1">
      <c r="B224" s="116"/>
    </row>
    <row r="225" ht="15.75" customHeight="1">
      <c r="B225" s="116"/>
    </row>
    <row r="226" ht="15.75" customHeight="1">
      <c r="B226" s="116"/>
    </row>
    <row r="227" ht="15.75" customHeight="1">
      <c r="B227" s="116"/>
    </row>
    <row r="228" ht="15.75" customHeight="1">
      <c r="B228" s="116"/>
    </row>
    <row r="229" ht="15.75" customHeight="1">
      <c r="B229" s="116"/>
    </row>
    <row r="230" ht="15.75" customHeight="1">
      <c r="B230" s="116"/>
    </row>
    <row r="231" ht="15.75" customHeight="1">
      <c r="B231" s="116"/>
    </row>
    <row r="232" ht="15.75" customHeight="1">
      <c r="B232" s="116"/>
    </row>
    <row r="233" ht="15.75" customHeight="1">
      <c r="B233" s="116"/>
    </row>
    <row r="234" ht="15.75" customHeight="1">
      <c r="B234" s="116"/>
    </row>
    <row r="235" ht="15.75" customHeight="1">
      <c r="B235" s="116"/>
    </row>
    <row r="236" ht="15.75" customHeight="1">
      <c r="B236" s="116"/>
    </row>
    <row r="237" ht="15.75" customHeight="1">
      <c r="B237" s="116"/>
    </row>
    <row r="238" ht="15.75" customHeight="1">
      <c r="B238" s="116"/>
    </row>
    <row r="239" ht="15.75" customHeight="1">
      <c r="B239" s="116"/>
    </row>
    <row r="240" ht="15.75" customHeight="1">
      <c r="B240" s="116"/>
    </row>
    <row r="241" ht="15.75" customHeight="1">
      <c r="B241" s="116"/>
    </row>
    <row r="242" ht="15.75" customHeight="1">
      <c r="B242" s="116"/>
    </row>
    <row r="243" ht="15.75" customHeight="1">
      <c r="B243" s="116"/>
    </row>
    <row r="244" ht="15.75" customHeight="1">
      <c r="B244" s="116"/>
    </row>
    <row r="245" ht="15.75" customHeight="1">
      <c r="B245" s="116"/>
    </row>
    <row r="246" ht="15.75" customHeight="1">
      <c r="B246" s="116"/>
    </row>
    <row r="247" ht="15.75" customHeight="1">
      <c r="B247" s="116"/>
    </row>
    <row r="248" ht="15.75" customHeight="1">
      <c r="B248" s="116"/>
    </row>
    <row r="249" ht="15.75" customHeight="1">
      <c r="B249" s="116"/>
    </row>
    <row r="250" ht="15.75" customHeight="1">
      <c r="B250" s="116"/>
    </row>
    <row r="251" ht="15.75" customHeight="1">
      <c r="B251" s="116"/>
    </row>
    <row r="252" ht="15.75" customHeight="1">
      <c r="B252" s="116"/>
    </row>
    <row r="253" ht="15.75" customHeight="1">
      <c r="B253" s="116"/>
    </row>
    <row r="254" ht="15.75" customHeight="1">
      <c r="B254" s="116"/>
    </row>
    <row r="255" ht="15.75" customHeight="1">
      <c r="B255" s="116"/>
    </row>
    <row r="256" ht="15.75" customHeight="1">
      <c r="B256" s="116"/>
    </row>
    <row r="257" ht="15.75" customHeight="1">
      <c r="B257" s="116"/>
    </row>
    <row r="258" ht="15.75" customHeight="1">
      <c r="B258" s="116"/>
    </row>
    <row r="259" ht="15.75" customHeight="1">
      <c r="B259" s="116"/>
    </row>
    <row r="260" ht="15.75" customHeight="1">
      <c r="B260" s="116"/>
    </row>
    <row r="261" ht="15.75" customHeight="1">
      <c r="B261" s="116"/>
    </row>
    <row r="262" ht="15.75" customHeight="1">
      <c r="B262" s="116"/>
    </row>
    <row r="263" ht="15.75" customHeight="1">
      <c r="B263" s="116"/>
    </row>
    <row r="264" ht="15.75" customHeight="1">
      <c r="B264" s="116"/>
    </row>
    <row r="265" ht="15.75" customHeight="1">
      <c r="B265" s="116"/>
    </row>
    <row r="266" ht="15.75" customHeight="1">
      <c r="B266" s="116"/>
    </row>
    <row r="267" ht="15.75" customHeight="1">
      <c r="B267" s="116"/>
    </row>
    <row r="268" ht="15.75" customHeight="1">
      <c r="B268" s="116"/>
    </row>
    <row r="269" ht="15.75" customHeight="1">
      <c r="B269" s="116"/>
    </row>
    <row r="270" ht="15.75" customHeight="1">
      <c r="B270" s="116"/>
    </row>
    <row r="271" ht="15.75" customHeight="1">
      <c r="B271" s="116"/>
    </row>
    <row r="272" ht="15.75" customHeight="1">
      <c r="B272" s="116"/>
    </row>
    <row r="273" ht="15.75" customHeight="1">
      <c r="B273" s="116"/>
    </row>
    <row r="274" ht="15.75" customHeight="1">
      <c r="B274" s="116"/>
    </row>
    <row r="275" ht="15.75" customHeight="1">
      <c r="B275" s="116"/>
    </row>
    <row r="276" ht="15.75" customHeight="1">
      <c r="B276" s="116"/>
    </row>
    <row r="277" ht="15.75" customHeight="1">
      <c r="B277" s="116"/>
    </row>
    <row r="278" ht="15.75" customHeight="1">
      <c r="B278" s="116"/>
    </row>
    <row r="279" ht="15.75" customHeight="1">
      <c r="B279" s="116"/>
    </row>
    <row r="280" ht="15.75" customHeight="1">
      <c r="B280" s="116"/>
    </row>
    <row r="281" ht="15.75" customHeight="1">
      <c r="B281" s="116"/>
    </row>
    <row r="282" ht="15.75" customHeight="1">
      <c r="B282" s="116"/>
    </row>
    <row r="283" ht="15.75" customHeight="1">
      <c r="B283" s="116"/>
    </row>
    <row r="284" ht="15.75" customHeight="1">
      <c r="B284" s="116"/>
    </row>
    <row r="285" ht="15.75" customHeight="1">
      <c r="B285" s="116"/>
    </row>
    <row r="286" ht="15.75" customHeight="1">
      <c r="B286" s="116"/>
    </row>
    <row r="287" ht="15.75" customHeight="1">
      <c r="B287" s="116"/>
    </row>
    <row r="288" ht="15.75" customHeight="1">
      <c r="B288" s="116"/>
    </row>
    <row r="289" ht="15.75" customHeight="1">
      <c r="B289" s="116"/>
    </row>
    <row r="290" ht="15.75" customHeight="1">
      <c r="B290" s="116"/>
    </row>
    <row r="291" ht="15.75" customHeight="1">
      <c r="B291" s="116"/>
    </row>
    <row r="292" ht="15.75" customHeight="1">
      <c r="B292" s="116"/>
    </row>
    <row r="293" ht="15.75" customHeight="1">
      <c r="B293" s="116"/>
    </row>
    <row r="294" ht="15.75" customHeight="1">
      <c r="B294" s="116"/>
    </row>
    <row r="295" ht="15.75" customHeight="1">
      <c r="B295" s="116"/>
    </row>
    <row r="296" ht="15.75" customHeight="1">
      <c r="B296" s="116"/>
    </row>
    <row r="297" ht="15.75" customHeight="1">
      <c r="B297" s="116"/>
    </row>
    <row r="298" ht="15.75" customHeight="1">
      <c r="B298" s="116"/>
    </row>
    <row r="299" ht="15.75" customHeight="1">
      <c r="B299" s="116"/>
    </row>
    <row r="300" ht="15.75" customHeight="1">
      <c r="B300" s="116"/>
    </row>
    <row r="301" ht="15.75" customHeight="1">
      <c r="B301" s="116"/>
    </row>
    <row r="302" ht="15.75" customHeight="1">
      <c r="B302" s="116"/>
    </row>
    <row r="303" ht="15.75" customHeight="1">
      <c r="B303" s="116"/>
    </row>
    <row r="304" ht="15.75" customHeight="1">
      <c r="B304" s="116"/>
    </row>
    <row r="305" ht="15.75" customHeight="1">
      <c r="B305" s="116"/>
    </row>
    <row r="306" ht="15.75" customHeight="1">
      <c r="B306" s="116"/>
    </row>
    <row r="307" ht="15.75" customHeight="1">
      <c r="B307" s="116"/>
    </row>
    <row r="308" ht="15.75" customHeight="1">
      <c r="B308" s="116"/>
    </row>
    <row r="309" ht="15.75" customHeight="1">
      <c r="B309" s="116"/>
    </row>
    <row r="310" ht="15.75" customHeight="1">
      <c r="B310" s="116"/>
    </row>
    <row r="311" ht="15.75" customHeight="1">
      <c r="B311" s="116"/>
    </row>
    <row r="312" ht="15.75" customHeight="1">
      <c r="B312" s="116"/>
    </row>
    <row r="313" ht="15.75" customHeight="1">
      <c r="B313" s="116"/>
    </row>
    <row r="314" ht="15.75" customHeight="1">
      <c r="B314" s="116"/>
    </row>
    <row r="315" ht="15.75" customHeight="1">
      <c r="B315" s="116"/>
    </row>
    <row r="316" ht="15.75" customHeight="1">
      <c r="B316" s="116"/>
    </row>
    <row r="317" ht="15.75" customHeight="1">
      <c r="B317" s="116"/>
    </row>
    <row r="318" ht="15.75" customHeight="1">
      <c r="B318" s="116"/>
    </row>
    <row r="319" ht="15.75" customHeight="1">
      <c r="B319" s="116"/>
    </row>
    <row r="320" ht="15.75" customHeight="1">
      <c r="B320" s="116"/>
    </row>
    <row r="321" ht="15.75" customHeight="1">
      <c r="B321" s="116"/>
    </row>
    <row r="322" ht="15.75" customHeight="1">
      <c r="B322" s="116"/>
    </row>
    <row r="323" ht="15.75" customHeight="1">
      <c r="B323" s="116"/>
    </row>
    <row r="324" ht="15.75" customHeight="1">
      <c r="B324" s="116"/>
    </row>
    <row r="325" ht="15.75" customHeight="1">
      <c r="B325" s="116"/>
    </row>
    <row r="326" ht="15.75" customHeight="1">
      <c r="B326" s="116"/>
    </row>
    <row r="327" ht="15.75" customHeight="1">
      <c r="B327" s="116"/>
    </row>
    <row r="328" ht="15.75" customHeight="1">
      <c r="B328" s="116"/>
    </row>
    <row r="329" ht="15.75" customHeight="1">
      <c r="B329" s="116"/>
    </row>
    <row r="330" ht="15.75" customHeight="1">
      <c r="B330" s="116"/>
    </row>
    <row r="331" ht="15.75" customHeight="1">
      <c r="B331" s="116"/>
    </row>
    <row r="332" ht="15.75" customHeight="1">
      <c r="B332" s="116"/>
    </row>
    <row r="333" ht="15.75" customHeight="1">
      <c r="B333" s="116"/>
    </row>
    <row r="334" ht="15.75" customHeight="1">
      <c r="B334" s="116"/>
    </row>
    <row r="335" ht="15.75" customHeight="1">
      <c r="B335" s="116"/>
    </row>
    <row r="336" ht="15.75" customHeight="1">
      <c r="B336" s="116"/>
    </row>
    <row r="337" ht="15.75" customHeight="1">
      <c r="B337" s="116"/>
    </row>
    <row r="338" ht="15.75" customHeight="1">
      <c r="B338" s="116"/>
    </row>
    <row r="339" ht="15.75" customHeight="1">
      <c r="B339" s="116"/>
    </row>
    <row r="340" ht="15.75" customHeight="1">
      <c r="B340" s="116"/>
    </row>
    <row r="341" ht="15.75" customHeight="1">
      <c r="B341" s="116"/>
    </row>
    <row r="342" ht="15.75" customHeight="1">
      <c r="B342" s="116"/>
    </row>
    <row r="343" ht="15.75" customHeight="1">
      <c r="B343" s="116"/>
    </row>
    <row r="344" ht="15.75" customHeight="1">
      <c r="B344" s="116"/>
    </row>
    <row r="345" ht="15.75" customHeight="1">
      <c r="B345" s="116"/>
    </row>
    <row r="346" ht="15.75" customHeight="1">
      <c r="B346" s="116"/>
    </row>
    <row r="347" ht="15.75" customHeight="1">
      <c r="B347" s="116"/>
    </row>
    <row r="348" ht="15.75" customHeight="1">
      <c r="B348" s="116"/>
    </row>
    <row r="349" ht="15.75" customHeight="1">
      <c r="B349" s="116"/>
    </row>
    <row r="350" ht="15.75" customHeight="1">
      <c r="B350" s="116"/>
    </row>
    <row r="351" ht="15.75" customHeight="1">
      <c r="B351" s="116"/>
    </row>
    <row r="352" ht="15.75" customHeight="1">
      <c r="B352" s="116"/>
    </row>
    <row r="353" ht="15.75" customHeight="1">
      <c r="B353" s="116"/>
    </row>
    <row r="354" ht="15.75" customHeight="1">
      <c r="B354" s="116"/>
    </row>
    <row r="355" ht="15.75" customHeight="1">
      <c r="B355" s="116"/>
    </row>
    <row r="356" ht="15.75" customHeight="1">
      <c r="B356" s="116"/>
    </row>
    <row r="357" ht="15.75" customHeight="1">
      <c r="B357" s="116"/>
    </row>
    <row r="358" ht="15.75" customHeight="1">
      <c r="B358" s="116"/>
    </row>
    <row r="359" ht="15.75" customHeight="1">
      <c r="B359" s="116"/>
    </row>
    <row r="360" ht="15.75" customHeight="1">
      <c r="B360" s="116"/>
    </row>
    <row r="361" ht="15.75" customHeight="1">
      <c r="B361" s="116"/>
    </row>
    <row r="362" ht="15.75" customHeight="1">
      <c r="B362" s="116"/>
    </row>
    <row r="363" ht="15.75" customHeight="1">
      <c r="B363" s="116"/>
    </row>
    <row r="364" ht="15.75" customHeight="1">
      <c r="B364" s="116"/>
    </row>
    <row r="365" ht="15.75" customHeight="1">
      <c r="B365" s="116"/>
    </row>
    <row r="366" ht="15.75" customHeight="1">
      <c r="B366" s="116"/>
    </row>
    <row r="367" ht="15.75" customHeight="1">
      <c r="B367" s="116"/>
    </row>
    <row r="368" ht="15.75" customHeight="1">
      <c r="B368" s="116"/>
    </row>
    <row r="369" ht="15.75" customHeight="1">
      <c r="B369" s="116"/>
    </row>
    <row r="370" ht="15.75" customHeight="1">
      <c r="B370" s="116"/>
    </row>
    <row r="371" ht="15.75" customHeight="1">
      <c r="B371" s="116"/>
    </row>
    <row r="372" ht="15.75" customHeight="1">
      <c r="B372" s="116"/>
    </row>
    <row r="373" ht="15.75" customHeight="1">
      <c r="B373" s="116"/>
    </row>
    <row r="374" ht="15.75" customHeight="1">
      <c r="B374" s="116"/>
    </row>
    <row r="375" ht="15.75" customHeight="1">
      <c r="B375" s="116"/>
    </row>
    <row r="376" ht="15.75" customHeight="1">
      <c r="B376" s="116"/>
    </row>
    <row r="377" ht="15.75" customHeight="1">
      <c r="B377" s="116"/>
    </row>
    <row r="378" ht="15.75" customHeight="1">
      <c r="B378" s="116"/>
    </row>
    <row r="379" ht="15.75" customHeight="1">
      <c r="B379" s="116"/>
    </row>
    <row r="380" ht="15.75" customHeight="1">
      <c r="B380" s="116"/>
    </row>
    <row r="381" ht="15.75" customHeight="1">
      <c r="B381" s="116"/>
    </row>
    <row r="382" ht="15.75" customHeight="1">
      <c r="B382" s="116"/>
    </row>
    <row r="383" ht="15.75" customHeight="1">
      <c r="B383" s="116"/>
    </row>
    <row r="384" ht="15.75" customHeight="1">
      <c r="B384" s="116"/>
    </row>
    <row r="385" ht="15.75" customHeight="1">
      <c r="B385" s="116"/>
    </row>
    <row r="386" ht="15.75" customHeight="1">
      <c r="B386" s="116"/>
    </row>
    <row r="387" ht="15.75" customHeight="1">
      <c r="B387" s="116"/>
    </row>
    <row r="388" ht="15.75" customHeight="1">
      <c r="B388" s="116"/>
    </row>
    <row r="389" ht="15.75" customHeight="1">
      <c r="B389" s="116"/>
    </row>
    <row r="390" ht="15.75" customHeight="1">
      <c r="B390" s="116"/>
    </row>
    <row r="391" ht="15.75" customHeight="1">
      <c r="B391" s="116"/>
    </row>
    <row r="392" ht="15.75" customHeight="1">
      <c r="B392" s="116"/>
    </row>
    <row r="393" ht="15.75" customHeight="1">
      <c r="B393" s="116"/>
    </row>
    <row r="394" ht="15.75" customHeight="1">
      <c r="B394" s="116"/>
    </row>
    <row r="395" ht="15.75" customHeight="1">
      <c r="B395" s="116"/>
    </row>
    <row r="396" ht="15.75" customHeight="1">
      <c r="B396" s="116"/>
    </row>
    <row r="397" ht="15.75" customHeight="1">
      <c r="B397" s="116"/>
    </row>
    <row r="398" ht="15.75" customHeight="1">
      <c r="B398" s="116"/>
    </row>
    <row r="399" ht="15.75" customHeight="1">
      <c r="B399" s="116"/>
    </row>
    <row r="400" ht="15.75" customHeight="1">
      <c r="B400" s="116"/>
    </row>
    <row r="401" ht="15.75" customHeight="1">
      <c r="B401" s="116"/>
    </row>
    <row r="402" ht="15.75" customHeight="1">
      <c r="B402" s="116"/>
    </row>
    <row r="403" ht="15.75" customHeight="1">
      <c r="B403" s="116"/>
    </row>
    <row r="404" ht="15.75" customHeight="1">
      <c r="B404" s="116"/>
    </row>
    <row r="405" ht="15.75" customHeight="1">
      <c r="B405" s="116"/>
    </row>
    <row r="406" ht="15.75" customHeight="1">
      <c r="B406" s="116"/>
    </row>
    <row r="407" ht="15.75" customHeight="1">
      <c r="B407" s="116"/>
    </row>
    <row r="408" ht="15.75" customHeight="1">
      <c r="B408" s="116"/>
    </row>
    <row r="409" ht="15.75" customHeight="1">
      <c r="B409" s="116"/>
    </row>
    <row r="410" ht="15.75" customHeight="1">
      <c r="B410" s="116"/>
    </row>
    <row r="411" ht="15.75" customHeight="1">
      <c r="B411" s="116"/>
    </row>
    <row r="412" ht="15.75" customHeight="1">
      <c r="B412" s="116"/>
    </row>
    <row r="413" ht="15.75" customHeight="1">
      <c r="B413" s="116"/>
    </row>
    <row r="414" ht="15.75" customHeight="1">
      <c r="B414" s="116"/>
    </row>
    <row r="415" ht="15.75" customHeight="1">
      <c r="B415" s="116"/>
    </row>
    <row r="416" ht="15.75" customHeight="1">
      <c r="B416" s="116"/>
    </row>
    <row r="417" ht="15.75" customHeight="1">
      <c r="B417" s="116"/>
    </row>
    <row r="418" ht="15.75" customHeight="1">
      <c r="B418" s="116"/>
    </row>
    <row r="419" ht="15.75" customHeight="1">
      <c r="B419" s="116"/>
    </row>
    <row r="420" ht="15.75" customHeight="1">
      <c r="B420" s="116"/>
    </row>
    <row r="421" ht="15.75" customHeight="1">
      <c r="B421" s="116"/>
    </row>
    <row r="422" ht="15.75" customHeight="1">
      <c r="B422" s="116"/>
    </row>
    <row r="423" ht="15.75" customHeight="1">
      <c r="B423" s="116"/>
    </row>
    <row r="424" ht="15.75" customHeight="1">
      <c r="B424" s="116"/>
    </row>
    <row r="425" ht="15.75" customHeight="1">
      <c r="B425" s="116"/>
    </row>
    <row r="426" ht="15.75" customHeight="1">
      <c r="B426" s="116"/>
    </row>
    <row r="427" ht="15.75" customHeight="1">
      <c r="B427" s="116"/>
    </row>
    <row r="428" ht="15.75" customHeight="1">
      <c r="B428" s="116"/>
    </row>
    <row r="429" ht="15.75" customHeight="1">
      <c r="B429" s="116"/>
    </row>
    <row r="430" ht="15.75" customHeight="1">
      <c r="B430" s="116"/>
    </row>
    <row r="431" ht="15.75" customHeight="1">
      <c r="B431" s="116"/>
    </row>
    <row r="432" ht="15.75" customHeight="1">
      <c r="B432" s="116"/>
    </row>
    <row r="433" ht="15.75" customHeight="1">
      <c r="B433" s="116"/>
    </row>
    <row r="434" ht="15.75" customHeight="1">
      <c r="B434" s="116"/>
    </row>
    <row r="435" ht="15.75" customHeight="1">
      <c r="B435" s="116"/>
    </row>
    <row r="436" ht="15.75" customHeight="1">
      <c r="B436" s="116"/>
    </row>
    <row r="437" ht="15.75" customHeight="1">
      <c r="B437" s="116"/>
    </row>
    <row r="438" ht="15.75" customHeight="1">
      <c r="B438" s="116"/>
    </row>
    <row r="439" ht="15.75" customHeight="1">
      <c r="B439" s="116"/>
    </row>
    <row r="440" ht="15.75" customHeight="1">
      <c r="B440" s="116"/>
    </row>
    <row r="441" ht="15.75" customHeight="1">
      <c r="B441" s="116"/>
    </row>
    <row r="442" ht="15.75" customHeight="1">
      <c r="B442" s="116"/>
    </row>
    <row r="443" ht="15.75" customHeight="1">
      <c r="B443" s="116"/>
    </row>
    <row r="444" ht="15.75" customHeight="1">
      <c r="B444" s="116"/>
    </row>
    <row r="445" ht="15.75" customHeight="1">
      <c r="B445" s="116"/>
    </row>
    <row r="446" ht="15.75" customHeight="1">
      <c r="B446" s="116"/>
    </row>
    <row r="447" ht="15.75" customHeight="1">
      <c r="B447" s="116"/>
    </row>
    <row r="448" ht="15.75" customHeight="1">
      <c r="B448" s="116"/>
    </row>
    <row r="449" ht="15.75" customHeight="1">
      <c r="B449" s="116"/>
    </row>
    <row r="450" ht="15.75" customHeight="1">
      <c r="B450" s="116"/>
    </row>
    <row r="451" ht="15.75" customHeight="1">
      <c r="B451" s="116"/>
    </row>
    <row r="452" ht="15.75" customHeight="1">
      <c r="B452" s="116"/>
    </row>
    <row r="453" ht="15.75" customHeight="1">
      <c r="B453" s="116"/>
    </row>
    <row r="454" ht="15.75" customHeight="1">
      <c r="B454" s="116"/>
    </row>
    <row r="455" ht="15.75" customHeight="1">
      <c r="B455" s="116"/>
    </row>
    <row r="456" ht="15.75" customHeight="1">
      <c r="B456" s="116"/>
    </row>
    <row r="457" ht="15.75" customHeight="1">
      <c r="B457" s="116"/>
    </row>
    <row r="458" ht="15.75" customHeight="1">
      <c r="B458" s="116"/>
    </row>
    <row r="459" ht="15.75" customHeight="1">
      <c r="B459" s="116"/>
    </row>
    <row r="460" ht="15.75" customHeight="1">
      <c r="B460" s="116"/>
    </row>
    <row r="461" ht="15.75" customHeight="1">
      <c r="B461" s="116"/>
    </row>
    <row r="462" ht="15.75" customHeight="1">
      <c r="B462" s="116"/>
    </row>
    <row r="463" ht="15.75" customHeight="1">
      <c r="B463" s="116"/>
    </row>
    <row r="464" ht="15.75" customHeight="1">
      <c r="B464" s="116"/>
    </row>
    <row r="465" ht="15.75" customHeight="1">
      <c r="B465" s="116"/>
    </row>
    <row r="466" ht="15.75" customHeight="1">
      <c r="B466" s="116"/>
    </row>
    <row r="467" ht="15.75" customHeight="1">
      <c r="B467" s="116"/>
    </row>
    <row r="468" ht="15.75" customHeight="1">
      <c r="B468" s="116"/>
    </row>
    <row r="469" ht="15.75" customHeight="1">
      <c r="B469" s="116"/>
    </row>
    <row r="470" ht="15.75" customHeight="1">
      <c r="B470" s="116"/>
    </row>
    <row r="471" ht="15.75" customHeight="1">
      <c r="B471" s="116"/>
    </row>
    <row r="472" ht="15.75" customHeight="1">
      <c r="B472" s="116"/>
    </row>
    <row r="473" ht="15.75" customHeight="1">
      <c r="B473" s="116"/>
    </row>
    <row r="474" ht="15.75" customHeight="1">
      <c r="B474" s="116"/>
    </row>
    <row r="475" ht="15.75" customHeight="1">
      <c r="B475" s="116"/>
    </row>
    <row r="476" ht="15.75" customHeight="1">
      <c r="B476" s="116"/>
    </row>
    <row r="477" ht="15.75" customHeight="1">
      <c r="B477" s="116"/>
    </row>
    <row r="478" ht="15.75" customHeight="1">
      <c r="B478" s="116"/>
    </row>
    <row r="479" ht="15.75" customHeight="1">
      <c r="B479" s="116"/>
    </row>
    <row r="480" ht="15.75" customHeight="1">
      <c r="B480" s="116"/>
    </row>
    <row r="481" ht="15.75" customHeight="1">
      <c r="B481" s="116"/>
    </row>
    <row r="482" ht="15.75" customHeight="1">
      <c r="B482" s="116"/>
    </row>
    <row r="483" ht="15.75" customHeight="1">
      <c r="B483" s="116"/>
    </row>
    <row r="484" ht="15.75" customHeight="1">
      <c r="B484" s="116"/>
    </row>
    <row r="485" ht="15.75" customHeight="1">
      <c r="B485" s="116"/>
    </row>
    <row r="486" ht="15.75" customHeight="1">
      <c r="B486" s="116"/>
    </row>
    <row r="487" ht="15.75" customHeight="1">
      <c r="B487" s="116"/>
    </row>
    <row r="488" ht="15.75" customHeight="1">
      <c r="B488" s="116"/>
    </row>
    <row r="489" ht="15.75" customHeight="1">
      <c r="B489" s="116"/>
    </row>
    <row r="490" ht="15.75" customHeight="1">
      <c r="B490" s="116"/>
    </row>
    <row r="491" ht="15.75" customHeight="1">
      <c r="B491" s="116"/>
    </row>
    <row r="492" ht="15.75" customHeight="1">
      <c r="B492" s="116"/>
    </row>
    <row r="493" ht="15.75" customHeight="1">
      <c r="B493" s="116"/>
    </row>
    <row r="494" ht="15.75" customHeight="1">
      <c r="B494" s="116"/>
    </row>
    <row r="495" ht="15.75" customHeight="1">
      <c r="B495" s="116"/>
    </row>
    <row r="496" ht="15.75" customHeight="1">
      <c r="B496" s="116"/>
    </row>
    <row r="497" ht="15.75" customHeight="1">
      <c r="B497" s="116"/>
    </row>
    <row r="498" ht="15.75" customHeight="1">
      <c r="B498" s="116"/>
    </row>
    <row r="499" ht="15.75" customHeight="1">
      <c r="B499" s="116"/>
    </row>
    <row r="500" ht="15.75" customHeight="1">
      <c r="B500" s="116"/>
    </row>
    <row r="501" ht="15.75" customHeight="1">
      <c r="B501" s="116"/>
    </row>
    <row r="502" ht="15.75" customHeight="1">
      <c r="B502" s="116"/>
    </row>
    <row r="503" ht="15.75" customHeight="1">
      <c r="B503" s="116"/>
    </row>
    <row r="504" ht="15.75" customHeight="1">
      <c r="B504" s="116"/>
    </row>
    <row r="505" ht="15.75" customHeight="1">
      <c r="B505" s="116"/>
    </row>
    <row r="506" ht="15.75" customHeight="1">
      <c r="B506" s="116"/>
    </row>
    <row r="507" ht="15.75" customHeight="1">
      <c r="B507" s="116"/>
    </row>
    <row r="508" ht="15.75" customHeight="1">
      <c r="B508" s="116"/>
    </row>
    <row r="509" ht="15.75" customHeight="1">
      <c r="B509" s="116"/>
    </row>
    <row r="510" ht="15.75" customHeight="1">
      <c r="B510" s="116"/>
    </row>
    <row r="511" ht="15.75" customHeight="1">
      <c r="B511" s="116"/>
    </row>
    <row r="512" ht="15.75" customHeight="1">
      <c r="B512" s="116"/>
    </row>
    <row r="513" ht="15.75" customHeight="1">
      <c r="B513" s="116"/>
    </row>
    <row r="514" ht="15.75" customHeight="1">
      <c r="B514" s="116"/>
    </row>
    <row r="515" ht="15.75" customHeight="1">
      <c r="B515" s="116"/>
    </row>
    <row r="516" ht="15.75" customHeight="1">
      <c r="B516" s="116"/>
    </row>
    <row r="517" ht="15.75" customHeight="1">
      <c r="B517" s="116"/>
    </row>
    <row r="518" ht="15.75" customHeight="1">
      <c r="B518" s="116"/>
    </row>
    <row r="519" ht="15.75" customHeight="1">
      <c r="B519" s="116"/>
    </row>
    <row r="520" ht="15.75" customHeight="1">
      <c r="B520" s="116"/>
    </row>
    <row r="521" ht="15.75" customHeight="1">
      <c r="B521" s="116"/>
    </row>
    <row r="522" ht="15.75" customHeight="1">
      <c r="B522" s="116"/>
    </row>
    <row r="523" ht="15.75" customHeight="1">
      <c r="B523" s="116"/>
    </row>
    <row r="524" ht="15.75" customHeight="1">
      <c r="B524" s="116"/>
    </row>
    <row r="525" ht="15.75" customHeight="1">
      <c r="B525" s="116"/>
    </row>
    <row r="526" ht="15.75" customHeight="1">
      <c r="B526" s="116"/>
    </row>
    <row r="527" ht="15.75" customHeight="1">
      <c r="B527" s="116"/>
    </row>
    <row r="528" ht="15.75" customHeight="1">
      <c r="B528" s="116"/>
    </row>
    <row r="529" ht="15.75" customHeight="1">
      <c r="B529" s="116"/>
    </row>
    <row r="530" ht="15.75" customHeight="1">
      <c r="B530" s="116"/>
    </row>
    <row r="531" ht="15.75" customHeight="1">
      <c r="B531" s="116"/>
    </row>
    <row r="532" ht="15.75" customHeight="1">
      <c r="B532" s="116"/>
    </row>
    <row r="533" ht="15.75" customHeight="1">
      <c r="B533" s="116"/>
    </row>
    <row r="534" ht="15.75" customHeight="1">
      <c r="B534" s="116"/>
    </row>
    <row r="535" ht="15.75" customHeight="1">
      <c r="B535" s="116"/>
    </row>
    <row r="536" ht="15.75" customHeight="1">
      <c r="B536" s="116"/>
    </row>
    <row r="537" ht="15.75" customHeight="1">
      <c r="B537" s="116"/>
    </row>
    <row r="538" ht="15.75" customHeight="1">
      <c r="B538" s="116"/>
    </row>
    <row r="539" ht="15.75" customHeight="1">
      <c r="B539" s="116"/>
    </row>
    <row r="540" ht="15.75" customHeight="1">
      <c r="B540" s="116"/>
    </row>
    <row r="541" ht="15.75" customHeight="1">
      <c r="B541" s="116"/>
    </row>
    <row r="542" ht="15.75" customHeight="1">
      <c r="B542" s="116"/>
    </row>
    <row r="543" ht="15.75" customHeight="1">
      <c r="B543" s="116"/>
    </row>
    <row r="544" ht="15.75" customHeight="1">
      <c r="B544" s="116"/>
    </row>
    <row r="545" ht="15.75" customHeight="1">
      <c r="B545" s="116"/>
    </row>
    <row r="546" ht="15.75" customHeight="1">
      <c r="B546" s="116"/>
    </row>
    <row r="547" ht="15.75" customHeight="1">
      <c r="B547" s="116"/>
    </row>
    <row r="548" ht="15.75" customHeight="1">
      <c r="B548" s="116"/>
    </row>
    <row r="549" ht="15.75" customHeight="1">
      <c r="B549" s="116"/>
    </row>
    <row r="550" ht="15.75" customHeight="1">
      <c r="B550" s="116"/>
    </row>
    <row r="551" ht="15.75" customHeight="1">
      <c r="B551" s="116"/>
    </row>
    <row r="552" ht="15.75" customHeight="1">
      <c r="B552" s="116"/>
    </row>
    <row r="553" ht="15.75" customHeight="1">
      <c r="B553" s="116"/>
    </row>
    <row r="554" ht="15.75" customHeight="1">
      <c r="B554" s="116"/>
    </row>
    <row r="555" ht="15.75" customHeight="1">
      <c r="B555" s="116"/>
    </row>
    <row r="556" ht="15.75" customHeight="1">
      <c r="B556" s="116"/>
    </row>
    <row r="557" ht="15.75" customHeight="1">
      <c r="B557" s="116"/>
    </row>
    <row r="558" ht="15.75" customHeight="1">
      <c r="B558" s="116"/>
    </row>
    <row r="559" ht="15.75" customHeight="1">
      <c r="B559" s="116"/>
    </row>
    <row r="560" ht="15.75" customHeight="1">
      <c r="B560" s="116"/>
    </row>
    <row r="561" ht="15.75" customHeight="1">
      <c r="B561" s="116"/>
    </row>
    <row r="562" ht="15.75" customHeight="1">
      <c r="B562" s="116"/>
    </row>
    <row r="563" ht="15.75" customHeight="1">
      <c r="B563" s="116"/>
    </row>
    <row r="564" ht="15.75" customHeight="1">
      <c r="B564" s="116"/>
    </row>
    <row r="565" ht="15.75" customHeight="1">
      <c r="B565" s="116"/>
    </row>
    <row r="566" ht="15.75" customHeight="1">
      <c r="B566" s="116"/>
    </row>
    <row r="567" ht="15.75" customHeight="1">
      <c r="B567" s="116"/>
    </row>
    <row r="568" ht="15.75" customHeight="1">
      <c r="B568" s="116"/>
    </row>
    <row r="569" ht="15.75" customHeight="1">
      <c r="B569" s="116"/>
    </row>
    <row r="570" ht="15.75" customHeight="1">
      <c r="B570" s="116"/>
    </row>
    <row r="571" ht="15.75" customHeight="1">
      <c r="B571" s="116"/>
    </row>
    <row r="572" ht="15.75" customHeight="1">
      <c r="B572" s="116"/>
    </row>
    <row r="573" ht="15.75" customHeight="1">
      <c r="B573" s="116"/>
    </row>
    <row r="574" ht="15.75" customHeight="1">
      <c r="B574" s="116"/>
    </row>
    <row r="575" ht="15.75" customHeight="1">
      <c r="B575" s="116"/>
    </row>
    <row r="576" ht="15.75" customHeight="1">
      <c r="B576" s="116"/>
    </row>
    <row r="577" ht="15.75" customHeight="1">
      <c r="B577" s="116"/>
    </row>
    <row r="578" ht="15.75" customHeight="1">
      <c r="B578" s="116"/>
    </row>
    <row r="579" ht="15.75" customHeight="1">
      <c r="B579" s="116"/>
    </row>
    <row r="580" ht="15.75" customHeight="1">
      <c r="B580" s="116"/>
    </row>
    <row r="581" ht="15.75" customHeight="1">
      <c r="B581" s="116"/>
    </row>
    <row r="582" ht="15.75" customHeight="1">
      <c r="B582" s="116"/>
    </row>
    <row r="583" ht="15.75" customHeight="1">
      <c r="B583" s="116"/>
    </row>
    <row r="584" ht="15.75" customHeight="1">
      <c r="B584" s="116"/>
    </row>
    <row r="585" ht="15.75" customHeight="1">
      <c r="B585" s="116"/>
    </row>
    <row r="586" ht="15.75" customHeight="1">
      <c r="B586" s="116"/>
    </row>
    <row r="587" ht="15.75" customHeight="1">
      <c r="B587" s="116"/>
    </row>
    <row r="588" ht="15.75" customHeight="1">
      <c r="B588" s="116"/>
    </row>
    <row r="589" ht="15.75" customHeight="1">
      <c r="B589" s="116"/>
    </row>
    <row r="590" ht="15.75" customHeight="1">
      <c r="B590" s="116"/>
    </row>
    <row r="591" ht="15.75" customHeight="1">
      <c r="B591" s="116"/>
    </row>
    <row r="592" ht="15.75" customHeight="1">
      <c r="B592" s="116"/>
    </row>
    <row r="593" ht="15.75" customHeight="1">
      <c r="B593" s="116"/>
    </row>
    <row r="594" ht="15.75" customHeight="1">
      <c r="B594" s="116"/>
    </row>
    <row r="595" ht="15.75" customHeight="1">
      <c r="B595" s="116"/>
    </row>
    <row r="596" ht="15.75" customHeight="1">
      <c r="B596" s="116"/>
    </row>
    <row r="597" ht="15.75" customHeight="1">
      <c r="B597" s="116"/>
    </row>
    <row r="598" ht="15.75" customHeight="1">
      <c r="B598" s="116"/>
    </row>
    <row r="599" ht="15.75" customHeight="1">
      <c r="B599" s="116"/>
    </row>
    <row r="600" ht="15.75" customHeight="1">
      <c r="B600" s="116"/>
    </row>
    <row r="601" ht="15.75" customHeight="1">
      <c r="B601" s="116"/>
    </row>
    <row r="602" ht="15.75" customHeight="1">
      <c r="B602" s="116"/>
    </row>
    <row r="603" ht="15.75" customHeight="1">
      <c r="B603" s="116"/>
    </row>
    <row r="604" ht="15.75" customHeight="1">
      <c r="B604" s="116"/>
    </row>
    <row r="605" ht="15.75" customHeight="1">
      <c r="B605" s="116"/>
    </row>
    <row r="606" ht="15.75" customHeight="1">
      <c r="B606" s="116"/>
    </row>
    <row r="607" ht="15.75" customHeight="1">
      <c r="B607" s="116"/>
    </row>
    <row r="608" ht="15.75" customHeight="1">
      <c r="B608" s="116"/>
    </row>
    <row r="609" ht="15.75" customHeight="1">
      <c r="B609" s="116"/>
    </row>
    <row r="610" ht="15.75" customHeight="1">
      <c r="B610" s="116"/>
    </row>
    <row r="611" ht="15.75" customHeight="1">
      <c r="B611" s="116"/>
    </row>
    <row r="612" ht="15.75" customHeight="1">
      <c r="B612" s="116"/>
    </row>
    <row r="613" ht="15.75" customHeight="1">
      <c r="B613" s="116"/>
    </row>
    <row r="614" ht="15.75" customHeight="1">
      <c r="B614" s="116"/>
    </row>
    <row r="615" ht="15.75" customHeight="1">
      <c r="B615" s="116"/>
    </row>
    <row r="616" ht="15.75" customHeight="1">
      <c r="B616" s="116"/>
    </row>
    <row r="617" ht="15.75" customHeight="1">
      <c r="B617" s="116"/>
    </row>
    <row r="618" ht="15.75" customHeight="1">
      <c r="B618" s="116"/>
    </row>
    <row r="619" ht="15.75" customHeight="1">
      <c r="B619" s="116"/>
    </row>
    <row r="620" ht="15.75" customHeight="1">
      <c r="B620" s="116"/>
    </row>
    <row r="621" ht="15.75" customHeight="1">
      <c r="B621" s="116"/>
    </row>
    <row r="622" ht="15.75" customHeight="1">
      <c r="B622" s="116"/>
    </row>
    <row r="623" ht="15.75" customHeight="1">
      <c r="B623" s="116"/>
    </row>
    <row r="624" ht="15.75" customHeight="1">
      <c r="B624" s="116"/>
    </row>
    <row r="625" ht="15.75" customHeight="1">
      <c r="B625" s="116"/>
    </row>
    <row r="626" ht="15.75" customHeight="1">
      <c r="B626" s="116"/>
    </row>
    <row r="627" ht="15.75" customHeight="1">
      <c r="B627" s="116"/>
    </row>
    <row r="628" ht="15.75" customHeight="1">
      <c r="B628" s="116"/>
    </row>
    <row r="629" ht="15.75" customHeight="1">
      <c r="B629" s="116"/>
    </row>
    <row r="630" ht="15.75" customHeight="1">
      <c r="B630" s="116"/>
    </row>
    <row r="631" ht="15.75" customHeight="1">
      <c r="B631" s="116"/>
    </row>
    <row r="632" ht="15.75" customHeight="1">
      <c r="B632" s="116"/>
    </row>
    <row r="633" ht="15.75" customHeight="1">
      <c r="B633" s="116"/>
    </row>
    <row r="634" ht="15.75" customHeight="1">
      <c r="B634" s="116"/>
    </row>
    <row r="635" ht="15.75" customHeight="1">
      <c r="B635" s="116"/>
    </row>
    <row r="636" ht="15.75" customHeight="1">
      <c r="B636" s="116"/>
    </row>
    <row r="637" ht="15.75" customHeight="1">
      <c r="B637" s="116"/>
    </row>
    <row r="638" ht="15.75" customHeight="1">
      <c r="B638" s="116"/>
    </row>
    <row r="639" ht="15.75" customHeight="1">
      <c r="B639" s="116"/>
    </row>
    <row r="640" ht="15.75" customHeight="1">
      <c r="B640" s="116"/>
    </row>
    <row r="641" ht="15.75" customHeight="1">
      <c r="B641" s="116"/>
    </row>
    <row r="642" ht="15.75" customHeight="1">
      <c r="B642" s="116"/>
    </row>
    <row r="643" ht="15.75" customHeight="1">
      <c r="B643" s="116"/>
    </row>
    <row r="644" ht="15.75" customHeight="1">
      <c r="B644" s="116"/>
    </row>
    <row r="645" ht="15.75" customHeight="1">
      <c r="B645" s="116"/>
    </row>
    <row r="646" ht="15.75" customHeight="1">
      <c r="B646" s="116"/>
    </row>
    <row r="647" ht="15.75" customHeight="1">
      <c r="B647" s="116"/>
    </row>
    <row r="648" ht="15.75" customHeight="1">
      <c r="B648" s="116"/>
    </row>
    <row r="649" ht="15.75" customHeight="1">
      <c r="B649" s="116"/>
    </row>
    <row r="650" ht="15.75" customHeight="1">
      <c r="B650" s="116"/>
    </row>
    <row r="651" ht="15.75" customHeight="1">
      <c r="B651" s="116"/>
    </row>
    <row r="652" ht="15.75" customHeight="1">
      <c r="B652" s="116"/>
    </row>
    <row r="653" ht="15.75" customHeight="1">
      <c r="B653" s="116"/>
    </row>
    <row r="654" ht="15.75" customHeight="1">
      <c r="B654" s="116"/>
    </row>
    <row r="655" ht="15.75" customHeight="1">
      <c r="B655" s="116"/>
    </row>
    <row r="656" ht="15.75" customHeight="1">
      <c r="B656" s="116"/>
    </row>
    <row r="657" ht="15.75" customHeight="1">
      <c r="B657" s="116"/>
    </row>
    <row r="658" ht="15.75" customHeight="1">
      <c r="B658" s="116"/>
    </row>
    <row r="659" ht="15.75" customHeight="1">
      <c r="B659" s="116"/>
    </row>
    <row r="660" ht="15.75" customHeight="1">
      <c r="B660" s="116"/>
    </row>
    <row r="661" ht="15.75" customHeight="1">
      <c r="B661" s="116"/>
    </row>
    <row r="662" ht="15.75" customHeight="1">
      <c r="B662" s="116"/>
    </row>
    <row r="663" ht="15.75" customHeight="1">
      <c r="B663" s="116"/>
    </row>
    <row r="664" ht="15.75" customHeight="1">
      <c r="B664" s="116"/>
    </row>
    <row r="665" ht="15.75" customHeight="1">
      <c r="B665" s="116"/>
    </row>
    <row r="666" ht="15.75" customHeight="1">
      <c r="B666" s="116"/>
    </row>
    <row r="667" ht="15.75" customHeight="1">
      <c r="B667" s="116"/>
    </row>
    <row r="668" ht="15.75" customHeight="1">
      <c r="B668" s="116"/>
    </row>
    <row r="669" ht="15.75" customHeight="1">
      <c r="B669" s="116"/>
    </row>
    <row r="670" ht="15.75" customHeight="1">
      <c r="B670" s="116"/>
    </row>
    <row r="671" ht="15.75" customHeight="1">
      <c r="B671" s="116"/>
    </row>
    <row r="672" ht="15.75" customHeight="1">
      <c r="B672" s="116"/>
    </row>
    <row r="673" ht="15.75" customHeight="1">
      <c r="B673" s="116"/>
    </row>
    <row r="674" ht="15.75" customHeight="1">
      <c r="B674" s="116"/>
    </row>
    <row r="675" ht="15.75" customHeight="1">
      <c r="B675" s="116"/>
    </row>
    <row r="676" ht="15.75" customHeight="1">
      <c r="B676" s="116"/>
    </row>
    <row r="677" ht="15.75" customHeight="1">
      <c r="B677" s="116"/>
    </row>
    <row r="678" ht="15.75" customHeight="1">
      <c r="B678" s="116"/>
    </row>
    <row r="679" ht="15.75" customHeight="1">
      <c r="B679" s="116"/>
    </row>
    <row r="680" ht="15.75" customHeight="1">
      <c r="B680" s="116"/>
    </row>
    <row r="681" ht="15.75" customHeight="1">
      <c r="B681" s="116"/>
    </row>
    <row r="682" ht="15.75" customHeight="1">
      <c r="B682" s="116"/>
    </row>
    <row r="683" ht="15.75" customHeight="1">
      <c r="B683" s="116"/>
    </row>
    <row r="684" ht="15.75" customHeight="1">
      <c r="B684" s="116"/>
    </row>
    <row r="685" ht="15.75" customHeight="1">
      <c r="B685" s="116"/>
    </row>
    <row r="686" ht="15.75" customHeight="1">
      <c r="B686" s="116"/>
    </row>
    <row r="687" ht="15.75" customHeight="1">
      <c r="B687" s="116"/>
    </row>
    <row r="688" ht="15.75" customHeight="1">
      <c r="B688" s="116"/>
    </row>
    <row r="689" ht="15.75" customHeight="1">
      <c r="B689" s="116"/>
    </row>
    <row r="690" ht="15.75" customHeight="1">
      <c r="B690" s="116"/>
    </row>
    <row r="691" ht="15.75" customHeight="1">
      <c r="B691" s="116"/>
    </row>
    <row r="692" ht="15.75" customHeight="1">
      <c r="B692" s="116"/>
    </row>
    <row r="693" ht="15.75" customHeight="1">
      <c r="B693" s="116"/>
    </row>
    <row r="694" ht="15.75" customHeight="1">
      <c r="B694" s="116"/>
    </row>
    <row r="695" ht="15.75" customHeight="1">
      <c r="B695" s="116"/>
    </row>
    <row r="696" ht="15.75" customHeight="1">
      <c r="B696" s="116"/>
    </row>
    <row r="697" ht="15.75" customHeight="1">
      <c r="B697" s="116"/>
    </row>
    <row r="698" ht="15.75" customHeight="1">
      <c r="B698" s="116"/>
    </row>
    <row r="699" ht="15.75" customHeight="1">
      <c r="B699" s="116"/>
    </row>
    <row r="700" ht="15.75" customHeight="1">
      <c r="B700" s="116"/>
    </row>
    <row r="701" ht="15.75" customHeight="1">
      <c r="B701" s="116"/>
    </row>
    <row r="702" ht="15.75" customHeight="1">
      <c r="B702" s="116"/>
    </row>
    <row r="703" ht="15.75" customHeight="1">
      <c r="B703" s="116"/>
    </row>
    <row r="704" ht="15.75" customHeight="1">
      <c r="B704" s="116"/>
    </row>
    <row r="705" ht="15.75" customHeight="1">
      <c r="B705" s="116"/>
    </row>
    <row r="706" ht="15.75" customHeight="1">
      <c r="B706" s="116"/>
    </row>
    <row r="707" ht="15.75" customHeight="1">
      <c r="B707" s="116"/>
    </row>
    <row r="708" ht="15.75" customHeight="1">
      <c r="B708" s="116"/>
    </row>
    <row r="709" ht="15.75" customHeight="1">
      <c r="B709" s="116"/>
    </row>
    <row r="710" ht="15.75" customHeight="1">
      <c r="B710" s="116"/>
    </row>
    <row r="711" ht="15.75" customHeight="1">
      <c r="B711" s="116"/>
    </row>
    <row r="712" ht="15.75" customHeight="1">
      <c r="B712" s="116"/>
    </row>
    <row r="713" ht="15.75" customHeight="1">
      <c r="B713" s="116"/>
    </row>
    <row r="714" ht="15.75" customHeight="1">
      <c r="B714" s="116"/>
    </row>
    <row r="715" ht="15.75" customHeight="1">
      <c r="B715" s="116"/>
    </row>
    <row r="716" ht="15.75" customHeight="1">
      <c r="B716" s="116"/>
    </row>
    <row r="717" ht="15.75" customHeight="1">
      <c r="B717" s="116"/>
    </row>
    <row r="718" ht="15.75" customHeight="1">
      <c r="B718" s="116"/>
    </row>
    <row r="719" ht="15.75" customHeight="1">
      <c r="B719" s="116"/>
    </row>
    <row r="720" ht="15.75" customHeight="1">
      <c r="B720" s="116"/>
    </row>
    <row r="721" ht="15.75" customHeight="1">
      <c r="B721" s="116"/>
    </row>
    <row r="722" ht="15.75" customHeight="1">
      <c r="B722" s="116"/>
    </row>
    <row r="723" ht="15.75" customHeight="1">
      <c r="B723" s="116"/>
    </row>
    <row r="724" ht="15.75" customHeight="1">
      <c r="B724" s="116"/>
    </row>
    <row r="725" ht="15.75" customHeight="1">
      <c r="B725" s="116"/>
    </row>
    <row r="726" ht="15.75" customHeight="1">
      <c r="B726" s="116"/>
    </row>
    <row r="727" ht="15.75" customHeight="1">
      <c r="B727" s="116"/>
    </row>
    <row r="728" ht="15.75" customHeight="1">
      <c r="B728" s="116"/>
    </row>
    <row r="729" ht="15.75" customHeight="1">
      <c r="B729" s="116"/>
    </row>
    <row r="730" ht="15.75" customHeight="1">
      <c r="B730" s="116"/>
    </row>
    <row r="731" ht="15.75" customHeight="1">
      <c r="B731" s="116"/>
    </row>
    <row r="732" ht="15.75" customHeight="1">
      <c r="B732" s="116"/>
    </row>
    <row r="733" ht="15.75" customHeight="1">
      <c r="B733" s="116"/>
    </row>
    <row r="734" ht="15.75" customHeight="1">
      <c r="B734" s="116"/>
    </row>
    <row r="735" ht="15.75" customHeight="1">
      <c r="B735" s="116"/>
    </row>
    <row r="736" ht="15.75" customHeight="1">
      <c r="B736" s="116"/>
    </row>
    <row r="737" ht="15.75" customHeight="1">
      <c r="B737" s="116"/>
    </row>
    <row r="738" ht="15.75" customHeight="1">
      <c r="B738" s="116"/>
    </row>
    <row r="739" ht="15.75" customHeight="1">
      <c r="B739" s="116"/>
    </row>
    <row r="740" ht="15.75" customHeight="1">
      <c r="B740" s="116"/>
    </row>
    <row r="741" ht="15.75" customHeight="1">
      <c r="B741" s="116"/>
    </row>
    <row r="742" ht="15.75" customHeight="1">
      <c r="B742" s="116"/>
    </row>
    <row r="743" ht="15.75" customHeight="1">
      <c r="B743" s="116"/>
    </row>
    <row r="744" ht="15.75" customHeight="1">
      <c r="B744" s="116"/>
    </row>
    <row r="745" ht="15.75" customHeight="1">
      <c r="B745" s="116"/>
    </row>
    <row r="746" ht="15.75" customHeight="1">
      <c r="B746" s="116"/>
    </row>
    <row r="747" ht="15.75" customHeight="1">
      <c r="B747" s="116"/>
    </row>
    <row r="748" ht="15.75" customHeight="1">
      <c r="B748" s="116"/>
    </row>
    <row r="749" ht="15.75" customHeight="1">
      <c r="B749" s="116"/>
    </row>
    <row r="750" ht="15.75" customHeight="1">
      <c r="B750" s="116"/>
    </row>
    <row r="751" ht="15.75" customHeight="1">
      <c r="B751" s="116"/>
    </row>
    <row r="752" ht="15.75" customHeight="1">
      <c r="B752" s="116"/>
    </row>
    <row r="753" ht="15.75" customHeight="1">
      <c r="B753" s="116"/>
    </row>
    <row r="754" ht="15.75" customHeight="1">
      <c r="B754" s="116"/>
    </row>
    <row r="755" ht="15.75" customHeight="1">
      <c r="B755" s="116"/>
    </row>
    <row r="756" ht="15.75" customHeight="1">
      <c r="B756" s="116"/>
    </row>
    <row r="757" ht="15.75" customHeight="1">
      <c r="B757" s="116"/>
    </row>
    <row r="758" ht="15.75" customHeight="1">
      <c r="B758" s="116"/>
    </row>
    <row r="759" ht="15.75" customHeight="1">
      <c r="B759" s="116"/>
    </row>
    <row r="760" ht="15.75" customHeight="1">
      <c r="B760" s="116"/>
    </row>
    <row r="761" ht="15.75" customHeight="1">
      <c r="B761" s="116"/>
    </row>
    <row r="762" ht="15.75" customHeight="1">
      <c r="B762" s="116"/>
    </row>
    <row r="763" ht="15.75" customHeight="1">
      <c r="B763" s="116"/>
    </row>
    <row r="764" ht="15.75" customHeight="1">
      <c r="B764" s="116"/>
    </row>
    <row r="765" ht="15.75" customHeight="1">
      <c r="B765" s="116"/>
    </row>
    <row r="766" ht="15.75" customHeight="1">
      <c r="B766" s="116"/>
    </row>
    <row r="767" ht="15.75" customHeight="1">
      <c r="B767" s="116"/>
    </row>
    <row r="768" ht="15.75" customHeight="1">
      <c r="B768" s="116"/>
    </row>
    <row r="769" ht="15.75" customHeight="1">
      <c r="B769" s="116"/>
    </row>
    <row r="770" ht="15.75" customHeight="1">
      <c r="B770" s="116"/>
    </row>
    <row r="771" ht="15.75" customHeight="1">
      <c r="B771" s="116"/>
    </row>
    <row r="772" ht="15.75" customHeight="1">
      <c r="B772" s="116"/>
    </row>
    <row r="773" ht="15.75" customHeight="1">
      <c r="B773" s="116"/>
    </row>
    <row r="774" ht="15.75" customHeight="1">
      <c r="B774" s="116"/>
    </row>
    <row r="775" ht="15.75" customHeight="1">
      <c r="B775" s="116"/>
    </row>
    <row r="776" ht="15.75" customHeight="1">
      <c r="B776" s="116"/>
    </row>
    <row r="777" ht="15.75" customHeight="1">
      <c r="B777" s="116"/>
    </row>
    <row r="778" ht="15.75" customHeight="1">
      <c r="B778" s="116"/>
    </row>
    <row r="779" ht="15.75" customHeight="1">
      <c r="B779" s="116"/>
    </row>
    <row r="780" ht="15.75" customHeight="1">
      <c r="B780" s="116"/>
    </row>
    <row r="781" ht="15.75" customHeight="1">
      <c r="B781" s="116"/>
    </row>
    <row r="782" ht="15.75" customHeight="1">
      <c r="B782" s="116"/>
    </row>
    <row r="783" ht="15.75" customHeight="1">
      <c r="B783" s="116"/>
    </row>
    <row r="784" ht="15.75" customHeight="1">
      <c r="B784" s="116"/>
    </row>
    <row r="785" ht="15.75" customHeight="1">
      <c r="B785" s="116"/>
    </row>
    <row r="786" ht="15.75" customHeight="1">
      <c r="B786" s="116"/>
    </row>
    <row r="787" ht="15.75" customHeight="1">
      <c r="B787" s="116"/>
    </row>
    <row r="788" ht="15.75" customHeight="1">
      <c r="B788" s="116"/>
    </row>
    <row r="789" ht="15.75" customHeight="1">
      <c r="B789" s="116"/>
    </row>
    <row r="790" ht="15.75" customHeight="1">
      <c r="B790" s="116"/>
    </row>
    <row r="791" ht="15.75" customHeight="1">
      <c r="B791" s="116"/>
    </row>
    <row r="792" ht="15.75" customHeight="1">
      <c r="B792" s="116"/>
    </row>
    <row r="793" ht="15.75" customHeight="1">
      <c r="B793" s="116"/>
    </row>
    <row r="794" ht="15.75" customHeight="1">
      <c r="B794" s="116"/>
    </row>
    <row r="795" ht="15.75" customHeight="1">
      <c r="B795" s="116"/>
    </row>
    <row r="796" ht="15.75" customHeight="1">
      <c r="B796" s="116"/>
    </row>
    <row r="797" ht="15.75" customHeight="1">
      <c r="B797" s="116"/>
    </row>
    <row r="798" ht="15.75" customHeight="1">
      <c r="B798" s="116"/>
    </row>
    <row r="799" ht="15.75" customHeight="1">
      <c r="B799" s="116"/>
    </row>
    <row r="800" ht="15.75" customHeight="1">
      <c r="B800" s="116"/>
    </row>
    <row r="801" ht="15.75" customHeight="1">
      <c r="B801" s="116"/>
    </row>
    <row r="802" ht="15.75" customHeight="1">
      <c r="B802" s="116"/>
    </row>
    <row r="803" ht="15.75" customHeight="1">
      <c r="B803" s="116"/>
    </row>
    <row r="804" ht="15.75" customHeight="1">
      <c r="B804" s="116"/>
    </row>
    <row r="805" ht="15.75" customHeight="1">
      <c r="B805" s="116"/>
    </row>
    <row r="806" ht="15.75" customHeight="1">
      <c r="B806" s="116"/>
    </row>
    <row r="807" ht="15.75" customHeight="1">
      <c r="B807" s="116"/>
    </row>
    <row r="808" ht="15.75" customHeight="1">
      <c r="B808" s="116"/>
    </row>
    <row r="809" ht="15.75" customHeight="1">
      <c r="B809" s="116"/>
    </row>
    <row r="810" ht="15.75" customHeight="1">
      <c r="B810" s="116"/>
    </row>
    <row r="811" ht="15.75" customHeight="1">
      <c r="B811" s="116"/>
    </row>
    <row r="812" ht="15.75" customHeight="1">
      <c r="B812" s="116"/>
    </row>
    <row r="813" ht="15.75" customHeight="1">
      <c r="B813" s="116"/>
    </row>
    <row r="814" ht="15.75" customHeight="1">
      <c r="B814" s="116"/>
    </row>
    <row r="815" ht="15.75" customHeight="1">
      <c r="B815" s="116"/>
    </row>
    <row r="816" ht="15.75" customHeight="1">
      <c r="B816" s="116"/>
    </row>
    <row r="817" ht="15.75" customHeight="1">
      <c r="B817" s="116"/>
    </row>
    <row r="818" ht="15.75" customHeight="1">
      <c r="B818" s="116"/>
    </row>
    <row r="819" ht="15.75" customHeight="1">
      <c r="B819" s="116"/>
    </row>
    <row r="820" ht="15.75" customHeight="1">
      <c r="B820" s="116"/>
    </row>
    <row r="821" ht="15.75" customHeight="1">
      <c r="B821" s="116"/>
    </row>
    <row r="822" ht="15.75" customHeight="1">
      <c r="B822" s="116"/>
    </row>
    <row r="823" ht="15.75" customHeight="1">
      <c r="B823" s="116"/>
    </row>
    <row r="824" ht="15.75" customHeight="1">
      <c r="B824" s="116"/>
    </row>
    <row r="825" ht="15.75" customHeight="1">
      <c r="B825" s="116"/>
    </row>
    <row r="826" ht="15.75" customHeight="1">
      <c r="B826" s="116"/>
    </row>
    <row r="827" ht="15.75" customHeight="1">
      <c r="B827" s="116"/>
    </row>
    <row r="828" ht="15.75" customHeight="1">
      <c r="B828" s="116"/>
    </row>
    <row r="829" ht="15.75" customHeight="1">
      <c r="B829" s="116"/>
    </row>
    <row r="830" ht="15.75" customHeight="1">
      <c r="B830" s="116"/>
    </row>
    <row r="831" ht="15.75" customHeight="1">
      <c r="B831" s="116"/>
    </row>
    <row r="832" ht="15.75" customHeight="1">
      <c r="B832" s="116"/>
    </row>
    <row r="833" ht="15.75" customHeight="1">
      <c r="B833" s="116"/>
    </row>
    <row r="834" ht="15.75" customHeight="1">
      <c r="B834" s="116"/>
    </row>
    <row r="835" ht="15.75" customHeight="1">
      <c r="B835" s="116"/>
    </row>
    <row r="836" ht="15.75" customHeight="1">
      <c r="B836" s="116"/>
    </row>
    <row r="837" ht="15.75" customHeight="1">
      <c r="B837" s="116"/>
    </row>
    <row r="838" ht="15.75" customHeight="1">
      <c r="B838" s="116"/>
    </row>
    <row r="839" ht="15.75" customHeight="1">
      <c r="B839" s="116"/>
    </row>
    <row r="840" ht="15.75" customHeight="1">
      <c r="B840" s="116"/>
    </row>
    <row r="841" ht="15.75" customHeight="1">
      <c r="B841" s="116"/>
    </row>
    <row r="842" ht="15.75" customHeight="1">
      <c r="B842" s="116"/>
    </row>
    <row r="843" ht="15.75" customHeight="1">
      <c r="B843" s="116"/>
    </row>
    <row r="844" ht="15.75" customHeight="1">
      <c r="B844" s="116"/>
    </row>
    <row r="845" ht="15.75" customHeight="1">
      <c r="B845" s="116"/>
    </row>
    <row r="846" ht="15.75" customHeight="1">
      <c r="B846" s="116"/>
    </row>
    <row r="847" ht="15.75" customHeight="1">
      <c r="B847" s="116"/>
    </row>
    <row r="848" ht="15.75" customHeight="1">
      <c r="B848" s="116"/>
    </row>
    <row r="849" ht="15.75" customHeight="1">
      <c r="B849" s="116"/>
    </row>
    <row r="850" ht="15.75" customHeight="1">
      <c r="B850" s="116"/>
    </row>
    <row r="851" ht="15.75" customHeight="1">
      <c r="B851" s="116"/>
    </row>
    <row r="852" ht="15.75" customHeight="1">
      <c r="B852" s="116"/>
    </row>
    <row r="853" ht="15.75" customHeight="1">
      <c r="B853" s="116"/>
    </row>
    <row r="854" ht="15.75" customHeight="1">
      <c r="B854" s="116"/>
    </row>
    <row r="855" ht="15.75" customHeight="1">
      <c r="B855" s="116"/>
    </row>
    <row r="856" ht="15.75" customHeight="1">
      <c r="B856" s="116"/>
    </row>
    <row r="857" ht="15.75" customHeight="1">
      <c r="B857" s="116"/>
    </row>
    <row r="858" ht="15.75" customHeight="1">
      <c r="B858" s="116"/>
    </row>
    <row r="859" ht="15.75" customHeight="1">
      <c r="B859" s="116"/>
    </row>
    <row r="860" ht="15.75" customHeight="1">
      <c r="B860" s="116"/>
    </row>
    <row r="861" ht="15.75" customHeight="1">
      <c r="B861" s="116"/>
    </row>
    <row r="862" ht="15.75" customHeight="1">
      <c r="B862" s="116"/>
    </row>
    <row r="863" ht="15.75" customHeight="1">
      <c r="B863" s="116"/>
    </row>
    <row r="864" ht="15.75" customHeight="1">
      <c r="B864" s="116"/>
    </row>
    <row r="865" ht="15.75" customHeight="1">
      <c r="B865" s="116"/>
    </row>
    <row r="866" ht="15.75" customHeight="1">
      <c r="B866" s="116"/>
    </row>
    <row r="867" ht="15.75" customHeight="1">
      <c r="B867" s="116"/>
    </row>
    <row r="868" ht="15.75" customHeight="1">
      <c r="B868" s="116"/>
    </row>
    <row r="869" ht="15.75" customHeight="1">
      <c r="B869" s="116"/>
    </row>
    <row r="870" ht="15.75" customHeight="1">
      <c r="B870" s="116"/>
    </row>
    <row r="871" ht="15.75" customHeight="1">
      <c r="B871" s="116"/>
    </row>
    <row r="872" ht="15.75" customHeight="1">
      <c r="B872" s="116"/>
    </row>
    <row r="873" ht="15.75" customHeight="1">
      <c r="B873" s="116"/>
    </row>
    <row r="874" ht="15.75" customHeight="1">
      <c r="B874" s="116"/>
    </row>
    <row r="875" ht="15.75" customHeight="1">
      <c r="B875" s="116"/>
    </row>
    <row r="876" ht="15.75" customHeight="1">
      <c r="B876" s="116"/>
    </row>
    <row r="877" ht="15.75" customHeight="1">
      <c r="B877" s="116"/>
    </row>
    <row r="878" ht="15.75" customHeight="1">
      <c r="B878" s="116"/>
    </row>
    <row r="879" ht="15.75" customHeight="1">
      <c r="B879" s="116"/>
    </row>
    <row r="880" ht="15.75" customHeight="1">
      <c r="B880" s="116"/>
    </row>
    <row r="881" ht="15.75" customHeight="1">
      <c r="B881" s="116"/>
    </row>
    <row r="882" ht="15.75" customHeight="1">
      <c r="B882" s="116"/>
    </row>
    <row r="883" ht="15.75" customHeight="1">
      <c r="B883" s="116"/>
    </row>
    <row r="884" ht="15.75" customHeight="1">
      <c r="B884" s="116"/>
    </row>
    <row r="885" ht="15.75" customHeight="1">
      <c r="B885" s="116"/>
    </row>
    <row r="886" ht="15.75" customHeight="1">
      <c r="B886" s="116"/>
    </row>
    <row r="887" ht="15.75" customHeight="1">
      <c r="B887" s="116"/>
    </row>
    <row r="888" ht="15.75" customHeight="1">
      <c r="B888" s="116"/>
    </row>
    <row r="889" ht="15.75" customHeight="1">
      <c r="B889" s="116"/>
    </row>
    <row r="890" ht="15.75" customHeight="1">
      <c r="B890" s="116"/>
    </row>
    <row r="891" ht="15.75" customHeight="1">
      <c r="B891" s="116"/>
    </row>
    <row r="892" ht="15.75" customHeight="1">
      <c r="B892" s="116"/>
    </row>
    <row r="893" ht="15.75" customHeight="1">
      <c r="B893" s="116"/>
    </row>
    <row r="894" ht="15.75" customHeight="1">
      <c r="B894" s="116"/>
    </row>
    <row r="895" ht="15.75" customHeight="1">
      <c r="B895" s="116"/>
    </row>
    <row r="896" ht="15.75" customHeight="1">
      <c r="B896" s="116"/>
    </row>
    <row r="897" ht="15.75" customHeight="1">
      <c r="B897" s="116"/>
    </row>
    <row r="898" ht="15.75" customHeight="1">
      <c r="B898" s="116"/>
    </row>
    <row r="899" ht="15.75" customHeight="1">
      <c r="B899" s="116"/>
    </row>
    <row r="900" ht="15.75" customHeight="1">
      <c r="B900" s="116"/>
    </row>
    <row r="901" ht="15.75" customHeight="1">
      <c r="B901" s="116"/>
    </row>
    <row r="902" ht="15.75" customHeight="1">
      <c r="B902" s="116"/>
    </row>
    <row r="903" ht="15.75" customHeight="1">
      <c r="B903" s="116"/>
    </row>
    <row r="904" ht="15.75" customHeight="1">
      <c r="B904" s="116"/>
    </row>
    <row r="905" ht="15.75" customHeight="1">
      <c r="B905" s="116"/>
    </row>
    <row r="906" ht="15.75" customHeight="1">
      <c r="B906" s="116"/>
    </row>
    <row r="907" ht="15.75" customHeight="1">
      <c r="B907" s="116"/>
    </row>
    <row r="908" ht="15.75" customHeight="1">
      <c r="B908" s="116"/>
    </row>
    <row r="909" ht="15.75" customHeight="1">
      <c r="B909" s="116"/>
    </row>
    <row r="910" ht="15.75" customHeight="1">
      <c r="B910" s="116"/>
    </row>
    <row r="911" ht="15.75" customHeight="1">
      <c r="B911" s="116"/>
    </row>
    <row r="912" ht="15.75" customHeight="1">
      <c r="B912" s="116"/>
    </row>
    <row r="913" ht="15.75" customHeight="1">
      <c r="B913" s="116"/>
    </row>
    <row r="914" ht="15.75" customHeight="1">
      <c r="B914" s="116"/>
    </row>
    <row r="915" ht="15.75" customHeight="1">
      <c r="B915" s="116"/>
    </row>
    <row r="916" ht="15.75" customHeight="1">
      <c r="B916" s="116"/>
    </row>
    <row r="917" ht="15.75" customHeight="1">
      <c r="B917" s="116"/>
    </row>
    <row r="918" ht="15.75" customHeight="1">
      <c r="B918" s="116"/>
    </row>
    <row r="919" ht="15.75" customHeight="1">
      <c r="B919" s="116"/>
    </row>
    <row r="920" ht="15.75" customHeight="1">
      <c r="B920" s="116"/>
    </row>
    <row r="921" ht="15.75" customHeight="1">
      <c r="B921" s="116"/>
    </row>
    <row r="922" ht="15.75" customHeight="1">
      <c r="B922" s="116"/>
    </row>
    <row r="923" ht="15.75" customHeight="1">
      <c r="B923" s="116"/>
    </row>
    <row r="924" ht="15.75" customHeight="1">
      <c r="B924" s="116"/>
    </row>
    <row r="925" ht="15.75" customHeight="1">
      <c r="B925" s="116"/>
    </row>
    <row r="926" ht="15.75" customHeight="1">
      <c r="B926" s="116"/>
    </row>
    <row r="927" ht="15.75" customHeight="1">
      <c r="B927" s="116"/>
    </row>
    <row r="928" ht="15.75" customHeight="1">
      <c r="B928" s="116"/>
    </row>
    <row r="929" ht="15.75" customHeight="1">
      <c r="B929" s="116"/>
    </row>
    <row r="930" ht="15.75" customHeight="1">
      <c r="B930" s="116"/>
    </row>
    <row r="931" ht="15.75" customHeight="1">
      <c r="B931" s="116"/>
    </row>
    <row r="932" ht="15.75" customHeight="1">
      <c r="B932" s="116"/>
    </row>
    <row r="933" ht="15.75" customHeight="1">
      <c r="B933" s="116"/>
    </row>
    <row r="934" ht="15.75" customHeight="1">
      <c r="B934" s="116"/>
    </row>
    <row r="935" ht="15.75" customHeight="1">
      <c r="B935" s="116"/>
    </row>
    <row r="936" ht="15.75" customHeight="1">
      <c r="B936" s="116"/>
    </row>
    <row r="937" ht="15.75" customHeight="1">
      <c r="B937" s="116"/>
    </row>
    <row r="938" ht="15.75" customHeight="1">
      <c r="B938" s="116"/>
    </row>
    <row r="939" ht="15.75" customHeight="1">
      <c r="B939" s="116"/>
    </row>
    <row r="940" ht="15.75" customHeight="1">
      <c r="B940" s="116"/>
    </row>
    <row r="941" ht="15.75" customHeight="1">
      <c r="B941" s="116"/>
    </row>
    <row r="942" ht="15.75" customHeight="1">
      <c r="B942" s="116"/>
    </row>
    <row r="943" ht="15.75" customHeight="1">
      <c r="B943" s="116"/>
    </row>
    <row r="944" ht="15.75" customHeight="1">
      <c r="B944" s="116"/>
    </row>
    <row r="945" ht="15.75" customHeight="1">
      <c r="B945" s="116"/>
    </row>
    <row r="946" ht="15.75" customHeight="1">
      <c r="B946" s="116"/>
    </row>
    <row r="947" ht="15.75" customHeight="1">
      <c r="B947" s="116"/>
    </row>
    <row r="948" ht="15.75" customHeight="1">
      <c r="B948" s="116"/>
    </row>
    <row r="949" ht="15.75" customHeight="1">
      <c r="B949" s="116"/>
    </row>
    <row r="950" ht="15.75" customHeight="1">
      <c r="B950" s="116"/>
    </row>
    <row r="951" ht="15.75" customHeight="1">
      <c r="B951" s="116"/>
    </row>
    <row r="952" ht="15.75" customHeight="1">
      <c r="B952" s="116"/>
    </row>
    <row r="953" ht="15.75" customHeight="1">
      <c r="B953" s="116"/>
    </row>
    <row r="954" ht="15.75" customHeight="1">
      <c r="B954" s="116"/>
    </row>
    <row r="955" ht="15.75" customHeight="1">
      <c r="B955" s="116"/>
    </row>
    <row r="956" ht="15.75" customHeight="1">
      <c r="B956" s="116"/>
    </row>
    <row r="957" ht="15.75" customHeight="1">
      <c r="B957" s="116"/>
    </row>
    <row r="958" ht="15.75" customHeight="1">
      <c r="B958" s="116"/>
    </row>
    <row r="959" ht="15.75" customHeight="1">
      <c r="B959" s="116"/>
    </row>
    <row r="960" ht="15.75" customHeight="1">
      <c r="B960" s="116"/>
    </row>
    <row r="961" ht="15.75" customHeight="1">
      <c r="B961" s="116"/>
    </row>
    <row r="962" ht="15.75" customHeight="1">
      <c r="B962" s="116"/>
    </row>
    <row r="963" ht="15.75" customHeight="1">
      <c r="B963" s="116"/>
    </row>
    <row r="964" ht="15.75" customHeight="1">
      <c r="B964" s="116"/>
    </row>
    <row r="965" ht="15.75" customHeight="1">
      <c r="B965" s="116"/>
    </row>
    <row r="966" ht="15.75" customHeight="1">
      <c r="B966" s="116"/>
    </row>
    <row r="967" ht="15.75" customHeight="1">
      <c r="B967" s="116"/>
    </row>
    <row r="968" ht="15.75" customHeight="1">
      <c r="B968" s="116"/>
    </row>
    <row r="969" ht="15.75" customHeight="1">
      <c r="B969" s="116"/>
    </row>
    <row r="970" ht="15.75" customHeight="1">
      <c r="B970" s="116"/>
    </row>
    <row r="971" ht="15.75" customHeight="1">
      <c r="B971" s="116"/>
    </row>
    <row r="972" ht="15.75" customHeight="1">
      <c r="B972" s="116"/>
    </row>
    <row r="973" ht="15.75" customHeight="1">
      <c r="B973" s="116"/>
    </row>
    <row r="974" ht="15.75" customHeight="1">
      <c r="B974" s="116"/>
    </row>
    <row r="975" ht="15.75" customHeight="1">
      <c r="B975" s="116"/>
    </row>
    <row r="976" ht="15.75" customHeight="1">
      <c r="B976" s="116"/>
    </row>
    <row r="977" ht="15.75" customHeight="1">
      <c r="B977" s="116"/>
    </row>
    <row r="978" ht="15.75" customHeight="1">
      <c r="B978" s="116"/>
    </row>
    <row r="979" ht="15.75" customHeight="1">
      <c r="B979" s="116"/>
    </row>
    <row r="980" ht="15.75" customHeight="1">
      <c r="B980" s="116"/>
    </row>
    <row r="981" ht="15.75" customHeight="1">
      <c r="B981" s="116"/>
    </row>
    <row r="982" ht="15.75" customHeight="1">
      <c r="B982" s="116"/>
    </row>
    <row r="983" ht="15.75" customHeight="1">
      <c r="B983" s="116"/>
    </row>
    <row r="984" ht="15.75" customHeight="1">
      <c r="B984" s="116"/>
    </row>
    <row r="985" ht="15.75" customHeight="1">
      <c r="B985" s="116"/>
    </row>
    <row r="986" ht="15.75" customHeight="1">
      <c r="B986" s="116"/>
    </row>
    <row r="987" ht="15.75" customHeight="1">
      <c r="B987" s="116"/>
    </row>
    <row r="988" ht="15.75" customHeight="1">
      <c r="B988" s="116"/>
    </row>
    <row r="989" ht="15.75" customHeight="1">
      <c r="B989" s="116"/>
    </row>
    <row r="990" ht="15.75" customHeight="1">
      <c r="B990" s="116"/>
    </row>
    <row r="991" ht="15.75" customHeight="1">
      <c r="B991" s="116"/>
    </row>
    <row r="992" ht="15.75" customHeight="1">
      <c r="B992" s="116"/>
    </row>
    <row r="993" ht="15.75" customHeight="1">
      <c r="B993" s="116"/>
    </row>
    <row r="994" ht="15.75" customHeight="1">
      <c r="B994" s="116"/>
    </row>
    <row r="995" ht="15.75" customHeight="1">
      <c r="B995" s="116"/>
    </row>
    <row r="996" ht="15.75" customHeight="1">
      <c r="B996" s="116"/>
    </row>
    <row r="997" ht="15.75" customHeight="1">
      <c r="B997" s="116"/>
    </row>
    <row r="998" ht="15.75" customHeight="1">
      <c r="B998" s="116"/>
    </row>
    <row r="999" ht="15.75" customHeight="1">
      <c r="B999" s="116"/>
    </row>
    <row r="1000" ht="15.75" customHeight="1">
      <c r="B1000" s="116"/>
    </row>
    <row r="1001" ht="15.75" customHeight="1">
      <c r="B1001" s="116"/>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9"/>
    <col customWidth="1" min="2" max="2" width="89.43"/>
    <col customWidth="1" min="3" max="3" width="33.71"/>
    <col customWidth="1" min="4" max="4" width="25.0"/>
  </cols>
  <sheetData>
    <row r="1">
      <c r="A1" s="2" t="s">
        <v>0</v>
      </c>
      <c r="B1" s="4" t="s">
        <v>1</v>
      </c>
      <c r="C1" s="2" t="s">
        <v>3</v>
      </c>
      <c r="D1" s="2" t="s">
        <v>4</v>
      </c>
    </row>
    <row r="2">
      <c r="A2" s="8">
        <v>1.0</v>
      </c>
      <c r="B2" s="9" t="s">
        <v>5</v>
      </c>
      <c r="C2" s="11"/>
      <c r="D2" s="11"/>
    </row>
    <row r="3">
      <c r="A3" s="8">
        <v>2.0</v>
      </c>
      <c r="B3" s="9" t="s">
        <v>7</v>
      </c>
      <c r="C3" s="11"/>
      <c r="D3" s="11"/>
    </row>
    <row r="4">
      <c r="A4" s="8">
        <v>3.0</v>
      </c>
      <c r="B4" s="9" t="s">
        <v>9</v>
      </c>
      <c r="C4" s="11"/>
      <c r="D4" s="11"/>
    </row>
    <row r="5">
      <c r="A5" s="8">
        <v>4.0</v>
      </c>
      <c r="B5" s="9" t="s">
        <v>10</v>
      </c>
      <c r="C5" s="11"/>
      <c r="D5" s="11"/>
    </row>
    <row r="6">
      <c r="A6" s="8">
        <v>5.0</v>
      </c>
      <c r="B6" s="9" t="s">
        <v>16</v>
      </c>
      <c r="C6" s="11"/>
      <c r="D6" s="11"/>
    </row>
    <row r="7">
      <c r="A7" s="8">
        <v>6.0</v>
      </c>
      <c r="B7" s="9" t="s">
        <v>18</v>
      </c>
      <c r="C7" s="11"/>
      <c r="D7" s="11"/>
    </row>
    <row r="8">
      <c r="A8" s="8">
        <v>7.0</v>
      </c>
      <c r="B8" s="9" t="s">
        <v>21</v>
      </c>
      <c r="C8" s="11"/>
      <c r="D8" s="11"/>
    </row>
    <row r="9">
      <c r="A9" s="8">
        <v>8.0</v>
      </c>
      <c r="B9" s="9" t="s">
        <v>23</v>
      </c>
      <c r="C9" s="11"/>
      <c r="D9" s="11"/>
    </row>
    <row r="10">
      <c r="A10" s="8">
        <v>9.0</v>
      </c>
      <c r="B10" s="9" t="s">
        <v>24</v>
      </c>
      <c r="C10" s="11"/>
      <c r="D10" s="11"/>
    </row>
    <row r="11">
      <c r="A11" s="8">
        <v>10.0</v>
      </c>
      <c r="B11" s="9" t="s">
        <v>25</v>
      </c>
      <c r="C11" s="11"/>
      <c r="D11" s="11"/>
    </row>
    <row r="12">
      <c r="A12" s="8">
        <v>11.0</v>
      </c>
      <c r="B12" s="9"/>
      <c r="C12" s="11"/>
      <c r="D12" s="11"/>
    </row>
    <row r="13">
      <c r="A13" s="8"/>
      <c r="B13" s="9"/>
      <c r="C13" s="11"/>
      <c r="D13" s="11"/>
    </row>
    <row r="14">
      <c r="A14" s="8"/>
      <c r="B14" s="9"/>
      <c r="C14" s="11"/>
      <c r="D14" s="11"/>
    </row>
    <row r="15">
      <c r="A15" s="8"/>
      <c r="B15" s="9"/>
      <c r="C15" s="11"/>
      <c r="D15" s="11"/>
    </row>
    <row r="16">
      <c r="A16" s="8"/>
      <c r="B16" s="9"/>
      <c r="C16" s="11"/>
      <c r="D16" s="11"/>
    </row>
    <row r="17">
      <c r="A17" s="8"/>
      <c r="B17" s="9"/>
      <c r="C17" s="11"/>
      <c r="D17" s="11"/>
    </row>
    <row r="18">
      <c r="A18" s="8"/>
      <c r="B18" s="9"/>
      <c r="C18" s="11"/>
      <c r="D18" s="11"/>
    </row>
    <row r="19">
      <c r="A19" s="8"/>
      <c r="B19" s="9"/>
      <c r="C19" s="11"/>
      <c r="D19" s="11"/>
    </row>
    <row r="20">
      <c r="A20" s="8"/>
      <c r="B20" s="9"/>
      <c r="C20" s="11"/>
      <c r="D20" s="11"/>
    </row>
    <row r="21">
      <c r="A21" s="8"/>
      <c r="B21" s="9"/>
      <c r="C21" s="11"/>
      <c r="D21"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7.14"/>
    <col customWidth="1" min="2" max="2" width="52.29"/>
    <col customWidth="1" min="3" max="3" width="49.57"/>
    <col customWidth="1" min="4" max="4" width="16.71"/>
    <col customWidth="1" min="5" max="5" width="27.29"/>
    <col customWidth="1" min="6" max="6" width="57.86"/>
    <col customWidth="1" min="7" max="7" width="16.71"/>
    <col customWidth="1" min="8" max="8" width="26.57"/>
    <col customWidth="1" min="9" max="9" width="28.71"/>
    <col customWidth="1" min="10" max="10" width="25.57"/>
    <col customWidth="1" min="11" max="11" width="21.0"/>
    <col customWidth="1" min="12" max="12" width="16.29"/>
    <col customWidth="1" min="13" max="17" width="51.71"/>
    <col customWidth="1" min="18" max="18" width="60.14"/>
    <col customWidth="1" min="19" max="19" width="20.0"/>
    <col customWidth="1" min="20" max="20" width="58.14"/>
    <col customWidth="1" min="21" max="21" width="29.43"/>
  </cols>
  <sheetData>
    <row r="1" ht="1.5" customHeight="1">
      <c r="A1" s="74" t="s">
        <v>48</v>
      </c>
      <c r="B1" s="75"/>
      <c r="C1" s="76"/>
      <c r="D1" s="76"/>
      <c r="E1" s="77"/>
      <c r="F1" s="78"/>
      <c r="G1" s="79"/>
      <c r="H1" s="77"/>
      <c r="I1" s="76"/>
      <c r="J1" s="76"/>
      <c r="K1" s="76"/>
      <c r="L1" s="79"/>
      <c r="M1" s="79"/>
      <c r="N1" s="79"/>
      <c r="O1" s="79"/>
      <c r="P1" s="79"/>
      <c r="Q1" s="79"/>
      <c r="R1" s="79"/>
      <c r="S1" s="79"/>
      <c r="T1" s="79"/>
      <c r="U1" s="79"/>
    </row>
    <row r="2" ht="16.5" customHeight="1">
      <c r="A2" s="77"/>
      <c r="B2" s="80" t="str">
        <f>"IBM OMS - Sales Order Create Interface"</f>
        <v>IBM OMS - Sales Order Create Interface</v>
      </c>
      <c r="C2" s="76"/>
      <c r="D2" s="76"/>
      <c r="E2" s="77"/>
      <c r="F2" s="78"/>
      <c r="G2" s="79"/>
      <c r="H2" s="77"/>
      <c r="I2" s="76"/>
      <c r="J2" s="76"/>
      <c r="K2" s="76"/>
      <c r="L2" s="79"/>
      <c r="M2" s="79"/>
      <c r="N2" s="79"/>
      <c r="O2" s="79"/>
      <c r="P2" s="79"/>
      <c r="Q2" s="79"/>
      <c r="R2" s="79"/>
      <c r="S2" s="79"/>
      <c r="T2" s="79"/>
      <c r="U2" s="79"/>
    </row>
    <row r="3" ht="13.5" customHeight="1">
      <c r="A3" s="77"/>
      <c r="B3" s="83" t="str">
        <f>"CreateOrder: Inbound Message"</f>
        <v>CreateOrder: Inbound Message</v>
      </c>
      <c r="C3" s="76"/>
      <c r="D3" s="76"/>
      <c r="E3" s="77"/>
      <c r="F3" s="78"/>
      <c r="G3" s="79"/>
      <c r="H3" s="77"/>
      <c r="I3" s="76"/>
      <c r="J3" s="76"/>
      <c r="K3" s="76"/>
      <c r="L3" s="79"/>
      <c r="M3" s="79"/>
      <c r="N3" s="79"/>
      <c r="O3" s="79"/>
      <c r="P3" s="79"/>
      <c r="Q3" s="79"/>
      <c r="R3" s="79"/>
      <c r="S3" s="79"/>
      <c r="T3" s="79"/>
      <c r="U3" s="79"/>
    </row>
    <row r="4" ht="4.5" customHeight="1">
      <c r="A4" s="77"/>
      <c r="B4" s="76"/>
      <c r="C4" s="76"/>
      <c r="D4" s="76"/>
      <c r="E4" s="77"/>
      <c r="F4" s="78"/>
      <c r="G4" s="79"/>
      <c r="H4" s="77"/>
      <c r="I4" s="76"/>
      <c r="J4" s="76"/>
      <c r="K4" s="76"/>
      <c r="L4" s="79"/>
      <c r="M4" s="79"/>
      <c r="N4" s="79"/>
      <c r="O4" s="79"/>
      <c r="P4" s="79"/>
      <c r="Q4" s="79"/>
      <c r="R4" s="79"/>
      <c r="S4" s="79"/>
      <c r="T4" s="79"/>
      <c r="U4" s="79"/>
    </row>
    <row r="5">
      <c r="A5" s="85" t="str">
        <f>"Used"</f>
        <v>Used</v>
      </c>
      <c r="B5" s="85" t="str">
        <f>"Sterling MCF Data Element"</f>
        <v>Sterling MCF Data Element</v>
      </c>
      <c r="C5" s="85" t="str">
        <f>"Source Table/Column Name"</f>
        <v>Source Table/Column Name</v>
      </c>
      <c r="D5" s="85" t="str">
        <f>"Datatype"</f>
        <v>Datatype</v>
      </c>
      <c r="E5" s="87" t="str">
        <f>"Maximum Length"</f>
        <v>Maximum Length</v>
      </c>
      <c r="F5" s="88" t="str">
        <f>"Description"</f>
        <v>Description</v>
      </c>
      <c r="G5" s="89" t="str">
        <f>"Optional Mandatory (O/M)"</f>
        <v>Optional Mandatory (O/M)</v>
      </c>
      <c r="H5" s="85" t="str">
        <f>"Default Value"</f>
        <v>Default Value</v>
      </c>
      <c r="I5" s="85" t="str">
        <f>"List Values"</f>
        <v>List Values</v>
      </c>
      <c r="J5" s="85" t="str">
        <f>"Sample Data"</f>
        <v>Sample Data</v>
      </c>
      <c r="K5" s="85" t="s">
        <v>53</v>
      </c>
      <c r="L5" s="90" t="s">
        <v>54</v>
      </c>
      <c r="M5" s="91" t="s">
        <v>55</v>
      </c>
      <c r="N5" s="93" t="s">
        <v>56</v>
      </c>
      <c r="O5" s="94" t="s">
        <v>59</v>
      </c>
      <c r="P5" s="91" t="s">
        <v>60</v>
      </c>
      <c r="Q5" s="91" t="s">
        <v>61</v>
      </c>
      <c r="R5" s="91" t="s">
        <v>62</v>
      </c>
      <c r="S5" s="91" t="s">
        <v>63</v>
      </c>
      <c r="T5" s="91" t="s">
        <v>64</v>
      </c>
      <c r="U5" s="91" t="s">
        <v>65</v>
      </c>
    </row>
    <row r="6" ht="18.0" customHeight="1">
      <c r="A6" s="95" t="s">
        <v>66</v>
      </c>
      <c r="B6" s="96" t="str">
        <f>"/Order/@"</f>
        <v>/Order/@</v>
      </c>
      <c r="C6" s="96"/>
      <c r="D6" s="96"/>
      <c r="E6" s="97"/>
      <c r="F6" s="98"/>
      <c r="G6" s="99" t="str">
        <f t="shared" ref="G6:G7" si="2">"M"</f>
        <v>M</v>
      </c>
      <c r="H6" s="97"/>
      <c r="I6" s="96"/>
      <c r="J6" s="96"/>
      <c r="K6" s="96"/>
      <c r="L6" s="100" t="s">
        <v>66</v>
      </c>
      <c r="M6" s="99"/>
      <c r="N6" s="99"/>
      <c r="O6" s="99"/>
      <c r="P6" s="99"/>
      <c r="Q6" s="99"/>
      <c r="R6" s="99"/>
      <c r="S6" s="99"/>
      <c r="T6" s="99"/>
      <c r="U6" s="99"/>
    </row>
    <row r="7" hidden="1">
      <c r="A7" s="103"/>
      <c r="B7" s="104" t="str">
        <f>"XMLNS"</f>
        <v>XMLNS</v>
      </c>
      <c r="C7" s="104" t="str">
        <f t="shared" ref="C7:E7" si="1">""</f>
        <v/>
      </c>
      <c r="D7" s="104" t="str">
        <f t="shared" si="1"/>
        <v/>
      </c>
      <c r="E7" s="105" t="str">
        <f t="shared" si="1"/>
        <v/>
      </c>
      <c r="F7" s="104" t="s">
        <v>71</v>
      </c>
      <c r="G7" s="103" t="str">
        <f t="shared" si="2"/>
        <v>M</v>
      </c>
      <c r="H7" s="103" t="str">
        <f t="shared" ref="H7:I7" si="3">""</f>
        <v/>
      </c>
      <c r="I7" s="104" t="str">
        <f t="shared" si="3"/>
        <v/>
      </c>
      <c r="J7" s="104"/>
      <c r="K7" s="104"/>
      <c r="L7" s="105"/>
      <c r="M7" s="104"/>
      <c r="N7" s="104"/>
      <c r="O7" s="104"/>
      <c r="P7" s="104"/>
      <c r="Q7" s="104"/>
      <c r="R7" s="104"/>
      <c r="S7" s="104"/>
      <c r="T7" s="107"/>
      <c r="U7" s="107"/>
    </row>
    <row r="8">
      <c r="A8" s="108" t="s">
        <v>66</v>
      </c>
      <c r="B8" s="109" t="str">
        <f>"AllocationRuleID"</f>
        <v>AllocationRuleID</v>
      </c>
      <c r="C8" s="109" t="str">
        <f>"yfs_order_header.allocation_rule_id"</f>
        <v>yfs_order_header.allocation_rule_id</v>
      </c>
      <c r="D8" s="109" t="str">
        <f t="shared" ref="D8:D12" si="5">"string"</f>
        <v>string</v>
      </c>
      <c r="E8" s="108" t="str">
        <f>"10"</f>
        <v>10</v>
      </c>
      <c r="F8" s="110" t="s">
        <v>76</v>
      </c>
      <c r="G8" s="111" t="s">
        <v>77</v>
      </c>
      <c r="H8" s="108" t="str">
        <f>"null"</f>
        <v>null</v>
      </c>
      <c r="I8" s="109" t="str">
        <f t="shared" ref="I8:J8" si="4">""</f>
        <v/>
      </c>
      <c r="J8" s="109" t="str">
        <f t="shared" si="4"/>
        <v/>
      </c>
      <c r="K8" s="109"/>
      <c r="L8" s="112" t="s">
        <v>66</v>
      </c>
      <c r="M8" s="110" t="s">
        <v>78</v>
      </c>
      <c r="N8" s="110" t="s">
        <v>79</v>
      </c>
      <c r="O8" s="110" t="s">
        <v>80</v>
      </c>
      <c r="P8" s="110" t="s">
        <v>81</v>
      </c>
      <c r="Q8" s="110" t="s">
        <v>82</v>
      </c>
      <c r="R8" s="113"/>
      <c r="S8" s="113"/>
      <c r="T8" s="113"/>
      <c r="U8" s="113"/>
    </row>
    <row r="9" hidden="1">
      <c r="A9" s="103"/>
      <c r="B9" s="104" t="str">
        <f>"ApplyDefaultTemplate"</f>
        <v>ApplyDefaultTemplate</v>
      </c>
      <c r="C9" s="104" t="str">
        <f t="shared" ref="C9:C11" si="7">""</f>
        <v/>
      </c>
      <c r="D9" s="104" t="str">
        <f t="shared" si="5"/>
        <v>string</v>
      </c>
      <c r="E9" s="105" t="str">
        <f t="shared" ref="E9:E10" si="8">"1"</f>
        <v>1</v>
      </c>
      <c r="F9" s="104" t="s">
        <v>83</v>
      </c>
      <c r="G9" s="103" t="str">
        <f t="shared" ref="G9:G29" si="9">"O"</f>
        <v>O</v>
      </c>
      <c r="H9" s="103" t="str">
        <f t="shared" ref="H9:J9" si="6">""</f>
        <v/>
      </c>
      <c r="I9" s="104" t="str">
        <f t="shared" si="6"/>
        <v/>
      </c>
      <c r="J9" s="104" t="str">
        <f t="shared" si="6"/>
        <v/>
      </c>
      <c r="K9" s="104"/>
      <c r="L9" s="105"/>
      <c r="M9" s="104"/>
      <c r="N9" s="104"/>
      <c r="O9" s="104"/>
      <c r="P9" s="104"/>
      <c r="Q9" s="104"/>
      <c r="R9" s="104"/>
      <c r="S9" s="104"/>
      <c r="T9" s="107"/>
      <c r="U9" s="107"/>
    </row>
    <row r="10" hidden="1">
      <c r="A10" s="103"/>
      <c r="B10" s="104" t="str">
        <f>"ApplyOnlyItemLevelPricingRules"</f>
        <v>ApplyOnlyItemLevelPricingRules</v>
      </c>
      <c r="C10" s="104" t="str">
        <f t="shared" si="7"/>
        <v/>
      </c>
      <c r="D10" s="104" t="str">
        <f t="shared" si="5"/>
        <v>string</v>
      </c>
      <c r="E10" s="105" t="str">
        <f t="shared" si="8"/>
        <v>1</v>
      </c>
      <c r="F10" s="104" t="s">
        <v>85</v>
      </c>
      <c r="G10" s="103" t="str">
        <f t="shared" si="9"/>
        <v>O</v>
      </c>
      <c r="H10" s="103" t="str">
        <f t="shared" ref="H10:J10" si="10">""</f>
        <v/>
      </c>
      <c r="I10" s="104" t="str">
        <f t="shared" si="10"/>
        <v/>
      </c>
      <c r="J10" s="104" t="str">
        <f t="shared" si="10"/>
        <v/>
      </c>
      <c r="K10" s="104"/>
      <c r="L10" s="105"/>
      <c r="M10" s="104"/>
      <c r="N10" s="104"/>
      <c r="O10" s="104"/>
      <c r="P10" s="104"/>
      <c r="Q10" s="104"/>
      <c r="R10" s="104"/>
      <c r="S10" s="104"/>
      <c r="T10" s="107"/>
      <c r="U10" s="107"/>
    </row>
    <row r="11" hidden="1">
      <c r="A11" s="103"/>
      <c r="B11" s="104" t="str">
        <f>"AuditTransactionId"</f>
        <v>AuditTransactionId</v>
      </c>
      <c r="C11" s="104" t="str">
        <f t="shared" si="7"/>
        <v/>
      </c>
      <c r="D11" s="104" t="str">
        <f t="shared" si="5"/>
        <v>string</v>
      </c>
      <c r="E11" s="105" t="str">
        <f>"40"</f>
        <v>40</v>
      </c>
      <c r="F11" s="104" t="s">
        <v>86</v>
      </c>
      <c r="G11" s="103" t="str">
        <f t="shared" si="9"/>
        <v>O</v>
      </c>
      <c r="H11" s="103" t="str">
        <f t="shared" ref="H11:J11" si="11">""</f>
        <v/>
      </c>
      <c r="I11" s="104" t="str">
        <f t="shared" si="11"/>
        <v/>
      </c>
      <c r="J11" s="104" t="str">
        <f t="shared" si="11"/>
        <v/>
      </c>
      <c r="K11" s="104"/>
      <c r="L11" s="105"/>
      <c r="M11" s="104"/>
      <c r="N11" s="104"/>
      <c r="O11" s="104"/>
      <c r="P11" s="104"/>
      <c r="Q11" s="104"/>
      <c r="R11" s="104"/>
      <c r="S11" s="104"/>
      <c r="T11" s="107"/>
      <c r="U11" s="107"/>
    </row>
    <row r="12" hidden="1">
      <c r="A12" s="103"/>
      <c r="B12" s="104" t="str">
        <f>"AuthorizedClient"</f>
        <v>AuthorizedClient</v>
      </c>
      <c r="C12" s="104" t="str">
        <f>"yfs_order_header.authorized_client"</f>
        <v>yfs_order_header.authorized_client</v>
      </c>
      <c r="D12" s="104" t="str">
        <f t="shared" si="5"/>
        <v>string</v>
      </c>
      <c r="E12" s="105" t="str">
        <f>"20"</f>
        <v>20</v>
      </c>
      <c r="F12" s="104" t="s">
        <v>87</v>
      </c>
      <c r="G12" s="103" t="str">
        <f t="shared" si="9"/>
        <v>O</v>
      </c>
      <c r="H12" s="103" t="str">
        <f t="shared" ref="H12:H14" si="13">"null"</f>
        <v>null</v>
      </c>
      <c r="I12" s="104" t="str">
        <f t="shared" ref="I12:J12" si="12">""</f>
        <v/>
      </c>
      <c r="J12" s="104" t="str">
        <f t="shared" si="12"/>
        <v/>
      </c>
      <c r="K12" s="104"/>
      <c r="L12" s="105"/>
      <c r="M12" s="104"/>
      <c r="N12" s="104"/>
      <c r="O12" s="104"/>
      <c r="P12" s="104"/>
      <c r="Q12" s="104"/>
      <c r="R12" s="104"/>
      <c r="S12" s="104"/>
      <c r="T12" s="107"/>
      <c r="U12" s="107"/>
    </row>
    <row r="13" hidden="1">
      <c r="A13" s="103"/>
      <c r="B13" s="104" t="str">
        <f>"AutoCancelDate"</f>
        <v>AutoCancelDate</v>
      </c>
      <c r="C13" s="104" t="str">
        <f>"yfs_order_header.auto_cancel_date"</f>
        <v>yfs_order_header.auto_cancel_date</v>
      </c>
      <c r="D13" s="104" t="str">
        <f>"UNKNOWN"</f>
        <v>UNKNOWN</v>
      </c>
      <c r="E13" s="105" t="str">
        <f>""</f>
        <v/>
      </c>
      <c r="F13" s="104" t="s">
        <v>89</v>
      </c>
      <c r="G13" s="103" t="str">
        <f t="shared" si="9"/>
        <v>O</v>
      </c>
      <c r="H13" s="103" t="str">
        <f t="shared" si="13"/>
        <v>null</v>
      </c>
      <c r="I13" s="104" t="str">
        <f t="shared" ref="I13:J13" si="14">""</f>
        <v/>
      </c>
      <c r="J13" s="104" t="str">
        <f t="shared" si="14"/>
        <v/>
      </c>
      <c r="K13" s="104"/>
      <c r="L13" s="105"/>
      <c r="M13" s="104"/>
      <c r="N13" s="104"/>
      <c r="O13" s="104"/>
      <c r="P13" s="104"/>
      <c r="Q13" s="104"/>
      <c r="R13" s="104"/>
      <c r="S13" s="104"/>
      <c r="T13" s="107"/>
      <c r="U13" s="107"/>
    </row>
    <row r="14" hidden="1">
      <c r="A14" s="117" t="s">
        <v>92</v>
      </c>
      <c r="B14" s="104" t="str">
        <f>"BillToID"</f>
        <v>BillToID</v>
      </c>
      <c r="C14" s="104" t="str">
        <f>"yfs_order_header.bill_to_id"</f>
        <v>yfs_order_header.bill_to_id</v>
      </c>
      <c r="D14" s="104" t="str">
        <f t="shared" ref="D14:D30" si="15">"string"</f>
        <v>string</v>
      </c>
      <c r="E14" s="105" t="str">
        <f>"40"</f>
        <v>40</v>
      </c>
      <c r="F14" s="118" t="s">
        <v>93</v>
      </c>
      <c r="G14" s="103" t="str">
        <f t="shared" si="9"/>
        <v>O</v>
      </c>
      <c r="H14" s="103" t="str">
        <f t="shared" si="13"/>
        <v>null</v>
      </c>
      <c r="I14" s="104" t="str">
        <f t="shared" ref="I14:I19" si="16">""</f>
        <v/>
      </c>
      <c r="J14" s="104" t="str">
        <f>"1288"</f>
        <v>1288</v>
      </c>
      <c r="K14" s="104"/>
      <c r="L14" s="119"/>
      <c r="M14" s="104"/>
      <c r="N14" s="104"/>
      <c r="O14" s="104"/>
      <c r="P14" s="104"/>
      <c r="Q14" s="104"/>
      <c r="R14" s="104"/>
      <c r="S14" s="104"/>
      <c r="T14" s="107"/>
      <c r="U14" s="107"/>
    </row>
    <row r="15" hidden="1">
      <c r="A15" s="103"/>
      <c r="B15" s="104" t="str">
        <f>"BillToKey"</f>
        <v>BillToKey</v>
      </c>
      <c r="C15" s="104" t="str">
        <f>"yfs_order_header.bill_to_key"</f>
        <v>yfs_order_header.bill_to_key</v>
      </c>
      <c r="D15" s="104" t="str">
        <f t="shared" si="15"/>
        <v>string</v>
      </c>
      <c r="E15" s="105" t="str">
        <f t="shared" ref="E15:E18" si="17">"24"</f>
        <v>24</v>
      </c>
      <c r="F15" s="104" t="s">
        <v>95</v>
      </c>
      <c r="G15" s="103" t="str">
        <f t="shared" si="9"/>
        <v>O</v>
      </c>
      <c r="H15" s="103" t="str">
        <f>"space"</f>
        <v>space</v>
      </c>
      <c r="I15" s="104" t="str">
        <f t="shared" si="16"/>
        <v/>
      </c>
      <c r="J15" s="104" t="str">
        <f>"2010050314595407475"</f>
        <v>2010050314595407475</v>
      </c>
      <c r="K15" s="104"/>
      <c r="L15" s="105"/>
      <c r="M15" s="104"/>
      <c r="N15" s="104"/>
      <c r="O15" s="104"/>
      <c r="P15" s="104"/>
      <c r="Q15" s="104"/>
      <c r="R15" s="104"/>
      <c r="S15" s="104"/>
      <c r="T15" s="107"/>
      <c r="U15" s="107"/>
    </row>
    <row r="16" hidden="1">
      <c r="A16" s="103"/>
      <c r="B16" s="104" t="str">
        <f>"BuyerMarkForNodeId"</f>
        <v>BuyerMarkForNodeId</v>
      </c>
      <c r="C16" s="104" t="str">
        <f>"yfs_order_header.buyer_mark_for_node_id"</f>
        <v>yfs_order_header.buyer_mark_for_node_id</v>
      </c>
      <c r="D16" s="104" t="str">
        <f t="shared" si="15"/>
        <v>string</v>
      </c>
      <c r="E16" s="105" t="str">
        <f t="shared" si="17"/>
        <v>24</v>
      </c>
      <c r="F16" s="104" t="s">
        <v>97</v>
      </c>
      <c r="G16" s="103" t="str">
        <f t="shared" si="9"/>
        <v>O</v>
      </c>
      <c r="H16" s="103" t="str">
        <f t="shared" ref="H16:H19" si="18">"null"</f>
        <v>null</v>
      </c>
      <c r="I16" s="104" t="str">
        <f t="shared" si="16"/>
        <v/>
      </c>
      <c r="J16" s="104" t="str">
        <f t="shared" ref="J16:J20" si="19">""</f>
        <v/>
      </c>
      <c r="K16" s="104"/>
      <c r="L16" s="105"/>
      <c r="M16" s="104"/>
      <c r="N16" s="104"/>
      <c r="O16" s="104"/>
      <c r="P16" s="104"/>
      <c r="Q16" s="104"/>
      <c r="R16" s="104"/>
      <c r="S16" s="104"/>
      <c r="T16" s="107"/>
      <c r="U16" s="107"/>
    </row>
    <row r="17" hidden="1">
      <c r="A17" s="103"/>
      <c r="B17" s="104" t="str">
        <f>"BuyerOrganizationCode"</f>
        <v>BuyerOrganizationCode</v>
      </c>
      <c r="C17" s="104" t="str">
        <f>"yfs_order_header.buyer_organization_code"</f>
        <v>yfs_order_header.buyer_organization_code</v>
      </c>
      <c r="D17" s="104" t="str">
        <f t="shared" si="15"/>
        <v>string</v>
      </c>
      <c r="E17" s="105" t="str">
        <f t="shared" si="17"/>
        <v>24</v>
      </c>
      <c r="F17" s="104" t="s">
        <v>99</v>
      </c>
      <c r="G17" s="103" t="str">
        <f t="shared" si="9"/>
        <v>O</v>
      </c>
      <c r="H17" s="103" t="str">
        <f t="shared" si="18"/>
        <v>null</v>
      </c>
      <c r="I17" s="104" t="str">
        <f t="shared" si="16"/>
        <v/>
      </c>
      <c r="J17" s="104" t="str">
        <f t="shared" si="19"/>
        <v/>
      </c>
      <c r="K17" s="104"/>
      <c r="L17" s="105"/>
      <c r="M17" s="104"/>
      <c r="N17" s="104"/>
      <c r="O17" s="104"/>
      <c r="P17" s="104"/>
      <c r="Q17" s="104"/>
      <c r="R17" s="104"/>
      <c r="S17" s="104"/>
      <c r="T17" s="107"/>
      <c r="U17" s="107"/>
    </row>
    <row r="18" hidden="1">
      <c r="A18" s="103"/>
      <c r="B18" s="104" t="str">
        <f>"BuyerReceivingNodeId"</f>
        <v>BuyerReceivingNodeId</v>
      </c>
      <c r="C18" s="104" t="str">
        <f>"yfs_order_header.buyer_receiving_node_id"</f>
        <v>yfs_order_header.buyer_receiving_node_id</v>
      </c>
      <c r="D18" s="104" t="str">
        <f t="shared" si="15"/>
        <v>string</v>
      </c>
      <c r="E18" s="105" t="str">
        <f t="shared" si="17"/>
        <v>24</v>
      </c>
      <c r="F18" s="104" t="s">
        <v>101</v>
      </c>
      <c r="G18" s="103" t="str">
        <f t="shared" si="9"/>
        <v>O</v>
      </c>
      <c r="H18" s="103" t="str">
        <f t="shared" si="18"/>
        <v>null</v>
      </c>
      <c r="I18" s="104" t="str">
        <f t="shared" si="16"/>
        <v/>
      </c>
      <c r="J18" s="104" t="str">
        <f t="shared" si="19"/>
        <v/>
      </c>
      <c r="K18" s="104"/>
      <c r="L18" s="105"/>
      <c r="M18" s="104"/>
      <c r="N18" s="104"/>
      <c r="O18" s="104"/>
      <c r="P18" s="104"/>
      <c r="Q18" s="104"/>
      <c r="R18" s="104"/>
      <c r="S18" s="104"/>
      <c r="T18" s="107"/>
      <c r="U18" s="107"/>
    </row>
    <row r="19" hidden="1">
      <c r="A19" s="117" t="s">
        <v>92</v>
      </c>
      <c r="B19" s="104" t="str">
        <f>"BuyerUserId"</f>
        <v>BuyerUserId</v>
      </c>
      <c r="C19" s="104" t="str">
        <f>"yfs_order_header.buyer_user_id"</f>
        <v>yfs_order_header.buyer_user_id</v>
      </c>
      <c r="D19" s="104" t="str">
        <f t="shared" si="15"/>
        <v>string</v>
      </c>
      <c r="E19" s="105" t="str">
        <f>"60"</f>
        <v>60</v>
      </c>
      <c r="F19" s="104" t="s">
        <v>103</v>
      </c>
      <c r="G19" s="103" t="str">
        <f t="shared" si="9"/>
        <v>O</v>
      </c>
      <c r="H19" s="103" t="str">
        <f t="shared" si="18"/>
        <v>null</v>
      </c>
      <c r="I19" s="104" t="str">
        <f t="shared" si="16"/>
        <v/>
      </c>
      <c r="J19" s="104" t="str">
        <f t="shared" si="19"/>
        <v/>
      </c>
      <c r="K19" s="104"/>
      <c r="L19" s="105"/>
      <c r="M19" s="104"/>
      <c r="N19" s="104"/>
      <c r="O19" s="104"/>
      <c r="P19" s="104"/>
      <c r="Q19" s="104"/>
      <c r="R19" s="104"/>
      <c r="S19" s="104"/>
      <c r="T19" s="107"/>
      <c r="U19" s="107"/>
    </row>
    <row r="20" hidden="1">
      <c r="A20" s="117" t="s">
        <v>92</v>
      </c>
      <c r="B20" s="104" t="str">
        <f>"BypassPricing"</f>
        <v>BypassPricing</v>
      </c>
      <c r="C20" s="104" t="str">
        <f>""</f>
        <v/>
      </c>
      <c r="D20" s="104" t="str">
        <f t="shared" si="15"/>
        <v>string</v>
      </c>
      <c r="E20" s="105" t="str">
        <f t="shared" ref="E20:E21" si="20">"1"</f>
        <v>1</v>
      </c>
      <c r="F20" s="104" t="s">
        <v>104</v>
      </c>
      <c r="G20" s="103" t="str">
        <f t="shared" si="9"/>
        <v>O</v>
      </c>
      <c r="H20" s="103" t="str">
        <f>""</f>
        <v/>
      </c>
      <c r="I20" s="104" t="str">
        <f>"Y, N"</f>
        <v>Y, N</v>
      </c>
      <c r="J20" s="104" t="str">
        <f t="shared" si="19"/>
        <v/>
      </c>
      <c r="K20" s="104"/>
      <c r="L20" s="105"/>
      <c r="M20" s="104"/>
      <c r="N20" s="104"/>
      <c r="O20" s="104"/>
      <c r="P20" s="104"/>
      <c r="Q20" s="104"/>
      <c r="R20" s="104"/>
      <c r="S20" s="104"/>
      <c r="T20" s="107"/>
      <c r="U20" s="107"/>
    </row>
    <row r="21" ht="15.75" hidden="1" customHeight="1">
      <c r="A21" s="103"/>
      <c r="B21" s="104" t="str">
        <f>"CancelOrderOnBackorder"</f>
        <v>CancelOrderOnBackorder</v>
      </c>
      <c r="C21" s="104" t="str">
        <f>"yfs_order_header.cancel_order_on_excp_flag"</f>
        <v>yfs_order_header.cancel_order_on_excp_flag</v>
      </c>
      <c r="D21" s="104" t="str">
        <f t="shared" si="15"/>
        <v>string</v>
      </c>
      <c r="E21" s="105" t="str">
        <f t="shared" si="20"/>
        <v>1</v>
      </c>
      <c r="F21" s="104" t="s">
        <v>106</v>
      </c>
      <c r="G21" s="103" t="str">
        <f t="shared" si="9"/>
        <v>O</v>
      </c>
      <c r="H21" s="103" t="str">
        <f>"null"</f>
        <v>null</v>
      </c>
      <c r="I21" s="104" t="str">
        <f>"Y, N, "</f>
        <v>Y, N, </v>
      </c>
      <c r="J21" s="104" t="str">
        <f>"Y"</f>
        <v>Y</v>
      </c>
      <c r="K21" s="104"/>
      <c r="L21" s="105"/>
      <c r="M21" s="104"/>
      <c r="N21" s="104"/>
      <c r="O21" s="104"/>
      <c r="P21" s="104"/>
      <c r="Q21" s="104"/>
      <c r="R21" s="104"/>
      <c r="S21" s="104"/>
      <c r="T21" s="107"/>
      <c r="U21" s="107"/>
    </row>
    <row r="22" ht="15.75" hidden="1" customHeight="1">
      <c r="A22" s="103"/>
      <c r="B22" s="104" t="str">
        <f>"CarrierAccountNo"</f>
        <v>CarrierAccountNo</v>
      </c>
      <c r="C22" s="104" t="str">
        <f>"yfs_order_header.custcarrier_account_no"</f>
        <v>yfs_order_header.custcarrier_account_no</v>
      </c>
      <c r="D22" s="104" t="str">
        <f t="shared" si="15"/>
        <v>string</v>
      </c>
      <c r="E22" s="105" t="str">
        <f t="shared" ref="E22:E23" si="22">"40"</f>
        <v>40</v>
      </c>
      <c r="F22" s="104" t="s">
        <v>108</v>
      </c>
      <c r="G22" s="103" t="str">
        <f t="shared" si="9"/>
        <v>O</v>
      </c>
      <c r="H22" s="103" t="str">
        <f t="shared" ref="H22:H26" si="23">"space"</f>
        <v>space</v>
      </c>
      <c r="I22" s="104" t="str">
        <f t="shared" ref="I22:J22" si="21">""</f>
        <v/>
      </c>
      <c r="J22" s="104" t="str">
        <f t="shared" si="21"/>
        <v/>
      </c>
      <c r="K22" s="104"/>
      <c r="L22" s="105"/>
      <c r="M22" s="104"/>
      <c r="N22" s="104"/>
      <c r="O22" s="104"/>
      <c r="P22" s="104"/>
      <c r="Q22" s="104"/>
      <c r="R22" s="104"/>
      <c r="S22" s="104"/>
      <c r="T22" s="107"/>
      <c r="U22" s="107"/>
    </row>
    <row r="23" ht="15.75" hidden="1" customHeight="1">
      <c r="A23" s="103"/>
      <c r="B23" s="104" t="str">
        <f>"CarrierServiceCode"</f>
        <v>CarrierServiceCode</v>
      </c>
      <c r="C23" s="104" t="str">
        <f>"yfs_order_header.carrier_service_code"</f>
        <v>yfs_order_header.carrier_service_code</v>
      </c>
      <c r="D23" s="104" t="str">
        <f t="shared" si="15"/>
        <v>string</v>
      </c>
      <c r="E23" s="105" t="str">
        <f t="shared" si="22"/>
        <v>40</v>
      </c>
      <c r="F23" s="104" t="s">
        <v>110</v>
      </c>
      <c r="G23" s="103" t="str">
        <f t="shared" si="9"/>
        <v>O</v>
      </c>
      <c r="H23" s="103" t="str">
        <f t="shared" si="23"/>
        <v>space</v>
      </c>
      <c r="I23" s="104" t="str">
        <f t="shared" ref="I23:I26" si="24">""</f>
        <v/>
      </c>
      <c r="J23" s="104" t="str">
        <f>"SBUX_2_DAY"</f>
        <v>SBUX_2_DAY</v>
      </c>
      <c r="K23" s="104"/>
      <c r="L23" s="105"/>
      <c r="M23" s="104"/>
      <c r="N23" s="104"/>
      <c r="O23" s="104"/>
      <c r="P23" s="104"/>
      <c r="Q23" s="104"/>
      <c r="R23" s="104"/>
      <c r="S23" s="104"/>
      <c r="T23" s="107"/>
      <c r="U23" s="107"/>
    </row>
    <row r="24" ht="27.0" hidden="1" customHeight="1">
      <c r="A24" s="103"/>
      <c r="B24" s="104" t="str">
        <f>"ChargeActualFreightFlag"</f>
        <v>ChargeActualFreightFlag</v>
      </c>
      <c r="C24" s="104" t="str">
        <f>"yfs_order_header.charge_actual_freight"</f>
        <v>yfs_order_header.charge_actual_freight</v>
      </c>
      <c r="D24" s="104" t="str">
        <f t="shared" si="15"/>
        <v>string</v>
      </c>
      <c r="E24" s="105" t="str">
        <f t="shared" ref="E24:E25" si="25">"1"</f>
        <v>1</v>
      </c>
      <c r="F24" s="104" t="s">
        <v>112</v>
      </c>
      <c r="G24" s="103" t="str">
        <f t="shared" si="9"/>
        <v>O</v>
      </c>
      <c r="H24" s="103" t="str">
        <f t="shared" si="23"/>
        <v>space</v>
      </c>
      <c r="I24" s="104" t="str">
        <f t="shared" si="24"/>
        <v/>
      </c>
      <c r="J24" s="104" t="str">
        <f t="shared" ref="J24:J26" si="26">""</f>
        <v/>
      </c>
      <c r="K24" s="104"/>
      <c r="L24" s="105"/>
      <c r="M24" s="104"/>
      <c r="N24" s="104"/>
      <c r="O24" s="104"/>
      <c r="P24" s="104"/>
      <c r="Q24" s="104"/>
      <c r="R24" s="104"/>
      <c r="S24" s="104"/>
      <c r="T24" s="107"/>
      <c r="U24" s="107"/>
    </row>
    <row r="25" ht="39.0" hidden="1" customHeight="1">
      <c r="A25" s="103"/>
      <c r="B25" s="104" t="str">
        <f>"CreatedAtNode"</f>
        <v>CreatedAtNode</v>
      </c>
      <c r="C25" s="104" t="str">
        <f>"yfs_order_header.created_at_node"</f>
        <v>yfs_order_header.created_at_node</v>
      </c>
      <c r="D25" s="104" t="str">
        <f t="shared" si="15"/>
        <v>string</v>
      </c>
      <c r="E25" s="105" t="str">
        <f t="shared" si="25"/>
        <v>1</v>
      </c>
      <c r="F25" s="118" t="s">
        <v>113</v>
      </c>
      <c r="G25" s="103" t="str">
        <f t="shared" si="9"/>
        <v>O</v>
      </c>
      <c r="H25" s="103" t="str">
        <f t="shared" si="23"/>
        <v>space</v>
      </c>
      <c r="I25" s="104" t="str">
        <f t="shared" si="24"/>
        <v/>
      </c>
      <c r="J25" s="104" t="str">
        <f t="shared" si="26"/>
        <v/>
      </c>
      <c r="K25" s="104"/>
      <c r="L25" s="105"/>
      <c r="M25" s="104"/>
      <c r="N25" s="104"/>
      <c r="O25" s="104"/>
      <c r="P25" s="104"/>
      <c r="Q25" s="104"/>
      <c r="R25" s="104"/>
      <c r="S25" s="104"/>
      <c r="T25" s="107"/>
      <c r="U25" s="107"/>
    </row>
    <row r="26" ht="39.75" hidden="1" customHeight="1">
      <c r="A26" s="103"/>
      <c r="B26" s="104" t="str">
        <f>"CustCustPONo"</f>
        <v>CustCustPONo</v>
      </c>
      <c r="C26" s="104" t="str">
        <f>"yfs_order_header.customer_customer_po_no"</f>
        <v>yfs_order_header.customer_customer_po_no</v>
      </c>
      <c r="D26" s="104" t="str">
        <f t="shared" si="15"/>
        <v>string</v>
      </c>
      <c r="E26" s="105" t="str">
        <f>"100"</f>
        <v>100</v>
      </c>
      <c r="F26" s="104" t="s">
        <v>114</v>
      </c>
      <c r="G26" s="103" t="str">
        <f t="shared" si="9"/>
        <v>O</v>
      </c>
      <c r="H26" s="103" t="str">
        <f t="shared" si="23"/>
        <v>space</v>
      </c>
      <c r="I26" s="104" t="str">
        <f t="shared" si="24"/>
        <v/>
      </c>
      <c r="J26" s="104" t="str">
        <f t="shared" si="26"/>
        <v/>
      </c>
      <c r="K26" s="104"/>
      <c r="L26" s="105"/>
      <c r="M26" s="104"/>
      <c r="N26" s="104"/>
      <c r="O26" s="104"/>
      <c r="P26" s="104"/>
      <c r="Q26" s="104"/>
      <c r="R26" s="104"/>
      <c r="S26" s="104"/>
      <c r="T26" s="107"/>
      <c r="U26" s="107"/>
    </row>
    <row r="27" ht="14.25" hidden="1" customHeight="1">
      <c r="A27" s="103"/>
      <c r="B27" s="104" t="str">
        <f>"CustomerClassificationCode"</f>
        <v>CustomerClassificationCode</v>
      </c>
      <c r="C27" s="104" t="str">
        <f>""</f>
        <v/>
      </c>
      <c r="D27" s="104" t="str">
        <f t="shared" si="15"/>
        <v>string</v>
      </c>
      <c r="E27" s="105" t="str">
        <f>""</f>
        <v/>
      </c>
      <c r="F27" s="104" t="s">
        <v>83</v>
      </c>
      <c r="G27" s="103" t="str">
        <f t="shared" si="9"/>
        <v>O</v>
      </c>
      <c r="H27" s="103" t="str">
        <f t="shared" ref="H27:J27" si="27">""</f>
        <v/>
      </c>
      <c r="I27" s="104" t="str">
        <f t="shared" si="27"/>
        <v/>
      </c>
      <c r="J27" s="104" t="str">
        <f t="shared" si="27"/>
        <v/>
      </c>
      <c r="K27" s="104"/>
      <c r="L27" s="105"/>
      <c r="M27" s="104"/>
      <c r="N27" s="104"/>
      <c r="O27" s="104"/>
      <c r="P27" s="104"/>
      <c r="Q27" s="104"/>
      <c r="R27" s="104"/>
      <c r="S27" s="104"/>
      <c r="T27" s="107"/>
      <c r="U27" s="107"/>
    </row>
    <row r="28" ht="92.25" hidden="1" customHeight="1">
      <c r="A28" s="103"/>
      <c r="B28" s="104" t="str">
        <f>"CustomerContactID"</f>
        <v>CustomerContactID</v>
      </c>
      <c r="C28" s="104" t="str">
        <f>"yfs_order_header.customer_contact_id"</f>
        <v>yfs_order_header.customer_contact_id</v>
      </c>
      <c r="D28" s="104" t="str">
        <f t="shared" si="15"/>
        <v>string</v>
      </c>
      <c r="E28" s="105" t="str">
        <f>"40"</f>
        <v>40</v>
      </c>
      <c r="F28" s="118" t="s">
        <v>117</v>
      </c>
      <c r="G28" s="103" t="str">
        <f t="shared" si="9"/>
        <v>O</v>
      </c>
      <c r="H28" s="103" t="str">
        <f>"null"</f>
        <v>null</v>
      </c>
      <c r="I28" s="104" t="str">
        <f t="shared" ref="I28:J28" si="28">""</f>
        <v/>
      </c>
      <c r="J28" s="104" t="str">
        <f t="shared" si="28"/>
        <v/>
      </c>
      <c r="K28" s="104"/>
      <c r="L28" s="105"/>
      <c r="M28" s="104"/>
      <c r="N28" s="104"/>
      <c r="O28" s="104"/>
      <c r="P28" s="104"/>
      <c r="Q28" s="104"/>
      <c r="R28" s="104"/>
      <c r="S28" s="104"/>
      <c r="T28" s="107"/>
      <c r="U28" s="107"/>
    </row>
    <row r="29" ht="14.25" hidden="1" customHeight="1">
      <c r="A29" s="103"/>
      <c r="B29" s="104" t="str">
        <f>"CustomerDOB"</f>
        <v>CustomerDOB</v>
      </c>
      <c r="C29" s="104" t="str">
        <f>""</f>
        <v/>
      </c>
      <c r="D29" s="104" t="str">
        <f t="shared" si="15"/>
        <v>string</v>
      </c>
      <c r="E29" s="105" t="str">
        <f>""</f>
        <v/>
      </c>
      <c r="F29" s="104" t="s">
        <v>83</v>
      </c>
      <c r="G29" s="103" t="str">
        <f t="shared" si="9"/>
        <v>O</v>
      </c>
      <c r="H29" s="103" t="str">
        <f t="shared" ref="H29:J29" si="29">""</f>
        <v/>
      </c>
      <c r="I29" s="104" t="str">
        <f t="shared" si="29"/>
        <v/>
      </c>
      <c r="J29" s="104" t="str">
        <f t="shared" si="29"/>
        <v/>
      </c>
      <c r="K29" s="104"/>
      <c r="L29" s="105"/>
      <c r="M29" s="104"/>
      <c r="N29" s="104"/>
      <c r="O29" s="104"/>
      <c r="P29" s="104"/>
      <c r="Q29" s="104"/>
      <c r="R29" s="104"/>
      <c r="S29" s="104"/>
      <c r="T29" s="107"/>
      <c r="U29" s="107"/>
    </row>
    <row r="30">
      <c r="A30" s="108" t="s">
        <v>66</v>
      </c>
      <c r="B30" s="123" t="str">
        <f>"CustomerEMailID"</f>
        <v>CustomerEMailID</v>
      </c>
      <c r="C30" s="109" t="str">
        <f>"yfs_order_header.customer_emailid"</f>
        <v>yfs_order_header.customer_emailid</v>
      </c>
      <c r="D30" s="109" t="str">
        <f t="shared" si="15"/>
        <v>string</v>
      </c>
      <c r="E30" s="108">
        <v>60.0</v>
      </c>
      <c r="F30" s="124" t="s">
        <v>118</v>
      </c>
      <c r="G30" s="125" t="s">
        <v>119</v>
      </c>
      <c r="H30" s="108" t="str">
        <f t="shared" ref="H30:J30" si="30">""</f>
        <v/>
      </c>
      <c r="I30" s="109" t="str">
        <f t="shared" si="30"/>
        <v/>
      </c>
      <c r="J30" s="109" t="str">
        <f t="shared" si="30"/>
        <v/>
      </c>
      <c r="K30" s="109" t="s">
        <v>120</v>
      </c>
      <c r="L30" s="112" t="s">
        <v>66</v>
      </c>
      <c r="M30" s="126" t="s">
        <v>121</v>
      </c>
      <c r="N30" s="126" t="s">
        <v>121</v>
      </c>
      <c r="O30" s="126" t="s">
        <v>121</v>
      </c>
      <c r="P30" s="113" t="s">
        <v>121</v>
      </c>
      <c r="Q30" s="126" t="s">
        <v>121</v>
      </c>
      <c r="R30" s="127"/>
      <c r="S30" s="127"/>
      <c r="T30" s="110" t="s">
        <v>122</v>
      </c>
      <c r="U30" s="127"/>
    </row>
    <row r="31">
      <c r="A31" s="108" t="s">
        <v>66</v>
      </c>
      <c r="B31" s="128" t="s">
        <v>123</v>
      </c>
      <c r="C31" s="109"/>
      <c r="D31" s="109"/>
      <c r="E31" s="108"/>
      <c r="F31" s="129" t="s">
        <v>124</v>
      </c>
      <c r="G31" s="112"/>
      <c r="H31" s="108"/>
      <c r="I31" s="109"/>
      <c r="J31" s="109"/>
      <c r="K31" s="109"/>
      <c r="L31" s="112"/>
      <c r="M31" s="127" t="s">
        <v>125</v>
      </c>
      <c r="N31" s="130" t="s">
        <v>126</v>
      </c>
      <c r="O31" s="127" t="s">
        <v>125</v>
      </c>
      <c r="P31" s="127" t="s">
        <v>125</v>
      </c>
      <c r="Q31" s="127" t="s">
        <v>125</v>
      </c>
      <c r="R31" s="127" t="s">
        <v>127</v>
      </c>
      <c r="S31" s="127" t="s">
        <v>128</v>
      </c>
      <c r="T31" s="127"/>
      <c r="U31" s="127"/>
    </row>
    <row r="32">
      <c r="A32" s="108" t="s">
        <v>66</v>
      </c>
      <c r="B32" s="109" t="s">
        <v>129</v>
      </c>
      <c r="C32" s="109" t="s">
        <v>130</v>
      </c>
      <c r="D32" s="109" t="s">
        <v>131</v>
      </c>
      <c r="E32" s="108" t="s">
        <v>132</v>
      </c>
      <c r="F32" s="131" t="s">
        <v>133</v>
      </c>
      <c r="G32" s="112" t="s">
        <v>134</v>
      </c>
      <c r="H32" s="108"/>
      <c r="I32" s="109"/>
      <c r="J32" s="109"/>
      <c r="K32" s="109" t="s">
        <v>120</v>
      </c>
      <c r="L32" s="112" t="s">
        <v>66</v>
      </c>
      <c r="M32" s="126" t="s">
        <v>135</v>
      </c>
      <c r="N32" s="126" t="s">
        <v>135</v>
      </c>
      <c r="O32" s="126" t="s">
        <v>135</v>
      </c>
      <c r="P32" s="113" t="s">
        <v>135</v>
      </c>
      <c r="Q32" s="126" t="s">
        <v>135</v>
      </c>
      <c r="R32" s="126"/>
      <c r="S32" s="126"/>
      <c r="T32" s="126"/>
      <c r="U32" s="126"/>
    </row>
    <row r="33">
      <c r="A33" s="108" t="s">
        <v>66</v>
      </c>
      <c r="B33" s="109" t="s">
        <v>136</v>
      </c>
      <c r="C33" s="109" t="s">
        <v>130</v>
      </c>
      <c r="D33" s="109" t="str">
        <f t="shared" ref="D33:D34" si="31">"string"</f>
        <v>string</v>
      </c>
      <c r="E33" s="108">
        <v>64.0</v>
      </c>
      <c r="F33" s="124" t="s">
        <v>137</v>
      </c>
      <c r="G33" s="112" t="s">
        <v>134</v>
      </c>
      <c r="H33" s="108"/>
      <c r="I33" s="109"/>
      <c r="J33" s="109"/>
      <c r="K33" s="109" t="s">
        <v>120</v>
      </c>
      <c r="L33" s="112" t="s">
        <v>66</v>
      </c>
      <c r="M33" s="132" t="s">
        <v>138</v>
      </c>
      <c r="N33" s="132" t="s">
        <v>138</v>
      </c>
      <c r="O33" s="132" t="s">
        <v>138</v>
      </c>
      <c r="P33" s="113" t="s">
        <v>138</v>
      </c>
      <c r="Q33" s="132" t="s">
        <v>138</v>
      </c>
      <c r="R33" s="133" t="s">
        <v>139</v>
      </c>
      <c r="S33" s="133" t="s">
        <v>140</v>
      </c>
      <c r="T33" s="110" t="s">
        <v>141</v>
      </c>
      <c r="U33" s="133"/>
    </row>
    <row r="34">
      <c r="A34" s="108" t="s">
        <v>66</v>
      </c>
      <c r="B34" s="109" t="s">
        <v>142</v>
      </c>
      <c r="C34" s="109" t="s">
        <v>143</v>
      </c>
      <c r="D34" s="109" t="str">
        <f t="shared" si="31"/>
        <v>string</v>
      </c>
      <c r="E34" s="108">
        <v>64.0</v>
      </c>
      <c r="F34" s="124" t="s">
        <v>144</v>
      </c>
      <c r="G34" s="112" t="s">
        <v>134</v>
      </c>
      <c r="H34" s="108"/>
      <c r="I34" s="109"/>
      <c r="J34" s="109"/>
      <c r="K34" s="109" t="s">
        <v>120</v>
      </c>
      <c r="L34" s="112" t="s">
        <v>66</v>
      </c>
      <c r="M34" s="132" t="s">
        <v>145</v>
      </c>
      <c r="N34" s="132" t="s">
        <v>145</v>
      </c>
      <c r="O34" s="132" t="s">
        <v>145</v>
      </c>
      <c r="P34" s="113" t="s">
        <v>145</v>
      </c>
      <c r="Q34" s="132" t="s">
        <v>145</v>
      </c>
      <c r="R34" s="133"/>
      <c r="S34" s="133" t="s">
        <v>146</v>
      </c>
      <c r="T34" s="134" t="s">
        <v>147</v>
      </c>
      <c r="U34" s="133"/>
    </row>
    <row r="35">
      <c r="A35" s="108" t="s">
        <v>66</v>
      </c>
      <c r="B35" s="135" t="s">
        <v>148</v>
      </c>
      <c r="C35" s="113" t="s">
        <v>149</v>
      </c>
      <c r="D35" s="113" t="s">
        <v>131</v>
      </c>
      <c r="E35" s="111">
        <v>100.0</v>
      </c>
      <c r="F35" s="124" t="s">
        <v>150</v>
      </c>
      <c r="G35" s="136" t="s">
        <v>77</v>
      </c>
      <c r="H35" s="108"/>
      <c r="I35" s="109"/>
      <c r="J35" s="109"/>
      <c r="K35" s="109"/>
      <c r="L35" s="112" t="s">
        <v>66</v>
      </c>
      <c r="M35" s="132" t="s">
        <v>148</v>
      </c>
      <c r="N35" s="133" t="s">
        <v>151</v>
      </c>
      <c r="O35" s="132" t="s">
        <v>152</v>
      </c>
      <c r="P35" s="113" t="s">
        <v>152</v>
      </c>
      <c r="Q35" s="132" t="s">
        <v>152</v>
      </c>
      <c r="R35" s="132"/>
      <c r="S35" s="132"/>
      <c r="T35" s="132"/>
      <c r="U35" s="132"/>
    </row>
    <row r="36" ht="15.75" hidden="1" customHeight="1">
      <c r="A36" s="103"/>
      <c r="B36" s="104" t="str">
        <f>"CustomerPONo"</f>
        <v>CustomerPONo</v>
      </c>
      <c r="C36" s="104" t="str">
        <f>"yfs_order_header.customer_po_no"</f>
        <v>yfs_order_header.customer_po_no</v>
      </c>
      <c r="D36" s="104" t="str">
        <f t="shared" ref="D36:D43" si="32">"string"</f>
        <v>string</v>
      </c>
      <c r="E36" s="105" t="str">
        <f>"100"</f>
        <v>100</v>
      </c>
      <c r="F36" s="104" t="s">
        <v>153</v>
      </c>
      <c r="G36" s="103" t="str">
        <f t="shared" ref="G36:G43" si="33">"O"</f>
        <v>O</v>
      </c>
      <c r="H36" s="103" t="str">
        <f>"space"</f>
        <v>space</v>
      </c>
      <c r="I36" s="104" t="str">
        <f>""</f>
        <v/>
      </c>
      <c r="J36" s="104" t="str">
        <f>"123456789"</f>
        <v>123456789</v>
      </c>
      <c r="K36" s="104"/>
      <c r="L36" s="105"/>
      <c r="M36" s="104"/>
      <c r="N36" s="104"/>
      <c r="O36" s="104"/>
      <c r="P36" s="104"/>
      <c r="Q36" s="104"/>
      <c r="R36" s="104"/>
      <c r="S36" s="104"/>
      <c r="T36" s="107"/>
      <c r="U36" s="107"/>
    </row>
    <row r="37" ht="15.75" hidden="1" customHeight="1">
      <c r="A37" s="103" t="s">
        <v>92</v>
      </c>
      <c r="B37" s="104" t="str">
        <f>"CustomerRewardsNo"</f>
        <v>CustomerRewardsNo</v>
      </c>
      <c r="C37" s="104" t="str">
        <f>"yfs_order_header.customer_rewards_no"</f>
        <v>yfs_order_header.customer_rewards_no</v>
      </c>
      <c r="D37" s="104" t="str">
        <f t="shared" si="32"/>
        <v>string</v>
      </c>
      <c r="E37" s="105" t="str">
        <f>"40"</f>
        <v>40</v>
      </c>
      <c r="F37" s="118" t="s">
        <v>154</v>
      </c>
      <c r="G37" s="103" t="str">
        <f t="shared" si="33"/>
        <v>O</v>
      </c>
      <c r="H37" s="103" t="str">
        <f t="shared" ref="H37:J37" si="34">""</f>
        <v/>
      </c>
      <c r="I37" s="104" t="str">
        <f t="shared" si="34"/>
        <v/>
      </c>
      <c r="J37" s="104" t="str">
        <f t="shared" si="34"/>
        <v/>
      </c>
      <c r="K37" s="104"/>
      <c r="L37" s="105"/>
      <c r="M37" s="104"/>
      <c r="N37" s="104"/>
      <c r="O37" s="104"/>
      <c r="P37" s="104"/>
      <c r="Q37" s="104"/>
      <c r="R37" s="104"/>
      <c r="S37" s="104"/>
      <c r="T37" s="107"/>
      <c r="U37" s="107"/>
    </row>
    <row r="38" ht="15.75" hidden="1" customHeight="1">
      <c r="A38" s="103"/>
      <c r="B38" s="104" t="str">
        <f>"DefaultCustomerInformation"</f>
        <v>DefaultCustomerInformation</v>
      </c>
      <c r="C38" s="104" t="str">
        <f>""</f>
        <v/>
      </c>
      <c r="D38" s="104" t="str">
        <f t="shared" si="32"/>
        <v>string</v>
      </c>
      <c r="E38" s="105" t="str">
        <f t="shared" ref="E38:E39" si="36">"1"</f>
        <v>1</v>
      </c>
      <c r="F38" s="104" t="s">
        <v>155</v>
      </c>
      <c r="G38" s="103" t="str">
        <f t="shared" si="33"/>
        <v>O</v>
      </c>
      <c r="H38" s="103" t="str">
        <f t="shared" ref="H38:J38" si="35">""</f>
        <v/>
      </c>
      <c r="I38" s="104" t="str">
        <f t="shared" si="35"/>
        <v/>
      </c>
      <c r="J38" s="104" t="str">
        <f t="shared" si="35"/>
        <v/>
      </c>
      <c r="K38" s="104"/>
      <c r="L38" s="105"/>
      <c r="M38" s="104"/>
      <c r="N38" s="104"/>
      <c r="O38" s="104"/>
      <c r="P38" s="104"/>
      <c r="Q38" s="104"/>
      <c r="R38" s="104"/>
      <c r="S38" s="104"/>
      <c r="T38" s="107"/>
      <c r="U38" s="107"/>
    </row>
    <row r="39" ht="15.75" hidden="1" customHeight="1">
      <c r="A39" s="103"/>
      <c r="B39" s="104" t="str">
        <f>"DefaultTemplate"</f>
        <v>DefaultTemplate</v>
      </c>
      <c r="C39" s="104" t="str">
        <f>"yfs_order_header.default_template"</f>
        <v>yfs_order_header.default_template</v>
      </c>
      <c r="D39" s="104" t="str">
        <f t="shared" si="32"/>
        <v>string</v>
      </c>
      <c r="E39" s="105" t="str">
        <f t="shared" si="36"/>
        <v>1</v>
      </c>
      <c r="F39" s="104" t="s">
        <v>156</v>
      </c>
      <c r="G39" s="103" t="str">
        <f t="shared" si="33"/>
        <v>O</v>
      </c>
      <c r="H39" s="103" t="str">
        <f>"null"</f>
        <v>null</v>
      </c>
      <c r="I39" s="104" t="str">
        <f t="shared" ref="I39:J39" si="37">""</f>
        <v/>
      </c>
      <c r="J39" s="104" t="str">
        <f t="shared" si="37"/>
        <v/>
      </c>
      <c r="K39" s="104"/>
      <c r="L39" s="105"/>
      <c r="M39" s="104"/>
      <c r="N39" s="104"/>
      <c r="O39" s="104"/>
      <c r="P39" s="104"/>
      <c r="Q39" s="104"/>
      <c r="R39" s="104"/>
      <c r="S39" s="104"/>
      <c r="T39" s="107"/>
      <c r="U39" s="107"/>
    </row>
    <row r="40" ht="15.75" hidden="1" customHeight="1">
      <c r="A40" s="103"/>
      <c r="B40" s="104" t="str">
        <f>"DeliveryCode"</f>
        <v>DeliveryCode</v>
      </c>
      <c r="C40" s="104" t="str">
        <f>"yfs_order_header.delivery_code"</f>
        <v>yfs_order_header.delivery_code</v>
      </c>
      <c r="D40" s="104" t="str">
        <f t="shared" si="32"/>
        <v>string</v>
      </c>
      <c r="E40" s="105" t="str">
        <f>"40"</f>
        <v>40</v>
      </c>
      <c r="F40" s="118" t="s">
        <v>157</v>
      </c>
      <c r="G40" s="103" t="str">
        <f t="shared" si="33"/>
        <v>O</v>
      </c>
      <c r="H40" s="103" t="str">
        <f>"space"</f>
        <v>space</v>
      </c>
      <c r="I40" s="104" t="str">
        <f t="shared" ref="I40:J40" si="38">""</f>
        <v/>
      </c>
      <c r="J40" s="104" t="str">
        <f t="shared" si="38"/>
        <v/>
      </c>
      <c r="K40" s="104"/>
      <c r="L40" s="105"/>
      <c r="M40" s="104"/>
      <c r="N40" s="104"/>
      <c r="O40" s="104"/>
      <c r="P40" s="104"/>
      <c r="Q40" s="104"/>
      <c r="R40" s="104"/>
      <c r="S40" s="104"/>
      <c r="T40" s="107"/>
      <c r="U40" s="107"/>
    </row>
    <row r="41" ht="15.75" hidden="1" customHeight="1">
      <c r="A41" s="103"/>
      <c r="B41" s="104" t="str">
        <f>"DepartmentCode"</f>
        <v>DepartmentCode</v>
      </c>
      <c r="C41" s="104" t="str">
        <f>"yfs_order_header.department_code"</f>
        <v>yfs_order_header.department_code</v>
      </c>
      <c r="D41" s="104" t="str">
        <f t="shared" si="32"/>
        <v>string</v>
      </c>
      <c r="E41" s="105" t="str">
        <f>"20"</f>
        <v>20</v>
      </c>
      <c r="F41" s="104" t="s">
        <v>158</v>
      </c>
      <c r="G41" s="103" t="str">
        <f t="shared" si="33"/>
        <v>O</v>
      </c>
      <c r="H41" s="103" t="str">
        <f>"null"</f>
        <v>null</v>
      </c>
      <c r="I41" s="104" t="str">
        <f t="shared" ref="I41:J41" si="39">""</f>
        <v/>
      </c>
      <c r="J41" s="104" t="str">
        <f t="shared" si="39"/>
        <v/>
      </c>
      <c r="K41" s="104"/>
      <c r="L41" s="105"/>
      <c r="M41" s="104"/>
      <c r="N41" s="104"/>
      <c r="O41" s="104"/>
      <c r="P41" s="104"/>
      <c r="Q41" s="104"/>
      <c r="R41" s="104"/>
      <c r="S41" s="104"/>
      <c r="T41" s="107"/>
      <c r="U41" s="107"/>
    </row>
    <row r="42" ht="15.75" hidden="1" customHeight="1">
      <c r="A42" s="103"/>
      <c r="B42" s="104" t="str">
        <f>"Division"</f>
        <v>Division</v>
      </c>
      <c r="C42" s="104" t="str">
        <f>"yfs_order_header.division"</f>
        <v>yfs_order_header.division</v>
      </c>
      <c r="D42" s="104" t="str">
        <f t="shared" si="32"/>
        <v>string</v>
      </c>
      <c r="E42" s="105" t="str">
        <f>"10"</f>
        <v>10</v>
      </c>
      <c r="F42" s="104" t="s">
        <v>159</v>
      </c>
      <c r="G42" s="103" t="str">
        <f t="shared" si="33"/>
        <v>O</v>
      </c>
      <c r="H42" s="103" t="str">
        <f>"space"</f>
        <v>space</v>
      </c>
      <c r="I42" s="104" t="str">
        <f t="shared" ref="I42:J42" si="40">""</f>
        <v/>
      </c>
      <c r="J42" s="104" t="str">
        <f t="shared" si="40"/>
        <v/>
      </c>
      <c r="K42" s="104"/>
      <c r="L42" s="105"/>
      <c r="M42" s="104"/>
      <c r="N42" s="104"/>
      <c r="O42" s="104"/>
      <c r="P42" s="104"/>
      <c r="Q42" s="104"/>
      <c r="R42" s="104"/>
      <c r="S42" s="104"/>
      <c r="T42" s="107"/>
      <c r="U42" s="107"/>
    </row>
    <row r="43" ht="15.75" hidden="1" customHeight="1">
      <c r="A43" s="103"/>
      <c r="B43" s="104" t="str">
        <f>"DoNotConsolidate"</f>
        <v>DoNotConsolidate</v>
      </c>
      <c r="C43" s="104" t="str">
        <f>"yfs_order_header.do_not_consolidate"</f>
        <v>yfs_order_header.do_not_consolidate</v>
      </c>
      <c r="D43" s="104" t="str">
        <f t="shared" si="32"/>
        <v>string</v>
      </c>
      <c r="E43" s="105" t="str">
        <f>"1"</f>
        <v>1</v>
      </c>
      <c r="F43" s="104" t="s">
        <v>160</v>
      </c>
      <c r="G43" s="103" t="str">
        <f t="shared" si="33"/>
        <v>O</v>
      </c>
      <c r="H43" s="103" t="str">
        <f>"N"</f>
        <v>N</v>
      </c>
      <c r="I43" s="104" t="str">
        <f t="shared" ref="I43:J43" si="41">""</f>
        <v/>
      </c>
      <c r="J43" s="104" t="str">
        <f t="shared" si="41"/>
        <v/>
      </c>
      <c r="K43" s="104"/>
      <c r="L43" s="105"/>
      <c r="M43" s="104"/>
      <c r="N43" s="104"/>
      <c r="O43" s="104"/>
      <c r="P43" s="104"/>
      <c r="Q43" s="104"/>
      <c r="R43" s="104"/>
      <c r="S43" s="104"/>
      <c r="T43" s="107"/>
      <c r="U43" s="107"/>
    </row>
    <row r="44" ht="15.75" hidden="1" customHeight="1">
      <c r="A44" s="103"/>
      <c r="B44" s="104" t="s">
        <v>161</v>
      </c>
      <c r="C44" s="104"/>
      <c r="D44" s="104"/>
      <c r="E44" s="105"/>
      <c r="F44" s="104"/>
      <c r="G44" s="103"/>
      <c r="H44" s="103"/>
      <c r="I44" s="104"/>
      <c r="J44" s="104"/>
      <c r="K44" s="104"/>
      <c r="L44" s="119" t="s">
        <v>66</v>
      </c>
      <c r="M44" s="104"/>
      <c r="N44" s="104"/>
      <c r="O44" s="104"/>
      <c r="P44" s="104"/>
      <c r="Q44" s="104"/>
      <c r="R44" s="104"/>
      <c r="S44" s="104"/>
      <c r="T44" s="107"/>
      <c r="U44" s="107"/>
    </row>
    <row r="45" ht="15.75" hidden="1" customHeight="1">
      <c r="A45" s="103"/>
      <c r="B45" s="104" t="s">
        <v>148</v>
      </c>
      <c r="C45" s="104"/>
      <c r="D45" s="104"/>
      <c r="E45" s="105"/>
      <c r="F45" s="137" t="s">
        <v>162</v>
      </c>
      <c r="G45" s="103"/>
      <c r="H45" s="103"/>
      <c r="I45" s="104"/>
      <c r="J45" s="104"/>
      <c r="K45" s="104"/>
      <c r="L45" s="119" t="s">
        <v>66</v>
      </c>
      <c r="M45" s="104"/>
      <c r="N45" s="104"/>
      <c r="O45" s="104"/>
      <c r="P45" s="104"/>
      <c r="Q45" s="104"/>
      <c r="R45" s="104"/>
      <c r="S45" s="104"/>
      <c r="T45" s="107"/>
      <c r="U45" s="107"/>
    </row>
    <row r="46" ht="15.75" hidden="1" customHeight="1">
      <c r="A46" s="103"/>
      <c r="B46" s="104" t="s">
        <v>163</v>
      </c>
      <c r="C46" s="104"/>
      <c r="D46" s="104"/>
      <c r="E46" s="105"/>
      <c r="F46" s="137" t="s">
        <v>162</v>
      </c>
      <c r="G46" s="103"/>
      <c r="H46" s="103"/>
      <c r="I46" s="104"/>
      <c r="J46" s="104"/>
      <c r="K46" s="104"/>
      <c r="L46" s="119" t="s">
        <v>66</v>
      </c>
      <c r="M46" s="104"/>
      <c r="N46" s="104"/>
      <c r="O46" s="104"/>
      <c r="P46" s="104"/>
      <c r="Q46" s="104"/>
      <c r="R46" s="104"/>
      <c r="S46" s="104"/>
      <c r="T46" s="107"/>
      <c r="U46" s="107"/>
    </row>
    <row r="47" ht="15.75" hidden="1" customHeight="1">
      <c r="A47" s="103"/>
      <c r="B47" s="104" t="s">
        <v>164</v>
      </c>
      <c r="C47" s="104"/>
      <c r="D47" s="104"/>
      <c r="E47" s="105"/>
      <c r="F47" s="137" t="s">
        <v>165</v>
      </c>
      <c r="G47" s="103"/>
      <c r="H47" s="103"/>
      <c r="I47" s="104"/>
      <c r="J47" s="104"/>
      <c r="K47" s="104"/>
      <c r="L47" s="119" t="s">
        <v>66</v>
      </c>
      <c r="M47" s="104"/>
      <c r="N47" s="104"/>
      <c r="O47" s="104"/>
      <c r="P47" s="104"/>
      <c r="Q47" s="104"/>
      <c r="R47" s="104"/>
      <c r="S47" s="104"/>
      <c r="T47" s="107"/>
      <c r="U47" s="107"/>
    </row>
    <row r="48" ht="15.75" hidden="1" customHeight="1">
      <c r="A48" s="103"/>
      <c r="B48" s="104" t="s">
        <v>166</v>
      </c>
      <c r="C48" s="104"/>
      <c r="D48" s="104"/>
      <c r="E48" s="105"/>
      <c r="F48" s="137" t="s">
        <v>167</v>
      </c>
      <c r="G48" s="103"/>
      <c r="H48" s="103"/>
      <c r="I48" s="104"/>
      <c r="J48" s="104"/>
      <c r="K48" s="104"/>
      <c r="L48" s="119" t="s">
        <v>66</v>
      </c>
      <c r="M48" s="104"/>
      <c r="N48" s="104"/>
      <c r="O48" s="104"/>
      <c r="P48" s="104"/>
      <c r="Q48" s="104"/>
      <c r="R48" s="104"/>
      <c r="S48" s="104"/>
      <c r="T48" s="107"/>
      <c r="U48" s="107"/>
    </row>
    <row r="49" ht="15.75" hidden="1" customHeight="1">
      <c r="A49" s="103"/>
      <c r="B49" s="104" t="s">
        <v>168</v>
      </c>
      <c r="C49" s="104"/>
      <c r="D49" s="104"/>
      <c r="E49" s="105"/>
      <c r="F49" s="137" t="s">
        <v>167</v>
      </c>
      <c r="G49" s="103"/>
      <c r="H49" s="103"/>
      <c r="I49" s="104"/>
      <c r="J49" s="104"/>
      <c r="K49" s="104"/>
      <c r="L49" s="119" t="s">
        <v>66</v>
      </c>
      <c r="M49" s="104"/>
      <c r="N49" s="104"/>
      <c r="O49" s="104"/>
      <c r="P49" s="104"/>
      <c r="Q49" s="104"/>
      <c r="R49" s="104"/>
      <c r="S49" s="104"/>
      <c r="T49" s="107"/>
      <c r="U49" s="107"/>
    </row>
    <row r="50">
      <c r="A50" s="108" t="s">
        <v>66</v>
      </c>
      <c r="B50" s="135" t="s">
        <v>163</v>
      </c>
      <c r="C50" s="138" t="s">
        <v>169</v>
      </c>
      <c r="D50" s="138" t="s">
        <v>131</v>
      </c>
      <c r="E50" s="111">
        <v>40.0</v>
      </c>
      <c r="F50" s="139" t="s">
        <v>170</v>
      </c>
      <c r="G50" s="136" t="s">
        <v>77</v>
      </c>
      <c r="H50" s="140"/>
      <c r="I50" s="141"/>
      <c r="J50" s="141"/>
      <c r="K50" s="141"/>
      <c r="L50" s="112" t="s">
        <v>66</v>
      </c>
      <c r="M50" s="133" t="s">
        <v>171</v>
      </c>
      <c r="N50" s="133" t="s">
        <v>172</v>
      </c>
      <c r="O50" s="133" t="s">
        <v>173</v>
      </c>
      <c r="P50" s="133" t="s">
        <v>174</v>
      </c>
      <c r="Q50" s="133" t="s">
        <v>175</v>
      </c>
      <c r="R50" s="133"/>
      <c r="S50" s="133"/>
      <c r="T50" s="133"/>
      <c r="U50" s="133"/>
    </row>
    <row r="51">
      <c r="A51" s="111" t="s">
        <v>66</v>
      </c>
      <c r="B51" s="135" t="s">
        <v>166</v>
      </c>
      <c r="C51" s="138" t="s">
        <v>176</v>
      </c>
      <c r="D51" s="138" t="s">
        <v>131</v>
      </c>
      <c r="E51" s="111">
        <v>20.0</v>
      </c>
      <c r="F51" s="142" t="s">
        <v>177</v>
      </c>
      <c r="G51" s="136" t="s">
        <v>77</v>
      </c>
      <c r="H51" s="140"/>
      <c r="I51" s="141"/>
      <c r="J51" s="141"/>
      <c r="K51" s="141"/>
      <c r="L51" s="112" t="s">
        <v>66</v>
      </c>
      <c r="M51" s="143" t="s">
        <v>178</v>
      </c>
      <c r="N51" s="143" t="s">
        <v>179</v>
      </c>
      <c r="O51" s="143" t="s">
        <v>180</v>
      </c>
      <c r="P51" s="143" t="s">
        <v>181</v>
      </c>
      <c r="Q51" s="132" t="s">
        <v>182</v>
      </c>
      <c r="R51" s="135"/>
      <c r="S51" s="135"/>
      <c r="T51" s="135"/>
      <c r="U51" s="135"/>
    </row>
    <row r="52">
      <c r="A52" s="111" t="s">
        <v>66</v>
      </c>
      <c r="B52" s="144" t="s">
        <v>168</v>
      </c>
      <c r="C52" s="138" t="s">
        <v>183</v>
      </c>
      <c r="D52" s="138" t="s">
        <v>131</v>
      </c>
      <c r="E52" s="111">
        <v>10.0</v>
      </c>
      <c r="F52" s="142" t="s">
        <v>184</v>
      </c>
      <c r="G52" s="136" t="s">
        <v>77</v>
      </c>
      <c r="H52" s="140"/>
      <c r="I52" s="141"/>
      <c r="J52" s="141"/>
      <c r="K52" s="141"/>
      <c r="L52" s="112" t="s">
        <v>66</v>
      </c>
      <c r="M52" s="143" t="s">
        <v>185</v>
      </c>
      <c r="N52" s="143" t="s">
        <v>186</v>
      </c>
      <c r="O52" s="143" t="s">
        <v>187</v>
      </c>
      <c r="P52" s="143" t="s">
        <v>188</v>
      </c>
      <c r="Q52" s="145" t="s">
        <v>189</v>
      </c>
      <c r="R52" s="135"/>
      <c r="S52" s="135"/>
      <c r="T52" s="135"/>
      <c r="U52" s="135"/>
    </row>
    <row r="53">
      <c r="A53" s="108" t="s">
        <v>66</v>
      </c>
      <c r="B53" s="141" t="str">
        <f>"DocumentType"</f>
        <v>DocumentType</v>
      </c>
      <c r="C53" s="141" t="str">
        <f>"yfs_order_header.document_type"</f>
        <v>yfs_order_header.document_type</v>
      </c>
      <c r="D53" s="141" t="str">
        <f t="shared" ref="D53:D58" si="42">"string"</f>
        <v>string</v>
      </c>
      <c r="E53" s="108" t="str">
        <f>"40"</f>
        <v>40</v>
      </c>
      <c r="F53" s="146" t="s">
        <v>190</v>
      </c>
      <c r="G53" s="112" t="s">
        <v>134</v>
      </c>
      <c r="H53" s="140" t="str">
        <f>"0001"</f>
        <v>0001</v>
      </c>
      <c r="I53" s="141" t="str">
        <f t="shared" ref="I53:I56" si="43">""</f>
        <v/>
      </c>
      <c r="J53" s="141" t="str">
        <f>"0001"</f>
        <v>0001</v>
      </c>
      <c r="K53" s="141" t="s">
        <v>120</v>
      </c>
      <c r="L53" s="112" t="s">
        <v>66</v>
      </c>
      <c r="M53" s="147" t="s">
        <v>191</v>
      </c>
      <c r="N53" s="147" t="s">
        <v>191</v>
      </c>
      <c r="O53" s="147" t="s">
        <v>191</v>
      </c>
      <c r="P53" s="147" t="s">
        <v>191</v>
      </c>
      <c r="Q53" s="132" t="s">
        <v>191</v>
      </c>
      <c r="R53" s="147" t="s">
        <v>192</v>
      </c>
      <c r="S53" s="147" t="s">
        <v>193</v>
      </c>
      <c r="T53" s="147"/>
      <c r="U53" s="147"/>
    </row>
    <row r="54" ht="15.75" hidden="1" customHeight="1">
      <c r="A54" s="118"/>
      <c r="B54" s="118" t="str">
        <f>"DraftOrderFlag"</f>
        <v>DraftOrderFlag</v>
      </c>
      <c r="C54" s="118" t="str">
        <f>"yfs_order_header.draft_order_flag"</f>
        <v>yfs_order_header.draft_order_flag</v>
      </c>
      <c r="D54" s="118" t="str">
        <f t="shared" si="42"/>
        <v>string</v>
      </c>
      <c r="E54" s="118" t="str">
        <f>"1"</f>
        <v>1</v>
      </c>
      <c r="F54" s="118" t="s">
        <v>194</v>
      </c>
      <c r="G54" s="118" t="str">
        <f t="shared" ref="G54:G55" si="44">"O"</f>
        <v>O</v>
      </c>
      <c r="H54" s="118" t="str">
        <f>"space"</f>
        <v>space</v>
      </c>
      <c r="I54" s="118" t="str">
        <f t="shared" si="43"/>
        <v/>
      </c>
      <c r="J54" s="118" t="str">
        <f>"Y"</f>
        <v>Y</v>
      </c>
      <c r="K54" s="118"/>
      <c r="L54" s="118"/>
      <c r="M54" s="118"/>
      <c r="N54" s="118"/>
      <c r="O54" s="118"/>
      <c r="P54" s="118"/>
      <c r="Q54" s="118"/>
      <c r="R54" s="118"/>
      <c r="S54" s="118"/>
      <c r="T54" s="148"/>
      <c r="U54" s="148"/>
    </row>
    <row r="55" ht="15.75" hidden="1" customHeight="1">
      <c r="A55" s="118" t="s">
        <v>92</v>
      </c>
      <c r="B55" s="118" t="str">
        <f>"EnteredBy"</f>
        <v>EnteredBy</v>
      </c>
      <c r="C55" s="118" t="str">
        <f>"yfs_order_header.entered_by"</f>
        <v>yfs_order_header.entered_by</v>
      </c>
      <c r="D55" s="118" t="str">
        <f t="shared" si="42"/>
        <v>string</v>
      </c>
      <c r="E55" s="118" t="str">
        <f>"254"</f>
        <v>254</v>
      </c>
      <c r="F55" s="118" t="s">
        <v>195</v>
      </c>
      <c r="G55" s="118" t="str">
        <f t="shared" si="44"/>
        <v>O</v>
      </c>
      <c r="H55" s="118" t="str">
        <f>"null"</f>
        <v>null</v>
      </c>
      <c r="I55" s="118" t="str">
        <f t="shared" si="43"/>
        <v/>
      </c>
      <c r="J55" s="118" t="str">
        <f>""</f>
        <v/>
      </c>
      <c r="K55" s="118"/>
      <c r="L55" s="118"/>
      <c r="M55" s="118"/>
      <c r="N55" s="118"/>
      <c r="O55" s="118"/>
      <c r="P55" s="118"/>
      <c r="Q55" s="118"/>
      <c r="R55" s="118"/>
      <c r="S55" s="118"/>
      <c r="T55" s="148"/>
      <c r="U55" s="148"/>
    </row>
    <row r="56">
      <c r="A56" s="140" t="s">
        <v>66</v>
      </c>
      <c r="B56" s="141" t="str">
        <f>"EnterpriseCode"</f>
        <v>EnterpriseCode</v>
      </c>
      <c r="C56" s="138" t="s">
        <v>196</v>
      </c>
      <c r="D56" s="141" t="str">
        <f t="shared" si="42"/>
        <v>string</v>
      </c>
      <c r="E56" s="108" t="str">
        <f>"24"</f>
        <v>24</v>
      </c>
      <c r="F56" s="131" t="s">
        <v>197</v>
      </c>
      <c r="G56" s="112" t="s">
        <v>134</v>
      </c>
      <c r="H56" s="149" t="s">
        <v>198</v>
      </c>
      <c r="I56" s="141" t="str">
        <f t="shared" si="43"/>
        <v/>
      </c>
      <c r="J56" s="150" t="s">
        <v>198</v>
      </c>
      <c r="K56" s="141" t="s">
        <v>120</v>
      </c>
      <c r="L56" s="112" t="s">
        <v>66</v>
      </c>
      <c r="M56" s="147" t="s">
        <v>199</v>
      </c>
      <c r="N56" s="147" t="s">
        <v>199</v>
      </c>
      <c r="O56" s="147" t="s">
        <v>199</v>
      </c>
      <c r="P56" s="113" t="s">
        <v>199</v>
      </c>
      <c r="Q56" s="147" t="s">
        <v>199</v>
      </c>
      <c r="R56" s="151" t="s">
        <v>200</v>
      </c>
      <c r="S56" s="147" t="s">
        <v>201</v>
      </c>
      <c r="T56" s="147"/>
      <c r="U56" s="147"/>
    </row>
    <row r="57">
      <c r="A57" s="140" t="s">
        <v>66</v>
      </c>
      <c r="B57" s="141" t="str">
        <f>"EntryType"</f>
        <v>EntryType</v>
      </c>
      <c r="C57" s="141" t="str">
        <f>"yfs_order_header.entry_type"</f>
        <v>yfs_order_header.entry_type</v>
      </c>
      <c r="D57" s="141" t="str">
        <f t="shared" si="42"/>
        <v>string</v>
      </c>
      <c r="E57" s="108" t="str">
        <f>"20"</f>
        <v>20</v>
      </c>
      <c r="F57" s="152" t="s">
        <v>202</v>
      </c>
      <c r="G57" s="112" t="s">
        <v>134</v>
      </c>
      <c r="H57" s="140" t="str">
        <f>""</f>
        <v/>
      </c>
      <c r="I57" s="153" t="s">
        <v>203</v>
      </c>
      <c r="J57" s="141" t="s">
        <v>204</v>
      </c>
      <c r="K57" s="141" t="s">
        <v>120</v>
      </c>
      <c r="L57" s="112" t="s">
        <v>92</v>
      </c>
      <c r="M57" s="154" t="s">
        <v>205</v>
      </c>
      <c r="N57" s="154" t="s">
        <v>205</v>
      </c>
      <c r="O57" s="147" t="s">
        <v>206</v>
      </c>
      <c r="P57" s="147" t="s">
        <v>207</v>
      </c>
      <c r="Q57" s="147" t="s">
        <v>208</v>
      </c>
      <c r="R57" s="147"/>
      <c r="S57" s="147"/>
      <c r="T57" s="155" t="s">
        <v>209</v>
      </c>
      <c r="U57" s="147"/>
    </row>
    <row r="58" ht="15.75" hidden="1" customHeight="1">
      <c r="A58" s="118"/>
      <c r="B58" s="118" t="str">
        <f>"ExchangeType"</f>
        <v>ExchangeType</v>
      </c>
      <c r="C58" s="118" t="str">
        <f>"yfs_order_header.exchange_type"</f>
        <v>yfs_order_header.exchange_type</v>
      </c>
      <c r="D58" s="118" t="str">
        <f t="shared" si="42"/>
        <v>string</v>
      </c>
      <c r="E58" s="118" t="str">
        <f>"40"</f>
        <v>40</v>
      </c>
      <c r="F58" s="118" t="s">
        <v>210</v>
      </c>
      <c r="G58" s="118" t="str">
        <f t="shared" ref="G58:G79" si="45">"O"</f>
        <v>O</v>
      </c>
      <c r="H58" s="118" t="str">
        <f>"null"</f>
        <v>null</v>
      </c>
      <c r="I58" s="118" t="str">
        <f>"REGULAR, ADVANCED_PP, ADVANCED, ,  "</f>
        <v>REGULAR, ADVANCED_PP, ADVANCED, ,  </v>
      </c>
      <c r="J58" s="118" t="str">
        <f>""</f>
        <v/>
      </c>
      <c r="K58" s="118"/>
      <c r="L58" s="118"/>
      <c r="M58" s="118"/>
      <c r="N58" s="118"/>
      <c r="O58" s="118"/>
      <c r="P58" s="118"/>
      <c r="Q58" s="118"/>
      <c r="R58" s="118"/>
      <c r="S58" s="118"/>
      <c r="T58" s="148"/>
      <c r="U58" s="148"/>
    </row>
    <row r="59" ht="15.75" hidden="1" customHeight="1">
      <c r="A59" s="118"/>
      <c r="B59" s="118" t="str">
        <f>"ExpirationDate"</f>
        <v>ExpirationDate</v>
      </c>
      <c r="C59" s="118" t="str">
        <f>"yfs_order_header.expiration_date"</f>
        <v>yfs_order_header.expiration_date</v>
      </c>
      <c r="D59" s="118" t="str">
        <f>"UNKNOWN"</f>
        <v>UNKNOWN</v>
      </c>
      <c r="E59" s="118" t="str">
        <f>""</f>
        <v/>
      </c>
      <c r="F59" s="118" t="s">
        <v>211</v>
      </c>
      <c r="G59" s="118" t="str">
        <f t="shared" si="45"/>
        <v>O</v>
      </c>
      <c r="H59" s="118" t="str">
        <f t="shared" ref="H59:J59" si="46">""</f>
        <v/>
      </c>
      <c r="I59" s="118" t="str">
        <f t="shared" si="46"/>
        <v/>
      </c>
      <c r="J59" s="118" t="str">
        <f t="shared" si="46"/>
        <v/>
      </c>
      <c r="K59" s="118"/>
      <c r="L59" s="118"/>
      <c r="M59" s="118"/>
      <c r="N59" s="118"/>
      <c r="O59" s="118"/>
      <c r="P59" s="118"/>
      <c r="Q59" s="118"/>
      <c r="R59" s="118"/>
      <c r="S59" s="118"/>
      <c r="T59" s="148"/>
      <c r="U59" s="148"/>
    </row>
    <row r="60" ht="15.75" hidden="1" customHeight="1">
      <c r="A60" s="118"/>
      <c r="B60" s="118" t="str">
        <f>"FreightTerms"</f>
        <v>FreightTerms</v>
      </c>
      <c r="C60" s="118" t="str">
        <f>""</f>
        <v/>
      </c>
      <c r="D60" s="118" t="str">
        <f t="shared" ref="D60:D63" si="48">"string"</f>
        <v>string</v>
      </c>
      <c r="E60" s="118" t="str">
        <f>"40"</f>
        <v>40</v>
      </c>
      <c r="F60" s="118" t="s">
        <v>83</v>
      </c>
      <c r="G60" s="118" t="str">
        <f t="shared" si="45"/>
        <v>O</v>
      </c>
      <c r="H60" s="118" t="str">
        <f t="shared" ref="H60:J60" si="47">""</f>
        <v/>
      </c>
      <c r="I60" s="118" t="str">
        <f t="shared" si="47"/>
        <v/>
      </c>
      <c r="J60" s="118" t="str">
        <f t="shared" si="47"/>
        <v/>
      </c>
      <c r="K60" s="118"/>
      <c r="L60" s="118"/>
      <c r="M60" s="118"/>
      <c r="N60" s="118"/>
      <c r="O60" s="118"/>
      <c r="P60" s="118"/>
      <c r="Q60" s="118"/>
      <c r="R60" s="118"/>
      <c r="S60" s="118"/>
      <c r="T60" s="148"/>
      <c r="U60" s="148"/>
    </row>
    <row r="61" ht="15.75" hidden="1" customHeight="1">
      <c r="A61" s="118"/>
      <c r="B61" s="118" t="str">
        <f>"HasDerivedParent"</f>
        <v>HasDerivedParent</v>
      </c>
      <c r="C61" s="118" t="str">
        <f>"yfs_order_header.has_derived_parent"</f>
        <v>yfs_order_header.has_derived_parent</v>
      </c>
      <c r="D61" s="118" t="str">
        <f t="shared" si="48"/>
        <v>string</v>
      </c>
      <c r="E61" s="118" t="str">
        <f t="shared" ref="E61:E62" si="50">"1"</f>
        <v>1</v>
      </c>
      <c r="F61" s="118" t="s">
        <v>212</v>
      </c>
      <c r="G61" s="118" t="str">
        <f t="shared" si="45"/>
        <v>O</v>
      </c>
      <c r="H61" s="118" t="str">
        <f t="shared" ref="H61:H63" si="51">"space"</f>
        <v>space</v>
      </c>
      <c r="I61" s="118" t="str">
        <f t="shared" ref="I61:J61" si="49">""</f>
        <v/>
      </c>
      <c r="J61" s="118" t="str">
        <f t="shared" si="49"/>
        <v/>
      </c>
      <c r="K61" s="118"/>
      <c r="L61" s="118"/>
      <c r="M61" s="118"/>
      <c r="N61" s="118"/>
      <c r="O61" s="118"/>
      <c r="P61" s="118"/>
      <c r="Q61" s="118"/>
      <c r="R61" s="118"/>
      <c r="S61" s="118"/>
      <c r="T61" s="148"/>
      <c r="U61" s="148"/>
    </row>
    <row r="62" ht="15.75" hidden="1" customHeight="1">
      <c r="A62" s="118"/>
      <c r="B62" s="118" t="str">
        <f>"HoldFlag"</f>
        <v>HoldFlag</v>
      </c>
      <c r="C62" s="118" t="str">
        <f>"yfs_order_header.hold_flag"</f>
        <v>yfs_order_header.hold_flag</v>
      </c>
      <c r="D62" s="118" t="str">
        <f t="shared" si="48"/>
        <v>string</v>
      </c>
      <c r="E62" s="118" t="str">
        <f t="shared" si="50"/>
        <v>1</v>
      </c>
      <c r="F62" s="118" t="s">
        <v>213</v>
      </c>
      <c r="G62" s="118" t="str">
        <f t="shared" si="45"/>
        <v>O</v>
      </c>
      <c r="H62" s="118" t="str">
        <f t="shared" si="51"/>
        <v>space</v>
      </c>
      <c r="I62" s="118" t="str">
        <f t="shared" ref="I62:I64" si="52">""</f>
        <v/>
      </c>
      <c r="J62" s="118" t="str">
        <f>"Y"</f>
        <v>Y</v>
      </c>
      <c r="K62" s="118"/>
      <c r="L62" s="118"/>
      <c r="M62" s="118"/>
      <c r="N62" s="118"/>
      <c r="O62" s="118"/>
      <c r="P62" s="118"/>
      <c r="Q62" s="118"/>
      <c r="R62" s="118"/>
      <c r="S62" s="118"/>
      <c r="T62" s="148"/>
      <c r="U62" s="148"/>
    </row>
    <row r="63" ht="15.75" hidden="1" customHeight="1">
      <c r="A63" s="118"/>
      <c r="B63" s="118" t="str">
        <f>"HoldReasonCode"</f>
        <v>HoldReasonCode</v>
      </c>
      <c r="C63" s="118" t="str">
        <f>"yfs_order_header.hold_reason_code"</f>
        <v>yfs_order_header.hold_reason_code</v>
      </c>
      <c r="D63" s="118" t="str">
        <f t="shared" si="48"/>
        <v>string</v>
      </c>
      <c r="E63" s="118" t="str">
        <f>"40"</f>
        <v>40</v>
      </c>
      <c r="F63" s="118" t="s">
        <v>214</v>
      </c>
      <c r="G63" s="118" t="str">
        <f t="shared" si="45"/>
        <v>O</v>
      </c>
      <c r="H63" s="118" t="str">
        <f t="shared" si="51"/>
        <v>space</v>
      </c>
      <c r="I63" s="118" t="str">
        <f t="shared" si="52"/>
        <v/>
      </c>
      <c r="J63" s="118" t="str">
        <f t="shared" ref="J63:J64" si="53">""</f>
        <v/>
      </c>
      <c r="K63" s="118"/>
      <c r="L63" s="118"/>
      <c r="M63" s="118"/>
      <c r="N63" s="118"/>
      <c r="O63" s="118"/>
      <c r="P63" s="118"/>
      <c r="Q63" s="118"/>
      <c r="R63" s="118"/>
      <c r="S63" s="118"/>
      <c r="T63" s="148"/>
      <c r="U63" s="148"/>
    </row>
    <row r="64" ht="15.75" hidden="1" customHeight="1">
      <c r="A64" s="118"/>
      <c r="B64" s="118" t="str">
        <f>"HoursBeforeNextIteration"</f>
        <v>HoursBeforeNextIteration</v>
      </c>
      <c r="C64" s="118" t="str">
        <f>"yfs_order_header.hrs_before_next_iter"</f>
        <v>yfs_order_header.hrs_before_next_iter</v>
      </c>
      <c r="D64" s="118" t="str">
        <f>"UNKNOWN"</f>
        <v>UNKNOWN</v>
      </c>
      <c r="E64" s="118" t="str">
        <f>""</f>
        <v/>
      </c>
      <c r="F64" s="118" t="s">
        <v>215</v>
      </c>
      <c r="G64" s="118" t="str">
        <f t="shared" si="45"/>
        <v>O</v>
      </c>
      <c r="H64" s="118" t="str">
        <f>"null"</f>
        <v>null</v>
      </c>
      <c r="I64" s="118" t="str">
        <f t="shared" si="52"/>
        <v/>
      </c>
      <c r="J64" s="118" t="str">
        <f t="shared" si="53"/>
        <v/>
      </c>
      <c r="K64" s="118"/>
      <c r="L64" s="118"/>
      <c r="M64" s="118"/>
      <c r="N64" s="118"/>
      <c r="O64" s="118"/>
      <c r="P64" s="118"/>
      <c r="Q64" s="118"/>
      <c r="R64" s="118"/>
      <c r="S64" s="118"/>
      <c r="T64" s="148"/>
      <c r="U64" s="148"/>
    </row>
    <row r="65" ht="15.75" hidden="1" customHeight="1">
      <c r="A65" s="118"/>
      <c r="B65" s="118" t="str">
        <f>"InStorePaymentRequired"</f>
        <v>InStorePaymentRequired</v>
      </c>
      <c r="C65" s="118" t="str">
        <f>"yfs_order_header.in_store_payment_required"</f>
        <v>yfs_order_header.in_store_payment_required</v>
      </c>
      <c r="D65" s="118" t="str">
        <f t="shared" ref="D65:D72" si="55">"string"</f>
        <v>string</v>
      </c>
      <c r="E65" s="118" t="str">
        <f t="shared" ref="E65:E70" si="56">"1"</f>
        <v>1</v>
      </c>
      <c r="F65" s="118" t="s">
        <v>216</v>
      </c>
      <c r="G65" s="118" t="str">
        <f t="shared" si="45"/>
        <v>O</v>
      </c>
      <c r="H65" s="118" t="str">
        <f t="shared" ref="H65:J65" si="54">""</f>
        <v/>
      </c>
      <c r="I65" s="118" t="str">
        <f t="shared" si="54"/>
        <v/>
      </c>
      <c r="J65" s="118" t="str">
        <f t="shared" si="54"/>
        <v/>
      </c>
      <c r="K65" s="118"/>
      <c r="L65" s="118"/>
      <c r="M65" s="118"/>
      <c r="N65" s="118"/>
      <c r="O65" s="118"/>
      <c r="P65" s="118"/>
      <c r="Q65" s="118"/>
      <c r="R65" s="118"/>
      <c r="S65" s="118"/>
      <c r="T65" s="148"/>
      <c r="U65" s="148"/>
    </row>
    <row r="66" ht="15.75" hidden="1" customHeight="1">
      <c r="A66" s="118"/>
      <c r="B66" s="118" t="str">
        <f>"IsExpirationDateOverridden"</f>
        <v>IsExpirationDateOverridden</v>
      </c>
      <c r="C66" s="118" t="str">
        <f>"yfs_order_header.is_expiration_date_overridden"</f>
        <v>yfs_order_header.is_expiration_date_overridden</v>
      </c>
      <c r="D66" s="118" t="str">
        <f t="shared" si="55"/>
        <v>string</v>
      </c>
      <c r="E66" s="118" t="str">
        <f t="shared" si="56"/>
        <v>1</v>
      </c>
      <c r="F66" s="118" t="s">
        <v>217</v>
      </c>
      <c r="G66" s="118" t="str">
        <f t="shared" si="45"/>
        <v>O</v>
      </c>
      <c r="H66" s="118" t="str">
        <f t="shared" ref="H66:J66" si="57">""</f>
        <v/>
      </c>
      <c r="I66" s="118" t="str">
        <f t="shared" si="57"/>
        <v/>
      </c>
      <c r="J66" s="118" t="str">
        <f t="shared" si="57"/>
        <v/>
      </c>
      <c r="K66" s="118"/>
      <c r="L66" s="118"/>
      <c r="M66" s="118"/>
      <c r="N66" s="118"/>
      <c r="O66" s="118"/>
      <c r="P66" s="118"/>
      <c r="Q66" s="118"/>
      <c r="R66" s="118"/>
      <c r="S66" s="118"/>
      <c r="T66" s="148"/>
      <c r="U66" s="148"/>
    </row>
    <row r="67" ht="15.75" hidden="1" customHeight="1">
      <c r="A67" s="118"/>
      <c r="B67" s="118" t="str">
        <f>"IsLineShipComplete"</f>
        <v>IsLineShipComplete</v>
      </c>
      <c r="C67" s="118" t="str">
        <f>"yfs_order_header.is_line_ship_complete"</f>
        <v>yfs_order_header.is_line_ship_complete</v>
      </c>
      <c r="D67" s="118" t="str">
        <f t="shared" si="55"/>
        <v>string</v>
      </c>
      <c r="E67" s="118" t="str">
        <f t="shared" si="56"/>
        <v>1</v>
      </c>
      <c r="F67" s="118" t="s">
        <v>218</v>
      </c>
      <c r="G67" s="118" t="str">
        <f t="shared" si="45"/>
        <v>O</v>
      </c>
      <c r="H67" s="118" t="str">
        <f t="shared" ref="H67:H71" si="58">"null"</f>
        <v>null</v>
      </c>
      <c r="I67" s="118" t="str">
        <f t="shared" ref="I67:I70" si="59">"Y, N, "</f>
        <v>Y, N, </v>
      </c>
      <c r="J67" s="118" t="str">
        <f t="shared" ref="J67:J70" si="60">"Y"</f>
        <v>Y</v>
      </c>
      <c r="K67" s="118"/>
      <c r="L67" s="118"/>
      <c r="M67" s="118"/>
      <c r="N67" s="118"/>
      <c r="O67" s="118"/>
      <c r="P67" s="118"/>
      <c r="Q67" s="118"/>
      <c r="R67" s="118"/>
      <c r="S67" s="118"/>
      <c r="T67" s="148"/>
      <c r="U67" s="148"/>
    </row>
    <row r="68" ht="15.75" hidden="1" customHeight="1">
      <c r="A68" s="118"/>
      <c r="B68" s="118" t="str">
        <f>"IsLineShipSingleNode"</f>
        <v>IsLineShipSingleNode</v>
      </c>
      <c r="C68" s="118" t="str">
        <f>"yfs_order_header.is_line_ship_single_node"</f>
        <v>yfs_order_header.is_line_ship_single_node</v>
      </c>
      <c r="D68" s="118" t="str">
        <f t="shared" si="55"/>
        <v>string</v>
      </c>
      <c r="E68" s="118" t="str">
        <f t="shared" si="56"/>
        <v>1</v>
      </c>
      <c r="F68" s="118" t="s">
        <v>219</v>
      </c>
      <c r="G68" s="118" t="str">
        <f t="shared" si="45"/>
        <v>O</v>
      </c>
      <c r="H68" s="118" t="str">
        <f t="shared" si="58"/>
        <v>null</v>
      </c>
      <c r="I68" s="118" t="str">
        <f t="shared" si="59"/>
        <v>Y, N, </v>
      </c>
      <c r="J68" s="118" t="str">
        <f t="shared" si="60"/>
        <v>Y</v>
      </c>
      <c r="K68" s="118"/>
      <c r="L68" s="118"/>
      <c r="M68" s="118"/>
      <c r="N68" s="118"/>
      <c r="O68" s="118"/>
      <c r="P68" s="118"/>
      <c r="Q68" s="118"/>
      <c r="R68" s="118"/>
      <c r="S68" s="118"/>
      <c r="T68" s="148"/>
      <c r="U68" s="148"/>
    </row>
    <row r="69" ht="15.75" hidden="1" customHeight="1">
      <c r="A69" s="118"/>
      <c r="B69" s="118" t="str">
        <f>"IsShipComplete"</f>
        <v>IsShipComplete</v>
      </c>
      <c r="C69" s="118" t="str">
        <f>"yfs_order_header.is_ship_complete"</f>
        <v>yfs_order_header.is_ship_complete</v>
      </c>
      <c r="D69" s="118" t="str">
        <f t="shared" si="55"/>
        <v>string</v>
      </c>
      <c r="E69" s="118" t="str">
        <f t="shared" si="56"/>
        <v>1</v>
      </c>
      <c r="F69" s="118" t="s">
        <v>220</v>
      </c>
      <c r="G69" s="118" t="str">
        <f t="shared" si="45"/>
        <v>O</v>
      </c>
      <c r="H69" s="118" t="str">
        <f t="shared" si="58"/>
        <v>null</v>
      </c>
      <c r="I69" s="118" t="str">
        <f t="shared" si="59"/>
        <v>Y, N, </v>
      </c>
      <c r="J69" s="118" t="str">
        <f t="shared" si="60"/>
        <v>Y</v>
      </c>
      <c r="K69" s="118"/>
      <c r="L69" s="118"/>
      <c r="M69" s="118"/>
      <c r="N69" s="118"/>
      <c r="O69" s="118"/>
      <c r="P69" s="118"/>
      <c r="Q69" s="118"/>
      <c r="R69" s="118"/>
      <c r="S69" s="118"/>
      <c r="T69" s="148"/>
      <c r="U69" s="148"/>
    </row>
    <row r="70" ht="15.75" hidden="1" customHeight="1">
      <c r="A70" s="118"/>
      <c r="B70" s="118" t="str">
        <f>"IsShipSingleNode"</f>
        <v>IsShipSingleNode</v>
      </c>
      <c r="C70" s="118" t="str">
        <f>"yfs_order_header.is_ship_single_node"</f>
        <v>yfs_order_header.is_ship_single_node</v>
      </c>
      <c r="D70" s="118" t="str">
        <f t="shared" si="55"/>
        <v>string</v>
      </c>
      <c r="E70" s="118" t="str">
        <f t="shared" si="56"/>
        <v>1</v>
      </c>
      <c r="F70" s="118" t="s">
        <v>221</v>
      </c>
      <c r="G70" s="118" t="str">
        <f t="shared" si="45"/>
        <v>O</v>
      </c>
      <c r="H70" s="118" t="str">
        <f t="shared" si="58"/>
        <v>null</v>
      </c>
      <c r="I70" s="118" t="str">
        <f t="shared" si="59"/>
        <v>Y, N, </v>
      </c>
      <c r="J70" s="118" t="str">
        <f t="shared" si="60"/>
        <v>Y</v>
      </c>
      <c r="K70" s="118"/>
      <c r="L70" s="118"/>
      <c r="M70" s="118"/>
      <c r="N70" s="118"/>
      <c r="O70" s="118"/>
      <c r="P70" s="118"/>
      <c r="Q70" s="118"/>
      <c r="R70" s="118"/>
      <c r="S70" s="118"/>
      <c r="T70" s="148"/>
      <c r="U70" s="148"/>
    </row>
    <row r="71" ht="15.75" hidden="1" customHeight="1">
      <c r="A71" s="156" t="s">
        <v>92</v>
      </c>
      <c r="B71" s="118" t="str">
        <f>"LevelOfService"</f>
        <v>LevelOfService</v>
      </c>
      <c r="C71" s="118" t="str">
        <f>"yfs_order_header.level_of_service"</f>
        <v>yfs_order_header.level_of_service</v>
      </c>
      <c r="D71" s="118" t="str">
        <f t="shared" si="55"/>
        <v>string</v>
      </c>
      <c r="E71" s="118" t="str">
        <f>"40"</f>
        <v>40</v>
      </c>
      <c r="F71" s="118" t="s">
        <v>222</v>
      </c>
      <c r="G71" s="118" t="str">
        <f t="shared" si="45"/>
        <v>O</v>
      </c>
      <c r="H71" s="118" t="str">
        <f t="shared" si="58"/>
        <v>null</v>
      </c>
      <c r="I71" s="118" t="str">
        <f>""</f>
        <v/>
      </c>
      <c r="J71" s="118" t="str">
        <f>"FEDX_2_DAY"</f>
        <v>FEDX_2_DAY</v>
      </c>
      <c r="K71" s="118"/>
      <c r="L71" s="118"/>
      <c r="M71" s="118"/>
      <c r="N71" s="118"/>
      <c r="O71" s="118"/>
      <c r="P71" s="118"/>
      <c r="Q71" s="118"/>
      <c r="R71" s="118"/>
      <c r="S71" s="118"/>
      <c r="T71" s="148"/>
      <c r="U71" s="148"/>
    </row>
    <row r="72" ht="15.75" hidden="1" customHeight="1">
      <c r="A72" s="118"/>
      <c r="B72" s="118" t="str">
        <f>"LinkedSourceKey"</f>
        <v>LinkedSourceKey</v>
      </c>
      <c r="C72" s="118" t="str">
        <f>"yfs_order_header.linked_source_key"</f>
        <v>yfs_order_header.linked_source_key</v>
      </c>
      <c r="D72" s="118" t="str">
        <f t="shared" si="55"/>
        <v>string</v>
      </c>
      <c r="E72" s="118" t="str">
        <f>"24"</f>
        <v>24</v>
      </c>
      <c r="F72" s="118" t="s">
        <v>223</v>
      </c>
      <c r="G72" s="118" t="str">
        <f t="shared" si="45"/>
        <v>O</v>
      </c>
      <c r="H72" s="118" t="str">
        <f t="shared" ref="H72:J72" si="61">""</f>
        <v/>
      </c>
      <c r="I72" s="118" t="str">
        <f t="shared" si="61"/>
        <v/>
      </c>
      <c r="J72" s="118" t="str">
        <f t="shared" si="61"/>
        <v/>
      </c>
      <c r="K72" s="118"/>
      <c r="L72" s="118"/>
      <c r="M72" s="118"/>
      <c r="N72" s="118"/>
      <c r="O72" s="118"/>
      <c r="P72" s="118"/>
      <c r="Q72" s="118"/>
      <c r="R72" s="118"/>
      <c r="S72" s="118"/>
      <c r="T72" s="148"/>
      <c r="U72" s="148"/>
    </row>
    <row r="73" ht="15.75" hidden="1" customHeight="1">
      <c r="A73" s="118"/>
      <c r="B73" s="118" t="str">
        <f>"NextIterationDate"</f>
        <v>NextIterationDate</v>
      </c>
      <c r="C73" s="118" t="str">
        <f>"yfs_order_header.next_iter_date"</f>
        <v>yfs_order_header.next_iter_date</v>
      </c>
      <c r="D73" s="118" t="str">
        <f t="shared" ref="D73:D74" si="63">"UNKNOWN"</f>
        <v>UNKNOWN</v>
      </c>
      <c r="E73" s="118" t="str">
        <f t="shared" ref="E73:E74" si="64">""</f>
        <v/>
      </c>
      <c r="F73" s="118" t="s">
        <v>224</v>
      </c>
      <c r="G73" s="118" t="str">
        <f t="shared" si="45"/>
        <v>O</v>
      </c>
      <c r="H73" s="118" t="str">
        <f t="shared" ref="H73:H76" si="65">"null"</f>
        <v>null</v>
      </c>
      <c r="I73" s="118" t="str">
        <f t="shared" ref="I73:J73" si="62">""</f>
        <v/>
      </c>
      <c r="J73" s="118" t="str">
        <f t="shared" si="62"/>
        <v/>
      </c>
      <c r="K73" s="118"/>
      <c r="L73" s="118"/>
      <c r="M73" s="118"/>
      <c r="N73" s="118"/>
      <c r="O73" s="118"/>
      <c r="P73" s="118"/>
      <c r="Q73" s="118"/>
      <c r="R73" s="118"/>
      <c r="S73" s="118"/>
      <c r="T73" s="148"/>
      <c r="U73" s="148"/>
    </row>
    <row r="74" ht="15.75" hidden="1" customHeight="1">
      <c r="A74" s="118"/>
      <c r="B74" s="118" t="str">
        <f>"NextIterationSeqNo"</f>
        <v>NextIterationSeqNo</v>
      </c>
      <c r="C74" s="118" t="str">
        <f>"yfs_order_header.next_iter_seq_no"</f>
        <v>yfs_order_header.next_iter_seq_no</v>
      </c>
      <c r="D74" s="118" t="str">
        <f t="shared" si="63"/>
        <v>UNKNOWN</v>
      </c>
      <c r="E74" s="118" t="str">
        <f t="shared" si="64"/>
        <v/>
      </c>
      <c r="F74" s="118" t="s">
        <v>225</v>
      </c>
      <c r="G74" s="118" t="str">
        <f t="shared" si="45"/>
        <v>O</v>
      </c>
      <c r="H74" s="118" t="str">
        <f t="shared" si="65"/>
        <v>null</v>
      </c>
      <c r="I74" s="118" t="str">
        <f t="shared" ref="I74:J74" si="66">""</f>
        <v/>
      </c>
      <c r="J74" s="118" t="str">
        <f t="shared" si="66"/>
        <v/>
      </c>
      <c r="K74" s="118"/>
      <c r="L74" s="118"/>
      <c r="M74" s="118"/>
      <c r="N74" s="118"/>
      <c r="O74" s="118"/>
      <c r="P74" s="118"/>
      <c r="Q74" s="118"/>
      <c r="R74" s="118"/>
      <c r="S74" s="118"/>
      <c r="T74" s="148"/>
      <c r="U74" s="148"/>
    </row>
    <row r="75" ht="15.75" hidden="1" customHeight="1">
      <c r="A75" s="118"/>
      <c r="B75" s="118" t="str">
        <f>"NotificationReference"</f>
        <v>NotificationReference</v>
      </c>
      <c r="C75" s="118" t="str">
        <f>"yfs_order_header.notification_reference"</f>
        <v>yfs_order_header.notification_reference</v>
      </c>
      <c r="D75" s="118" t="str">
        <f t="shared" ref="D75:D79" si="68">"string"</f>
        <v>string</v>
      </c>
      <c r="E75" s="118" t="str">
        <f>"100"</f>
        <v>100</v>
      </c>
      <c r="F75" s="118" t="s">
        <v>226</v>
      </c>
      <c r="G75" s="118" t="str">
        <f t="shared" si="45"/>
        <v>O</v>
      </c>
      <c r="H75" s="118" t="str">
        <f t="shared" si="65"/>
        <v>null</v>
      </c>
      <c r="I75" s="118" t="str">
        <f t="shared" ref="I75:J75" si="67">""</f>
        <v/>
      </c>
      <c r="J75" s="118" t="str">
        <f t="shared" si="67"/>
        <v/>
      </c>
      <c r="K75" s="118"/>
      <c r="L75" s="118"/>
      <c r="M75" s="118"/>
      <c r="N75" s="118"/>
      <c r="O75" s="118"/>
      <c r="P75" s="118"/>
      <c r="Q75" s="118"/>
      <c r="R75" s="118"/>
      <c r="S75" s="118"/>
      <c r="T75" s="148"/>
      <c r="U75" s="148"/>
    </row>
    <row r="76" ht="15.75" hidden="1" customHeight="1">
      <c r="A76" s="118"/>
      <c r="B76" s="118" t="str">
        <f>"NotificationType"</f>
        <v>NotificationType</v>
      </c>
      <c r="C76" s="118" t="str">
        <f>"yfs_order_header.notification_type"</f>
        <v>yfs_order_header.notification_type</v>
      </c>
      <c r="D76" s="118" t="str">
        <f t="shared" si="68"/>
        <v>string</v>
      </c>
      <c r="E76" s="118" t="str">
        <f>"20"</f>
        <v>20</v>
      </c>
      <c r="F76" s="118" t="s">
        <v>227</v>
      </c>
      <c r="G76" s="118" t="str">
        <f t="shared" si="45"/>
        <v>O</v>
      </c>
      <c r="H76" s="118" t="str">
        <f t="shared" si="65"/>
        <v>null</v>
      </c>
      <c r="I76" s="118" t="str">
        <f t="shared" ref="I76:J76" si="69">""</f>
        <v/>
      </c>
      <c r="J76" s="118" t="str">
        <f t="shared" si="69"/>
        <v/>
      </c>
      <c r="K76" s="118"/>
      <c r="L76" s="118"/>
      <c r="M76" s="118"/>
      <c r="N76" s="118"/>
      <c r="O76" s="118"/>
      <c r="P76" s="118"/>
      <c r="Q76" s="118"/>
      <c r="R76" s="118"/>
      <c r="S76" s="118"/>
      <c r="T76" s="148"/>
      <c r="U76" s="148"/>
    </row>
    <row r="77" ht="15.75" hidden="1" customHeight="1">
      <c r="A77" s="118"/>
      <c r="B77" s="118" t="str">
        <f>"NotifyAfterShipmentFlag"</f>
        <v>NotifyAfterShipmentFlag</v>
      </c>
      <c r="C77" s="118" t="str">
        <f>"yfs_order_header.notify_after_shipment_flag"</f>
        <v>yfs_order_header.notify_after_shipment_flag</v>
      </c>
      <c r="D77" s="118" t="str">
        <f t="shared" si="68"/>
        <v>string</v>
      </c>
      <c r="E77" s="118" t="str">
        <f>"1"</f>
        <v>1</v>
      </c>
      <c r="F77" s="118" t="s">
        <v>228</v>
      </c>
      <c r="G77" s="118" t="str">
        <f t="shared" si="45"/>
        <v>O</v>
      </c>
      <c r="H77" s="118" t="str">
        <f>"space"</f>
        <v>space</v>
      </c>
      <c r="I77" s="118" t="str">
        <f>""</f>
        <v/>
      </c>
      <c r="J77" s="118" t="str">
        <f>"Y"</f>
        <v>Y</v>
      </c>
      <c r="K77" s="118"/>
      <c r="L77" s="118"/>
      <c r="M77" s="118"/>
      <c r="N77" s="118"/>
      <c r="O77" s="118"/>
      <c r="P77" s="118"/>
      <c r="Q77" s="118"/>
      <c r="R77" s="118"/>
      <c r="S77" s="118"/>
      <c r="T77" s="148"/>
      <c r="U77" s="148"/>
    </row>
    <row r="78" ht="15.75" hidden="1" customHeight="1">
      <c r="A78" s="118"/>
      <c r="B78" s="118" t="str">
        <f>"OpportunityKey"</f>
        <v>OpportunityKey</v>
      </c>
      <c r="C78" s="118" t="str">
        <f>"yfs_order_header.opportunity_key"</f>
        <v>yfs_order_header.opportunity_key</v>
      </c>
      <c r="D78" s="118" t="str">
        <f t="shared" si="68"/>
        <v>string</v>
      </c>
      <c r="E78" s="118" t="str">
        <f>"24"</f>
        <v>24</v>
      </c>
      <c r="F78" s="118" t="s">
        <v>229</v>
      </c>
      <c r="G78" s="118" t="str">
        <f t="shared" si="45"/>
        <v>O</v>
      </c>
      <c r="H78" s="118" t="str">
        <f t="shared" ref="H78:J78" si="70">""</f>
        <v/>
      </c>
      <c r="I78" s="118" t="str">
        <f t="shared" si="70"/>
        <v/>
      </c>
      <c r="J78" s="118" t="str">
        <f t="shared" si="70"/>
        <v/>
      </c>
      <c r="K78" s="118"/>
      <c r="L78" s="118"/>
      <c r="M78" s="118"/>
      <c r="N78" s="118"/>
      <c r="O78" s="118"/>
      <c r="P78" s="118"/>
      <c r="Q78" s="118"/>
      <c r="R78" s="118"/>
      <c r="S78" s="118"/>
      <c r="T78" s="148"/>
      <c r="U78" s="148"/>
    </row>
    <row r="79" ht="15.75" hidden="1" customHeight="1">
      <c r="A79" s="118"/>
      <c r="B79" s="118" t="str">
        <f>"OptimizationType"</f>
        <v>OptimizationType</v>
      </c>
      <c r="C79" s="118" t="str">
        <f>"yfs_order_header.optimization_type"</f>
        <v>yfs_order_header.optimization_type</v>
      </c>
      <c r="D79" s="118" t="str">
        <f t="shared" si="68"/>
        <v>string</v>
      </c>
      <c r="E79" s="118" t="str">
        <f>"2"</f>
        <v>2</v>
      </c>
      <c r="F79" s="118" t="s">
        <v>230</v>
      </c>
      <c r="G79" s="118" t="str">
        <f t="shared" si="45"/>
        <v>O</v>
      </c>
      <c r="H79" s="118" t="str">
        <f>"null"</f>
        <v>null</v>
      </c>
      <c r="I79" s="118" t="str">
        <f>"01, 02, 03, ,  "</f>
        <v>01, 02, 03, ,  </v>
      </c>
      <c r="J79" s="118" t="str">
        <f>""</f>
        <v/>
      </c>
      <c r="K79" s="118"/>
      <c r="L79" s="118"/>
      <c r="M79" s="118"/>
      <c r="N79" s="118"/>
      <c r="O79" s="118"/>
      <c r="P79" s="118"/>
      <c r="Q79" s="118"/>
      <c r="R79" s="118"/>
      <c r="S79" s="118"/>
      <c r="T79" s="148"/>
      <c r="U79" s="148"/>
    </row>
    <row r="80" ht="15.75" hidden="1" customHeight="1">
      <c r="A80" s="118"/>
      <c r="B80" s="118" t="s">
        <v>231</v>
      </c>
      <c r="C80" s="118"/>
      <c r="D80" s="118"/>
      <c r="E80" s="118"/>
      <c r="F80" s="137" t="s">
        <v>232</v>
      </c>
      <c r="G80" s="118"/>
      <c r="H80" s="118"/>
      <c r="I80" s="118"/>
      <c r="J80" s="118"/>
      <c r="K80" s="118"/>
      <c r="L80" s="119" t="s">
        <v>66</v>
      </c>
      <c r="M80" s="118"/>
      <c r="N80" s="118"/>
      <c r="O80" s="118"/>
      <c r="P80" s="118"/>
      <c r="Q80" s="118"/>
      <c r="R80" s="118"/>
      <c r="S80" s="118"/>
      <c r="T80" s="148"/>
      <c r="U80" s="148"/>
    </row>
    <row r="81">
      <c r="A81" s="140" t="s">
        <v>66</v>
      </c>
      <c r="B81" s="141" t="str">
        <f>"OrderDate"</f>
        <v>OrderDate</v>
      </c>
      <c r="C81" s="141" t="str">
        <f>"yfs_order_header.order_date"</f>
        <v>yfs_order_header.order_date</v>
      </c>
      <c r="D81" s="141" t="str">
        <f>"dateTime"</f>
        <v>dateTime</v>
      </c>
      <c r="E81" s="108" t="str">
        <f>"25"</f>
        <v>25</v>
      </c>
      <c r="F81" s="131" t="s">
        <v>233</v>
      </c>
      <c r="G81" s="112" t="s">
        <v>134</v>
      </c>
      <c r="H81" s="140" t="str">
        <f>"sysdate "</f>
        <v>sysdate </v>
      </c>
      <c r="I81" s="141" t="str">
        <f t="shared" ref="I81:I82" si="71">""</f>
        <v/>
      </c>
      <c r="J81" s="141" t="str">
        <f>"2010-06-21T13:05:17-04:00"</f>
        <v>2010-06-21T13:05:17-04:00</v>
      </c>
      <c r="K81" s="141" t="s">
        <v>120</v>
      </c>
      <c r="L81" s="112" t="s">
        <v>66</v>
      </c>
      <c r="M81" s="126" t="s">
        <v>234</v>
      </c>
      <c r="N81" s="126" t="s">
        <v>234</v>
      </c>
      <c r="O81" s="126" t="s">
        <v>234</v>
      </c>
      <c r="P81" s="113" t="s">
        <v>234</v>
      </c>
      <c r="Q81" s="126" t="s">
        <v>234</v>
      </c>
      <c r="R81" s="127" t="s">
        <v>235</v>
      </c>
      <c r="S81" s="147" t="s">
        <v>236</v>
      </c>
      <c r="T81" s="110" t="s">
        <v>122</v>
      </c>
      <c r="U81" s="147"/>
    </row>
    <row r="82">
      <c r="A82" s="140" t="s">
        <v>66</v>
      </c>
      <c r="B82" s="141" t="str">
        <f>"OrderName"</f>
        <v>OrderName</v>
      </c>
      <c r="C82" s="141" t="str">
        <f>"yfs_order_header.order_name"</f>
        <v>yfs_order_header.order_name</v>
      </c>
      <c r="D82" s="141" t="str">
        <f t="shared" ref="D82:D86" si="72">"string"</f>
        <v>string</v>
      </c>
      <c r="E82" s="157">
        <v>15.0</v>
      </c>
      <c r="F82" s="158" t="s">
        <v>237</v>
      </c>
      <c r="G82" s="159" t="s">
        <v>134</v>
      </c>
      <c r="H82" s="160"/>
      <c r="I82" s="141" t="str">
        <f t="shared" si="71"/>
        <v/>
      </c>
      <c r="J82" s="161" t="s">
        <v>238</v>
      </c>
      <c r="K82" s="141" t="s">
        <v>239</v>
      </c>
      <c r="L82" s="112" t="s">
        <v>66</v>
      </c>
      <c r="M82" s="162" t="s">
        <v>240</v>
      </c>
      <c r="N82" s="162" t="s">
        <v>240</v>
      </c>
      <c r="O82" s="162" t="s">
        <v>240</v>
      </c>
      <c r="P82" s="162" t="s">
        <v>240</v>
      </c>
      <c r="Q82" s="163" t="s">
        <v>240</v>
      </c>
      <c r="R82" s="163" t="s">
        <v>241</v>
      </c>
      <c r="S82" s="147" t="s">
        <v>242</v>
      </c>
      <c r="T82" s="147"/>
      <c r="U82" s="147"/>
    </row>
    <row r="83">
      <c r="A83" s="140" t="s">
        <v>66</v>
      </c>
      <c r="B83" s="141" t="str">
        <f>"OrderNo"</f>
        <v>OrderNo</v>
      </c>
      <c r="C83" s="141" t="str">
        <f>"yfs_order_header.order_no"</f>
        <v>yfs_order_header.order_no</v>
      </c>
      <c r="D83" s="141" t="str">
        <f t="shared" si="72"/>
        <v>string</v>
      </c>
      <c r="E83" s="108">
        <v>40.0</v>
      </c>
      <c r="F83" s="131" t="s">
        <v>243</v>
      </c>
      <c r="G83" s="112" t="s">
        <v>244</v>
      </c>
      <c r="H83" s="140" t="str">
        <f t="shared" ref="H83:I83" si="73">""</f>
        <v/>
      </c>
      <c r="I83" s="141" t="str">
        <f t="shared" si="73"/>
        <v/>
      </c>
      <c r="J83" s="141" t="str">
        <f>"sg123456789012"</f>
        <v>sg123456789012</v>
      </c>
      <c r="K83" s="141" t="s">
        <v>245</v>
      </c>
      <c r="L83" s="112" t="s">
        <v>66</v>
      </c>
      <c r="M83" s="126" t="s">
        <v>246</v>
      </c>
      <c r="N83" s="126" t="s">
        <v>246</v>
      </c>
      <c r="O83" s="126" t="s">
        <v>246</v>
      </c>
      <c r="P83" s="113" t="s">
        <v>246</v>
      </c>
      <c r="Q83" s="126" t="s">
        <v>246</v>
      </c>
      <c r="R83" s="127" t="s">
        <v>247</v>
      </c>
      <c r="S83" s="127" t="s">
        <v>236</v>
      </c>
      <c r="T83" s="155" t="s">
        <v>248</v>
      </c>
      <c r="U83" s="127"/>
    </row>
    <row r="84" ht="15.75" hidden="1" customHeight="1">
      <c r="A84" s="118"/>
      <c r="B84" s="118" t="str">
        <f>"OrderPurpose"</f>
        <v>OrderPurpose</v>
      </c>
      <c r="C84" s="118" t="str">
        <f>"yfs_order_header.order_purpose"</f>
        <v>yfs_order_header.order_purpose</v>
      </c>
      <c r="D84" s="118" t="str">
        <f t="shared" si="72"/>
        <v>string</v>
      </c>
      <c r="E84" s="118" t="str">
        <f>"20"</f>
        <v>20</v>
      </c>
      <c r="F84" s="118" t="s">
        <v>249</v>
      </c>
      <c r="G84" s="118" t="str">
        <f>"O"</f>
        <v>O</v>
      </c>
      <c r="H84" s="118" t="str">
        <f>"null"</f>
        <v>null</v>
      </c>
      <c r="I84" s="118" t="str">
        <f>"EXCHANGE, ,  "</f>
        <v>EXCHANGE, ,  </v>
      </c>
      <c r="J84" s="118" t="str">
        <f>""</f>
        <v/>
      </c>
      <c r="K84" s="118"/>
      <c r="L84" s="118"/>
      <c r="M84" s="118"/>
      <c r="N84" s="118"/>
      <c r="O84" s="118"/>
      <c r="P84" s="118"/>
      <c r="Q84" s="118"/>
      <c r="R84" s="118"/>
      <c r="S84" s="118"/>
      <c r="T84" s="148"/>
      <c r="U84" s="148"/>
    </row>
    <row r="85">
      <c r="A85" s="140" t="s">
        <v>66</v>
      </c>
      <c r="B85" s="141" t="str">
        <f>"OrderType"</f>
        <v>OrderType</v>
      </c>
      <c r="C85" s="141" t="str">
        <f>"yfs_order_header.order_type"</f>
        <v>yfs_order_header.order_type</v>
      </c>
      <c r="D85" s="141" t="str">
        <f t="shared" si="72"/>
        <v>string</v>
      </c>
      <c r="E85" s="111" t="s">
        <v>250</v>
      </c>
      <c r="F85" s="146" t="s">
        <v>251</v>
      </c>
      <c r="G85" s="112" t="s">
        <v>134</v>
      </c>
      <c r="H85" s="140"/>
      <c r="I85" s="138" t="s">
        <v>252</v>
      </c>
      <c r="J85" s="141"/>
      <c r="K85" s="141"/>
      <c r="L85" s="112" t="s">
        <v>66</v>
      </c>
      <c r="M85" s="164" t="s">
        <v>253</v>
      </c>
      <c r="N85" s="164" t="s">
        <v>253</v>
      </c>
      <c r="O85" s="164" t="s">
        <v>253</v>
      </c>
      <c r="P85" s="164" t="s">
        <v>253</v>
      </c>
      <c r="Q85" s="164" t="s">
        <v>253</v>
      </c>
      <c r="R85" s="164" t="s">
        <v>254</v>
      </c>
      <c r="S85" s="164"/>
      <c r="T85" s="164"/>
      <c r="U85" s="164"/>
    </row>
    <row r="86" ht="15.75" hidden="1" customHeight="1">
      <c r="A86" s="103"/>
      <c r="B86" s="104" t="str">
        <f>"OverallStatus"</f>
        <v>OverallStatus</v>
      </c>
      <c r="C86" s="104" t="str">
        <f>""</f>
        <v/>
      </c>
      <c r="D86" s="104" t="str">
        <f t="shared" si="72"/>
        <v>string</v>
      </c>
      <c r="E86" s="105">
        <v>10.0</v>
      </c>
      <c r="F86" s="118" t="s">
        <v>256</v>
      </c>
      <c r="G86" s="103" t="str">
        <f t="shared" ref="G86:G110" si="75">"O"</f>
        <v>O</v>
      </c>
      <c r="H86" s="103" t="str">
        <f t="shared" ref="H86:J86" si="74">""</f>
        <v/>
      </c>
      <c r="I86" s="104" t="str">
        <f t="shared" si="74"/>
        <v/>
      </c>
      <c r="J86" s="104" t="str">
        <f t="shared" si="74"/>
        <v/>
      </c>
      <c r="K86" s="104"/>
      <c r="L86" s="105"/>
      <c r="M86" s="104"/>
      <c r="N86" s="104"/>
      <c r="O86" s="104"/>
      <c r="P86" s="104"/>
      <c r="Q86" s="104"/>
      <c r="R86" s="104"/>
      <c r="S86" s="104"/>
      <c r="T86" s="107"/>
      <c r="U86" s="107"/>
    </row>
    <row r="87" ht="15.75" hidden="1" customHeight="1">
      <c r="A87" s="103"/>
      <c r="B87" s="104" t="str">
        <f>"OriginalContainerKey"</f>
        <v>OriginalContainerKey</v>
      </c>
      <c r="C87" s="104" t="str">
        <f>"yfs_order_header.original_container_key"</f>
        <v>yfs_order_header.original_container_key</v>
      </c>
      <c r="D87" s="104" t="str">
        <f>"UNKNOWN"</f>
        <v>UNKNOWN</v>
      </c>
      <c r="E87" s="105" t="str">
        <f>""</f>
        <v/>
      </c>
      <c r="F87" s="118" t="s">
        <v>258</v>
      </c>
      <c r="G87" s="103" t="str">
        <f t="shared" si="75"/>
        <v>O</v>
      </c>
      <c r="H87" s="103" t="str">
        <f t="shared" ref="H87:H88" si="76">"null"</f>
        <v>null</v>
      </c>
      <c r="I87" s="104" t="str">
        <f t="shared" ref="I87:I91" si="77">""</f>
        <v/>
      </c>
      <c r="J87" s="104" t="str">
        <f>"2010050314595402027"</f>
        <v>2010050314595402027</v>
      </c>
      <c r="K87" s="104"/>
      <c r="L87" s="105"/>
      <c r="M87" s="104"/>
      <c r="N87" s="104"/>
      <c r="O87" s="104"/>
      <c r="P87" s="104"/>
      <c r="Q87" s="104"/>
      <c r="R87" s="104"/>
      <c r="S87" s="104"/>
      <c r="T87" s="107"/>
      <c r="U87" s="107"/>
    </row>
    <row r="88" ht="15.75" hidden="1" customHeight="1">
      <c r="A88" s="103"/>
      <c r="B88" s="104" t="str">
        <f>"PaymentRuleId"</f>
        <v>PaymentRuleId</v>
      </c>
      <c r="C88" s="104" t="str">
        <f>"yfs_order_header.payment_rule_id"</f>
        <v>yfs_order_header.payment_rule_id</v>
      </c>
      <c r="D88" s="104" t="str">
        <f t="shared" ref="D88:D92" si="78">"string"</f>
        <v>string</v>
      </c>
      <c r="E88" s="105" t="str">
        <f>"20"</f>
        <v>20</v>
      </c>
      <c r="F88" s="118" t="s">
        <v>264</v>
      </c>
      <c r="G88" s="103" t="str">
        <f t="shared" si="75"/>
        <v>O</v>
      </c>
      <c r="H88" s="103" t="str">
        <f t="shared" si="76"/>
        <v>null</v>
      </c>
      <c r="I88" s="104" t="str">
        <f t="shared" si="77"/>
        <v/>
      </c>
      <c r="J88" s="104" t="str">
        <f>""</f>
        <v/>
      </c>
      <c r="K88" s="104"/>
      <c r="L88" s="105"/>
      <c r="M88" s="104"/>
      <c r="N88" s="104"/>
      <c r="O88" s="104"/>
      <c r="P88" s="104"/>
      <c r="Q88" s="104"/>
      <c r="R88" s="104"/>
      <c r="S88" s="104"/>
      <c r="T88" s="107"/>
      <c r="U88" s="107"/>
    </row>
    <row r="89" ht="15.75" hidden="1" customHeight="1">
      <c r="A89" s="103" t="s">
        <v>92</v>
      </c>
      <c r="B89" s="104" t="str">
        <f>"PaymentStatus"</f>
        <v>PaymentStatus</v>
      </c>
      <c r="C89" s="104" t="str">
        <f>"yfs_order_header.payment_status"</f>
        <v>yfs_order_header.payment_status</v>
      </c>
      <c r="D89" s="104" t="str">
        <f t="shared" si="78"/>
        <v>string</v>
      </c>
      <c r="E89" s="105" t="str">
        <f>"15"</f>
        <v>15</v>
      </c>
      <c r="F89" s="118" t="s">
        <v>269</v>
      </c>
      <c r="G89" s="103" t="str">
        <f t="shared" si="75"/>
        <v>O</v>
      </c>
      <c r="H89" s="103" t="str">
        <f t="shared" ref="H89:H90" si="79">"space"</f>
        <v>space</v>
      </c>
      <c r="I89" s="104" t="str">
        <f t="shared" si="77"/>
        <v/>
      </c>
      <c r="J89" s="104" t="s">
        <v>270</v>
      </c>
      <c r="K89" s="104"/>
      <c r="L89" s="105"/>
      <c r="M89" s="104"/>
      <c r="N89" s="104"/>
      <c r="O89" s="104"/>
      <c r="P89" s="104"/>
      <c r="Q89" s="104"/>
      <c r="R89" s="104"/>
      <c r="S89" s="104"/>
      <c r="T89" s="107"/>
      <c r="U89" s="107"/>
    </row>
    <row r="90" ht="15.75" hidden="1" customHeight="1">
      <c r="A90" s="103"/>
      <c r="B90" s="104" t="str">
        <f>"PersonalizeCode"</f>
        <v>PersonalizeCode</v>
      </c>
      <c r="C90" s="104" t="str">
        <f>"yfs_order_header.personalize_code"</f>
        <v>yfs_order_header.personalize_code</v>
      </c>
      <c r="D90" s="104" t="str">
        <f t="shared" si="78"/>
        <v>string</v>
      </c>
      <c r="E90" s="105" t="str">
        <f>"20"</f>
        <v>20</v>
      </c>
      <c r="F90" s="118" t="s">
        <v>276</v>
      </c>
      <c r="G90" s="103" t="str">
        <f t="shared" si="75"/>
        <v>O</v>
      </c>
      <c r="H90" s="103" t="str">
        <f t="shared" si="79"/>
        <v>space</v>
      </c>
      <c r="I90" s="104" t="str">
        <f t="shared" si="77"/>
        <v/>
      </c>
      <c r="J90" s="104" t="str">
        <f>""</f>
        <v/>
      </c>
      <c r="K90" s="104"/>
      <c r="L90" s="105"/>
      <c r="M90" s="104"/>
      <c r="N90" s="104"/>
      <c r="O90" s="104"/>
      <c r="P90" s="104"/>
      <c r="Q90" s="104"/>
      <c r="R90" s="104"/>
      <c r="S90" s="104"/>
      <c r="T90" s="107"/>
      <c r="U90" s="107"/>
    </row>
    <row r="91" ht="15.75" hidden="1" customHeight="1">
      <c r="A91" s="103"/>
      <c r="B91" s="104" t="str">
        <f>"PriceProgramKey"</f>
        <v>PriceProgramKey</v>
      </c>
      <c r="C91" s="104" t="str">
        <f>"yfs_order_header.price_program_key"</f>
        <v>yfs_order_header.price_program_key</v>
      </c>
      <c r="D91" s="104" t="str">
        <f t="shared" si="78"/>
        <v>string</v>
      </c>
      <c r="E91" s="105" t="str">
        <f>"24"</f>
        <v>24</v>
      </c>
      <c r="F91" s="118" t="s">
        <v>279</v>
      </c>
      <c r="G91" s="103" t="str">
        <f t="shared" si="75"/>
        <v>O</v>
      </c>
      <c r="H91" s="103" t="str">
        <f>"null"</f>
        <v>null</v>
      </c>
      <c r="I91" s="104" t="str">
        <f t="shared" si="77"/>
        <v/>
      </c>
      <c r="J91" s="104" t="str">
        <f>"2010050314595401618"</f>
        <v>2010050314595401618</v>
      </c>
      <c r="K91" s="104"/>
      <c r="L91" s="105"/>
      <c r="M91" s="104"/>
      <c r="N91" s="104"/>
      <c r="O91" s="104"/>
      <c r="P91" s="104"/>
      <c r="Q91" s="104"/>
      <c r="R91" s="104"/>
      <c r="S91" s="104"/>
      <c r="T91" s="107"/>
      <c r="U91" s="107"/>
    </row>
    <row r="92" ht="15.75" hidden="1" customHeight="1">
      <c r="A92" s="103"/>
      <c r="B92" s="104" t="str">
        <f>"PriceProgramName"</f>
        <v>PriceProgramName</v>
      </c>
      <c r="C92" s="104" t="str">
        <f>""</f>
        <v/>
      </c>
      <c r="D92" s="104" t="str">
        <f t="shared" si="78"/>
        <v>string</v>
      </c>
      <c r="E92" s="105" t="str">
        <f>"40"</f>
        <v>40</v>
      </c>
      <c r="F92" s="118" t="s">
        <v>285</v>
      </c>
      <c r="G92" s="103" t="str">
        <f t="shared" si="75"/>
        <v>O</v>
      </c>
      <c r="H92" s="103" t="str">
        <f t="shared" ref="H92:J92" si="80">""</f>
        <v/>
      </c>
      <c r="I92" s="104" t="str">
        <f t="shared" si="80"/>
        <v/>
      </c>
      <c r="J92" s="104" t="str">
        <f t="shared" si="80"/>
        <v/>
      </c>
      <c r="K92" s="104"/>
      <c r="L92" s="105"/>
      <c r="M92" s="104"/>
      <c r="N92" s="104"/>
      <c r="O92" s="104"/>
      <c r="P92" s="104"/>
      <c r="Q92" s="104"/>
      <c r="R92" s="104"/>
      <c r="S92" s="104"/>
      <c r="T92" s="107"/>
      <c r="U92" s="107"/>
    </row>
    <row r="93" ht="15.75" hidden="1" customHeight="1">
      <c r="A93" s="103"/>
      <c r="B93" s="104" t="str">
        <f>"PricingClassificationCode"</f>
        <v>PricingClassificationCode</v>
      </c>
      <c r="C93" s="104" t="str">
        <f>"yfs_order_header.pricing_classification_code"</f>
        <v>yfs_order_header.pricing_classification_code</v>
      </c>
      <c r="D93" s="104" t="str">
        <f>"UNKNOWN"</f>
        <v>UNKNOWN</v>
      </c>
      <c r="E93" s="105" t="str">
        <f>""</f>
        <v/>
      </c>
      <c r="F93" s="118" t="s">
        <v>258</v>
      </c>
      <c r="G93" s="103" t="str">
        <f t="shared" si="75"/>
        <v>O</v>
      </c>
      <c r="H93" s="103" t="str">
        <f>"null"</f>
        <v>null</v>
      </c>
      <c r="I93" s="104" t="str">
        <f t="shared" ref="I93:J93" si="81">""</f>
        <v/>
      </c>
      <c r="J93" s="104" t="str">
        <f t="shared" si="81"/>
        <v/>
      </c>
      <c r="K93" s="104"/>
      <c r="L93" s="105"/>
      <c r="M93" s="104"/>
      <c r="N93" s="104"/>
      <c r="O93" s="104"/>
      <c r="P93" s="104"/>
      <c r="Q93" s="104"/>
      <c r="R93" s="104"/>
      <c r="S93" s="104"/>
      <c r="T93" s="107"/>
      <c r="U93" s="107"/>
    </row>
    <row r="94" ht="15.75" hidden="1" customHeight="1">
      <c r="A94" s="103"/>
      <c r="B94" s="104" t="str">
        <f>"PriorityCode"</f>
        <v>PriorityCode</v>
      </c>
      <c r="C94" s="104" t="str">
        <f>"yfs_order_header.priority_code"</f>
        <v>yfs_order_header.priority_code</v>
      </c>
      <c r="D94" s="104" t="str">
        <f>"string"</f>
        <v>string</v>
      </c>
      <c r="E94" s="105" t="str">
        <f>"20"</f>
        <v>20</v>
      </c>
      <c r="F94" s="118" t="s">
        <v>287</v>
      </c>
      <c r="G94" s="103" t="str">
        <f t="shared" si="75"/>
        <v>O</v>
      </c>
      <c r="H94" s="103" t="str">
        <f>"space"</f>
        <v>space</v>
      </c>
      <c r="I94" s="104" t="str">
        <f t="shared" ref="I94:I95" si="82">""</f>
        <v/>
      </c>
      <c r="J94" s="104" t="str">
        <f>"SILVER"</f>
        <v>SILVER</v>
      </c>
      <c r="K94" s="104"/>
      <c r="L94" s="105"/>
      <c r="M94" s="104"/>
      <c r="N94" s="104"/>
      <c r="O94" s="104"/>
      <c r="P94" s="104"/>
      <c r="Q94" s="104"/>
      <c r="R94" s="104"/>
      <c r="S94" s="104"/>
      <c r="T94" s="107"/>
      <c r="U94" s="107"/>
    </row>
    <row r="95" ht="15.75" hidden="1" customHeight="1">
      <c r="A95" s="103"/>
      <c r="B95" s="104" t="str">
        <f>"PriorityNumber"</f>
        <v>PriorityNumber</v>
      </c>
      <c r="C95" s="104" t="str">
        <f>"yfs_order_header.priority_number"</f>
        <v>yfs_order_header.priority_number</v>
      </c>
      <c r="D95" s="104" t="str">
        <f>"nonNegativeInteger"</f>
        <v>nonNegativeInteger</v>
      </c>
      <c r="E95" s="105" t="str">
        <f>"10"</f>
        <v>10</v>
      </c>
      <c r="F95" s="118" t="s">
        <v>288</v>
      </c>
      <c r="G95" s="103" t="str">
        <f t="shared" si="75"/>
        <v>O</v>
      </c>
      <c r="H95" s="103" t="str">
        <f>"0 "</f>
        <v>0 </v>
      </c>
      <c r="I95" s="104" t="str">
        <f t="shared" si="82"/>
        <v/>
      </c>
      <c r="J95" s="104" t="str">
        <f>""</f>
        <v/>
      </c>
      <c r="K95" s="104"/>
      <c r="L95" s="105"/>
      <c r="M95" s="104"/>
      <c r="N95" s="104"/>
      <c r="O95" s="104"/>
      <c r="P95" s="104"/>
      <c r="Q95" s="104"/>
      <c r="R95" s="104"/>
      <c r="S95" s="104"/>
      <c r="T95" s="107"/>
      <c r="U95" s="107"/>
    </row>
    <row r="96" ht="15.75" hidden="1" customHeight="1">
      <c r="A96" s="103"/>
      <c r="B96" s="104" t="str">
        <f>"ProcessPaymentOnReturnOrder"</f>
        <v>ProcessPaymentOnReturnOrder</v>
      </c>
      <c r="C96" s="104" t="str">
        <f>""</f>
        <v/>
      </c>
      <c r="D96" s="104" t="str">
        <f>"string"</f>
        <v>string</v>
      </c>
      <c r="E96" s="105" t="str">
        <f>"1"</f>
        <v>1</v>
      </c>
      <c r="F96" s="118" t="s">
        <v>289</v>
      </c>
      <c r="G96" s="103" t="str">
        <f t="shared" si="75"/>
        <v>O</v>
      </c>
      <c r="H96" s="103" t="str">
        <f t="shared" ref="H96:J96" si="83">""</f>
        <v/>
      </c>
      <c r="I96" s="104" t="str">
        <f t="shared" si="83"/>
        <v/>
      </c>
      <c r="J96" s="104" t="str">
        <f t="shared" si="83"/>
        <v/>
      </c>
      <c r="K96" s="104"/>
      <c r="L96" s="105"/>
      <c r="M96" s="104"/>
      <c r="N96" s="104"/>
      <c r="O96" s="104"/>
      <c r="P96" s="104"/>
      <c r="Q96" s="104"/>
      <c r="R96" s="104"/>
      <c r="S96" s="104"/>
      <c r="T96" s="107"/>
      <c r="U96" s="107"/>
    </row>
    <row r="97" ht="15.75" hidden="1" customHeight="1">
      <c r="A97" s="103"/>
      <c r="B97" s="104" t="str">
        <f>"PurgeHistoryDate"</f>
        <v>PurgeHistoryDate</v>
      </c>
      <c r="C97" s="104" t="str">
        <f>"yfs_order_header.purge_history_date"</f>
        <v>yfs_order_header.purge_history_date</v>
      </c>
      <c r="D97" s="104" t="str">
        <f>"UNKNOWN"</f>
        <v>UNKNOWN</v>
      </c>
      <c r="E97" s="105" t="str">
        <f>""</f>
        <v/>
      </c>
      <c r="F97" s="118" t="s">
        <v>290</v>
      </c>
      <c r="G97" s="103" t="str">
        <f t="shared" si="75"/>
        <v>O</v>
      </c>
      <c r="H97" s="103" t="str">
        <f>"null"</f>
        <v>null</v>
      </c>
      <c r="I97" s="104" t="str">
        <f t="shared" ref="I97:J97" si="84">""</f>
        <v/>
      </c>
      <c r="J97" s="104" t="str">
        <f t="shared" si="84"/>
        <v/>
      </c>
      <c r="K97" s="104"/>
      <c r="L97" s="105"/>
      <c r="M97" s="104"/>
      <c r="N97" s="104"/>
      <c r="O97" s="104"/>
      <c r="P97" s="104"/>
      <c r="Q97" s="104"/>
      <c r="R97" s="104"/>
      <c r="S97" s="104"/>
      <c r="T97" s="107"/>
      <c r="U97" s="107"/>
    </row>
    <row r="98" ht="15.75" hidden="1" customHeight="1">
      <c r="A98" s="103"/>
      <c r="B98" s="104" t="str">
        <f>"Purpose"</f>
        <v>Purpose</v>
      </c>
      <c r="C98" s="104" t="str">
        <f>"yfs_order_header.purpose"</f>
        <v>yfs_order_header.purpose</v>
      </c>
      <c r="D98" s="104" t="str">
        <f t="shared" ref="D98:D99" si="86">"string"</f>
        <v>string</v>
      </c>
      <c r="E98" s="105" t="str">
        <f>"40"</f>
        <v>40</v>
      </c>
      <c r="F98" s="118" t="s">
        <v>291</v>
      </c>
      <c r="G98" s="103" t="str">
        <f t="shared" si="75"/>
        <v>O</v>
      </c>
      <c r="H98" s="103" t="str">
        <f>"space"</f>
        <v>space</v>
      </c>
      <c r="I98" s="104" t="str">
        <f t="shared" ref="I98:J98" si="85">""</f>
        <v/>
      </c>
      <c r="J98" s="104" t="str">
        <f t="shared" si="85"/>
        <v/>
      </c>
      <c r="K98" s="104"/>
      <c r="L98" s="105"/>
      <c r="M98" s="104"/>
      <c r="N98" s="104"/>
      <c r="O98" s="104"/>
      <c r="P98" s="104"/>
      <c r="Q98" s="104"/>
      <c r="R98" s="104"/>
      <c r="S98" s="104"/>
      <c r="T98" s="107"/>
      <c r="U98" s="107"/>
    </row>
    <row r="99" ht="15.75" hidden="1" customHeight="1">
      <c r="A99" s="103"/>
      <c r="B99" s="104" t="str">
        <f>"ReceivingNode"</f>
        <v>ReceivingNode</v>
      </c>
      <c r="C99" s="104" t="str">
        <f>"yfs_order_header.receiving_node"</f>
        <v>yfs_order_header.receiving_node</v>
      </c>
      <c r="D99" s="104" t="str">
        <f t="shared" si="86"/>
        <v>string</v>
      </c>
      <c r="E99" s="105" t="str">
        <f>"24"</f>
        <v>24</v>
      </c>
      <c r="F99" s="118" t="s">
        <v>292</v>
      </c>
      <c r="G99" s="103" t="str">
        <f t="shared" si="75"/>
        <v>O</v>
      </c>
      <c r="H99" s="103" t="str">
        <f t="shared" ref="H99:H102" si="88">"null"</f>
        <v>null</v>
      </c>
      <c r="I99" s="104" t="str">
        <f t="shared" ref="I99:J99" si="87">""</f>
        <v/>
      </c>
      <c r="J99" s="104" t="str">
        <f t="shared" si="87"/>
        <v/>
      </c>
      <c r="K99" s="104"/>
      <c r="L99" s="105"/>
      <c r="M99" s="104"/>
      <c r="N99" s="104"/>
      <c r="O99" s="104"/>
      <c r="P99" s="104"/>
      <c r="Q99" s="104"/>
      <c r="R99" s="104"/>
      <c r="S99" s="104"/>
      <c r="T99" s="107"/>
      <c r="U99" s="107"/>
    </row>
    <row r="100" ht="15.75" hidden="1" customHeight="1">
      <c r="A100" s="103"/>
      <c r="B100" s="104" t="str">
        <f>"ReqCancelDate"</f>
        <v>ReqCancelDate</v>
      </c>
      <c r="C100" s="104" t="str">
        <f>"yfs_order_header.req_cancel_date"</f>
        <v>yfs_order_header.req_cancel_date</v>
      </c>
      <c r="D100" s="104" t="str">
        <f t="shared" ref="D100:D102" si="90">"UNKNOWN"</f>
        <v>UNKNOWN</v>
      </c>
      <c r="E100" s="105" t="str">
        <f t="shared" ref="E100:E102" si="91">""</f>
        <v/>
      </c>
      <c r="F100" s="118" t="s">
        <v>293</v>
      </c>
      <c r="G100" s="103" t="str">
        <f t="shared" si="75"/>
        <v>O</v>
      </c>
      <c r="H100" s="103" t="str">
        <f t="shared" si="88"/>
        <v>null</v>
      </c>
      <c r="I100" s="104" t="str">
        <f t="shared" ref="I100:J100" si="89">""</f>
        <v/>
      </c>
      <c r="J100" s="104" t="str">
        <f t="shared" si="89"/>
        <v/>
      </c>
      <c r="K100" s="104"/>
      <c r="L100" s="105"/>
      <c r="M100" s="104"/>
      <c r="N100" s="104"/>
      <c r="O100" s="104"/>
      <c r="P100" s="104"/>
      <c r="Q100" s="104"/>
      <c r="R100" s="104"/>
      <c r="S100" s="104"/>
      <c r="T100" s="107"/>
      <c r="U100" s="107"/>
    </row>
    <row r="101" ht="15.75" hidden="1" customHeight="1">
      <c r="A101" s="103"/>
      <c r="B101" s="104" t="str">
        <f>"ReqDeliveryDate"</f>
        <v>ReqDeliveryDate</v>
      </c>
      <c r="C101" s="104" t="str">
        <f>"yfs_order_header.req_delivery_date"</f>
        <v>yfs_order_header.req_delivery_date</v>
      </c>
      <c r="D101" s="104" t="str">
        <f t="shared" si="90"/>
        <v>UNKNOWN</v>
      </c>
      <c r="E101" s="105" t="str">
        <f t="shared" si="91"/>
        <v/>
      </c>
      <c r="F101" s="118" t="s">
        <v>294</v>
      </c>
      <c r="G101" s="103" t="str">
        <f t="shared" si="75"/>
        <v>O</v>
      </c>
      <c r="H101" s="103" t="str">
        <f t="shared" si="88"/>
        <v>null</v>
      </c>
      <c r="I101" s="104" t="str">
        <f t="shared" ref="I101:J101" si="92">""</f>
        <v/>
      </c>
      <c r="J101" s="104" t="str">
        <f t="shared" si="92"/>
        <v/>
      </c>
      <c r="K101" s="104"/>
      <c r="L101" s="105"/>
      <c r="M101" s="104"/>
      <c r="N101" s="104"/>
      <c r="O101" s="104"/>
      <c r="P101" s="104"/>
      <c r="Q101" s="104"/>
      <c r="R101" s="104"/>
      <c r="S101" s="104"/>
      <c r="T101" s="107"/>
      <c r="U101" s="107"/>
    </row>
    <row r="102" ht="15.75" hidden="1" customHeight="1">
      <c r="A102" s="103"/>
      <c r="B102" s="104" t="str">
        <f>"ReqShipDate"</f>
        <v>ReqShipDate</v>
      </c>
      <c r="C102" s="104" t="str">
        <f>"yfs_order_header.req_ship_date"</f>
        <v>yfs_order_header.req_ship_date</v>
      </c>
      <c r="D102" s="104" t="str">
        <f t="shared" si="90"/>
        <v>UNKNOWN</v>
      </c>
      <c r="E102" s="105" t="str">
        <f t="shared" si="91"/>
        <v/>
      </c>
      <c r="F102" s="118" t="s">
        <v>295</v>
      </c>
      <c r="G102" s="103" t="str">
        <f t="shared" si="75"/>
        <v>O</v>
      </c>
      <c r="H102" s="103" t="str">
        <f t="shared" si="88"/>
        <v>null</v>
      </c>
      <c r="I102" s="104" t="str">
        <f t="shared" ref="I102:J102" si="93">""</f>
        <v/>
      </c>
      <c r="J102" s="104" t="str">
        <f t="shared" si="93"/>
        <v/>
      </c>
      <c r="K102" s="104"/>
      <c r="L102" s="105"/>
      <c r="M102" s="104"/>
      <c r="N102" s="104"/>
      <c r="O102" s="104"/>
      <c r="P102" s="104"/>
      <c r="Q102" s="104"/>
      <c r="R102" s="104"/>
      <c r="S102" s="104"/>
      <c r="T102" s="107"/>
      <c r="U102" s="107"/>
    </row>
    <row r="103" ht="15.75" hidden="1" customHeight="1">
      <c r="A103" s="103"/>
      <c r="B103" s="104" t="str">
        <f>"ReserveInventoryFlag"</f>
        <v>ReserveInventoryFlag</v>
      </c>
      <c r="C103" s="104" t="str">
        <f>""</f>
        <v/>
      </c>
      <c r="D103" s="104" t="str">
        <f t="shared" ref="D103:D110" si="95">"string"</f>
        <v>string</v>
      </c>
      <c r="E103" s="105" t="str">
        <f t="shared" ref="E103:E104" si="96">"1"</f>
        <v>1</v>
      </c>
      <c r="F103" s="118" t="s">
        <v>296</v>
      </c>
      <c r="G103" s="103" t="str">
        <f t="shared" si="75"/>
        <v>O</v>
      </c>
      <c r="H103" s="103" t="str">
        <f t="shared" ref="H103:J103" si="94">""</f>
        <v/>
      </c>
      <c r="I103" s="104" t="str">
        <f t="shared" si="94"/>
        <v/>
      </c>
      <c r="J103" s="104" t="str">
        <f t="shared" si="94"/>
        <v/>
      </c>
      <c r="K103" s="104"/>
      <c r="L103" s="105"/>
      <c r="M103" s="104"/>
      <c r="N103" s="104"/>
      <c r="O103" s="104"/>
      <c r="P103" s="104"/>
      <c r="Q103" s="104"/>
      <c r="R103" s="104"/>
      <c r="S103" s="104"/>
      <c r="T103" s="107"/>
      <c r="U103" s="107"/>
    </row>
    <row r="104" ht="15.75" hidden="1" customHeight="1">
      <c r="A104" s="103"/>
      <c r="B104" s="104" t="str">
        <f>"ReturnByGiftRecipient"</f>
        <v>ReturnByGiftRecipient</v>
      </c>
      <c r="C104" s="104" t="str">
        <f>"yfs_order_header.return_by_gift_recipient"</f>
        <v>yfs_order_header.return_by_gift_recipient</v>
      </c>
      <c r="D104" s="104" t="str">
        <f t="shared" si="95"/>
        <v>string</v>
      </c>
      <c r="E104" s="105" t="str">
        <f t="shared" si="96"/>
        <v>1</v>
      </c>
      <c r="F104" s="118" t="s">
        <v>297</v>
      </c>
      <c r="G104" s="103" t="str">
        <f t="shared" si="75"/>
        <v>O</v>
      </c>
      <c r="H104" s="103" t="str">
        <f>"space"</f>
        <v>space</v>
      </c>
      <c r="I104" s="104" t="str">
        <f t="shared" ref="I104:J104" si="97">""</f>
        <v/>
      </c>
      <c r="J104" s="104" t="str">
        <f t="shared" si="97"/>
        <v/>
      </c>
      <c r="K104" s="104"/>
      <c r="L104" s="105"/>
      <c r="M104" s="104"/>
      <c r="N104" s="104"/>
      <c r="O104" s="104"/>
      <c r="P104" s="104"/>
      <c r="Q104" s="104"/>
      <c r="R104" s="104"/>
      <c r="S104" s="104"/>
      <c r="T104" s="107"/>
      <c r="U104" s="107"/>
    </row>
    <row r="105" ht="15.75" hidden="1" customHeight="1">
      <c r="A105" s="103"/>
      <c r="B105" s="104" t="str">
        <f>"ReturnOrderHeaderKeyForExchange"</f>
        <v>ReturnOrderHeaderKeyForExchange</v>
      </c>
      <c r="C105" s="104" t="str">
        <f>"yfs_order_header.return_oh_key_for_exchange"</f>
        <v>yfs_order_header.return_oh_key_for_exchange</v>
      </c>
      <c r="D105" s="104" t="str">
        <f t="shared" si="95"/>
        <v>string</v>
      </c>
      <c r="E105" s="105" t="str">
        <f>"24"</f>
        <v>24</v>
      </c>
      <c r="F105" s="118" t="s">
        <v>298</v>
      </c>
      <c r="G105" s="103" t="str">
        <f t="shared" si="75"/>
        <v>O</v>
      </c>
      <c r="H105" s="103" t="str">
        <f>"null"</f>
        <v>null</v>
      </c>
      <c r="I105" s="104" t="str">
        <f t="shared" ref="I105:J105" si="98">""</f>
        <v/>
      </c>
      <c r="J105" s="104" t="str">
        <f t="shared" si="98"/>
        <v/>
      </c>
      <c r="K105" s="104"/>
      <c r="L105" s="105"/>
      <c r="M105" s="104"/>
      <c r="N105" s="104"/>
      <c r="O105" s="104"/>
      <c r="P105" s="104"/>
      <c r="Q105" s="104"/>
      <c r="R105" s="104"/>
      <c r="S105" s="104"/>
      <c r="T105" s="107"/>
      <c r="U105" s="107"/>
    </row>
    <row r="106" ht="15.75" hidden="1" customHeight="1">
      <c r="A106" s="103"/>
      <c r="B106" s="104" t="str">
        <f>"SCAC"</f>
        <v>SCAC</v>
      </c>
      <c r="C106" s="104" t="str">
        <f>"yfs_order_header.scac"</f>
        <v>yfs_order_header.scac</v>
      </c>
      <c r="D106" s="104" t="str">
        <f t="shared" si="95"/>
        <v>string</v>
      </c>
      <c r="E106" s="105">
        <v>15.0</v>
      </c>
      <c r="F106" s="118" t="s">
        <v>299</v>
      </c>
      <c r="G106" s="103" t="str">
        <f t="shared" si="75"/>
        <v>O</v>
      </c>
      <c r="H106" s="103" t="str">
        <f t="shared" ref="H106:H110" si="99">"space"</f>
        <v>space</v>
      </c>
      <c r="I106" s="104" t="str">
        <f t="shared" ref="I106:I110" si="100">""</f>
        <v/>
      </c>
      <c r="J106" s="104" t="str">
        <f>"FEDX"</f>
        <v>FEDX</v>
      </c>
      <c r="K106" s="104"/>
      <c r="L106" s="105"/>
      <c r="M106" s="104"/>
      <c r="N106" s="104"/>
      <c r="O106" s="104"/>
      <c r="P106" s="104"/>
      <c r="Q106" s="104"/>
      <c r="R106" s="104"/>
      <c r="S106" s="104"/>
      <c r="T106" s="107"/>
      <c r="U106" s="107"/>
    </row>
    <row r="107" ht="15.75" hidden="1" customHeight="1">
      <c r="A107" s="103"/>
      <c r="B107" s="104" t="str">
        <f>"ScacAndService"</f>
        <v>ScacAndService</v>
      </c>
      <c r="C107" s="104" t="str">
        <f>"yfs_scac_and_service.scac_and_service"</f>
        <v>yfs_scac_and_service.scac_and_service</v>
      </c>
      <c r="D107" s="104" t="str">
        <f t="shared" si="95"/>
        <v>string</v>
      </c>
      <c r="E107" s="105" t="str">
        <f>"40"</f>
        <v>40</v>
      </c>
      <c r="F107" s="118" t="s">
        <v>300</v>
      </c>
      <c r="G107" s="103" t="str">
        <f t="shared" si="75"/>
        <v>O</v>
      </c>
      <c r="H107" s="103" t="str">
        <f t="shared" si="99"/>
        <v>space</v>
      </c>
      <c r="I107" s="104" t="str">
        <f t="shared" si="100"/>
        <v/>
      </c>
      <c r="J107" s="179" t="str">
        <f>"FEDEX EXPRESS SAVER"</f>
        <v>FEDEX EXPRESS SAVER</v>
      </c>
      <c r="K107" s="104"/>
      <c r="L107" s="105"/>
      <c r="M107" s="104"/>
      <c r="N107" s="104"/>
      <c r="O107" s="104"/>
      <c r="P107" s="104"/>
      <c r="Q107" s="104"/>
      <c r="R107" s="104"/>
      <c r="S107" s="104"/>
      <c r="T107" s="107"/>
      <c r="U107" s="107"/>
    </row>
    <row r="108" ht="15.75" hidden="1" customHeight="1">
      <c r="A108" s="103"/>
      <c r="B108" s="104" t="str">
        <f>"ScacAndServiceKey"</f>
        <v>ScacAndServiceKey</v>
      </c>
      <c r="C108" s="104" t="str">
        <f>"yfs_scac_and_service.scac_and_service_key"</f>
        <v>yfs_scac_and_service.scac_and_service_key</v>
      </c>
      <c r="D108" s="104" t="str">
        <f t="shared" si="95"/>
        <v>string</v>
      </c>
      <c r="E108" s="105" t="str">
        <f>"24"</f>
        <v>24</v>
      </c>
      <c r="F108" s="118" t="s">
        <v>301</v>
      </c>
      <c r="G108" s="103" t="str">
        <f t="shared" si="75"/>
        <v>O</v>
      </c>
      <c r="H108" s="103" t="str">
        <f t="shared" si="99"/>
        <v>space</v>
      </c>
      <c r="I108" s="104" t="str">
        <f t="shared" si="100"/>
        <v/>
      </c>
      <c r="J108" s="104" t="str">
        <f>"2010050314595404432"</f>
        <v>2010050314595404432</v>
      </c>
      <c r="K108" s="104"/>
      <c r="L108" s="105"/>
      <c r="M108" s="104"/>
      <c r="N108" s="104"/>
      <c r="O108" s="104"/>
      <c r="P108" s="104"/>
      <c r="Q108" s="104"/>
      <c r="R108" s="104"/>
      <c r="S108" s="104"/>
      <c r="T108" s="107"/>
      <c r="U108" s="107"/>
    </row>
    <row r="109" ht="15.75" hidden="1" customHeight="1">
      <c r="A109" s="103"/>
      <c r="B109" s="104" t="str">
        <f>"SearchCriteria1"</f>
        <v>SearchCriteria1</v>
      </c>
      <c r="C109" s="104" t="str">
        <f>"yfs_order_header.search_criteria_1"</f>
        <v>yfs_order_header.search_criteria_1</v>
      </c>
      <c r="D109" s="104" t="str">
        <f t="shared" si="95"/>
        <v>string</v>
      </c>
      <c r="E109" s="105" t="str">
        <f t="shared" ref="E109:E110" si="101">"100"</f>
        <v>100</v>
      </c>
      <c r="F109" s="118" t="s">
        <v>302</v>
      </c>
      <c r="G109" s="103" t="str">
        <f t="shared" si="75"/>
        <v>O</v>
      </c>
      <c r="H109" s="103" t="str">
        <f t="shared" si="99"/>
        <v>space</v>
      </c>
      <c r="I109" s="104" t="str">
        <f t="shared" si="100"/>
        <v/>
      </c>
      <c r="J109" s="104" t="str">
        <f t="shared" ref="J109:J110" si="102">""</f>
        <v/>
      </c>
      <c r="K109" s="104"/>
      <c r="L109" s="105"/>
      <c r="M109" s="104"/>
      <c r="N109" s="104"/>
      <c r="O109" s="104"/>
      <c r="P109" s="104"/>
      <c r="Q109" s="104"/>
      <c r="R109" s="104"/>
      <c r="S109" s="104"/>
      <c r="T109" s="107"/>
      <c r="U109" s="107"/>
    </row>
    <row r="110" hidden="1">
      <c r="A110" s="103"/>
      <c r="B110" s="104" t="str">
        <f>"SearchCriteria2"</f>
        <v>SearchCriteria2</v>
      </c>
      <c r="C110" s="104" t="str">
        <f>"yfs_order_header.search_criteria_2"</f>
        <v>yfs_order_header.search_criteria_2</v>
      </c>
      <c r="D110" s="104" t="str">
        <f t="shared" si="95"/>
        <v>string</v>
      </c>
      <c r="E110" s="105" t="str">
        <f t="shared" si="101"/>
        <v>100</v>
      </c>
      <c r="F110" s="118" t="s">
        <v>302</v>
      </c>
      <c r="G110" s="103" t="str">
        <f t="shared" si="75"/>
        <v>O</v>
      </c>
      <c r="H110" s="103" t="str">
        <f t="shared" si="99"/>
        <v>space</v>
      </c>
      <c r="I110" s="104" t="str">
        <f t="shared" si="100"/>
        <v/>
      </c>
      <c r="J110" s="104" t="str">
        <f t="shared" si="102"/>
        <v/>
      </c>
      <c r="K110" s="104"/>
      <c r="L110" s="105"/>
      <c r="M110" s="104"/>
      <c r="N110" s="104"/>
      <c r="O110" s="104"/>
      <c r="P110" s="104"/>
      <c r="Q110" s="104"/>
      <c r="R110" s="104"/>
      <c r="S110" s="104"/>
      <c r="T110" s="107"/>
      <c r="U110" s="107"/>
    </row>
    <row r="111">
      <c r="A111" s="108" t="s">
        <v>66</v>
      </c>
      <c r="B111" s="109" t="s">
        <v>303</v>
      </c>
      <c r="C111" s="109" t="s">
        <v>304</v>
      </c>
      <c r="D111" s="109" t="s">
        <v>131</v>
      </c>
      <c r="E111" s="108">
        <v>40.0</v>
      </c>
      <c r="F111" s="180" t="s">
        <v>305</v>
      </c>
      <c r="G111" s="181" t="s">
        <v>306</v>
      </c>
      <c r="H111" s="108"/>
      <c r="I111" s="109"/>
      <c r="J111" s="182" t="s">
        <v>307</v>
      </c>
      <c r="K111" s="109"/>
      <c r="L111" s="112" t="s">
        <v>92</v>
      </c>
      <c r="M111" s="164" t="s">
        <v>308</v>
      </c>
      <c r="N111" s="164" t="s">
        <v>308</v>
      </c>
      <c r="O111" s="164" t="s">
        <v>308</v>
      </c>
      <c r="P111" s="164" t="s">
        <v>308</v>
      </c>
      <c r="Q111" s="164" t="s">
        <v>308</v>
      </c>
      <c r="R111" s="164" t="s">
        <v>309</v>
      </c>
      <c r="S111" s="164" t="s">
        <v>242</v>
      </c>
      <c r="T111" s="110" t="s">
        <v>310</v>
      </c>
      <c r="U111" s="164"/>
    </row>
    <row r="112" hidden="1">
      <c r="A112" s="117" t="s">
        <v>92</v>
      </c>
      <c r="B112" s="104" t="s">
        <v>311</v>
      </c>
      <c r="C112" s="104"/>
      <c r="D112" s="104" t="s">
        <v>131</v>
      </c>
      <c r="E112" s="103">
        <v>40.0</v>
      </c>
      <c r="F112" s="183" t="s">
        <v>312</v>
      </c>
      <c r="G112" s="103" t="s">
        <v>77</v>
      </c>
      <c r="H112" s="103"/>
      <c r="I112" s="104"/>
      <c r="J112" s="184"/>
      <c r="K112" s="104"/>
      <c r="L112" s="119" t="s">
        <v>92</v>
      </c>
      <c r="M112" s="185" t="s">
        <v>313</v>
      </c>
      <c r="N112" s="185"/>
      <c r="O112" s="185" t="s">
        <v>313</v>
      </c>
      <c r="P112" s="185" t="s">
        <v>313</v>
      </c>
      <c r="Q112" s="185" t="s">
        <v>313</v>
      </c>
      <c r="R112" s="119"/>
      <c r="S112" s="119"/>
      <c r="T112" s="186"/>
      <c r="U112" s="186"/>
    </row>
    <row r="113" hidden="1">
      <c r="A113" s="117" t="s">
        <v>92</v>
      </c>
      <c r="B113" s="104" t="s">
        <v>314</v>
      </c>
      <c r="C113" s="104" t="s">
        <v>315</v>
      </c>
      <c r="D113" s="104" t="s">
        <v>131</v>
      </c>
      <c r="E113" s="103">
        <v>100.0</v>
      </c>
      <c r="F113" s="183" t="s">
        <v>316</v>
      </c>
      <c r="G113" s="119" t="s">
        <v>77</v>
      </c>
      <c r="H113" s="103" t="s">
        <v>317</v>
      </c>
      <c r="I113" s="104"/>
      <c r="J113" s="184"/>
      <c r="K113" s="104"/>
      <c r="L113" s="119" t="s">
        <v>92</v>
      </c>
      <c r="M113" s="155" t="s">
        <v>318</v>
      </c>
      <c r="N113" s="155"/>
      <c r="O113" s="155" t="s">
        <v>318</v>
      </c>
      <c r="P113" s="155" t="s">
        <v>318</v>
      </c>
      <c r="Q113" s="155" t="s">
        <v>318</v>
      </c>
      <c r="R113" s="119"/>
      <c r="S113" s="119"/>
      <c r="T113" s="186"/>
      <c r="U113" s="186"/>
    </row>
    <row r="114">
      <c r="A114" s="108" t="s">
        <v>66</v>
      </c>
      <c r="B114" s="109" t="str">
        <f>"SellerOrganizationCode"</f>
        <v>SellerOrganizationCode</v>
      </c>
      <c r="C114" s="109" t="str">
        <f>"yfs_order_header.seller_organization_code"</f>
        <v>yfs_order_header.seller_organization_code</v>
      </c>
      <c r="D114" s="109" t="str">
        <f t="shared" ref="D114:D120" si="103">"string"</f>
        <v>string</v>
      </c>
      <c r="E114" s="108" t="str">
        <f>"24"</f>
        <v>24</v>
      </c>
      <c r="F114" s="131" t="s">
        <v>319</v>
      </c>
      <c r="G114" s="112" t="s">
        <v>134</v>
      </c>
      <c r="H114" s="111" t="s">
        <v>198</v>
      </c>
      <c r="I114" s="109" t="str">
        <f>""</f>
        <v/>
      </c>
      <c r="J114" s="113" t="s">
        <v>198</v>
      </c>
      <c r="K114" s="109" t="s">
        <v>320</v>
      </c>
      <c r="L114" s="112" t="s">
        <v>92</v>
      </c>
      <c r="M114" s="145" t="s">
        <v>321</v>
      </c>
      <c r="N114" s="145" t="s">
        <v>321</v>
      </c>
      <c r="O114" s="145" t="s">
        <v>321</v>
      </c>
      <c r="P114" s="145" t="s">
        <v>321</v>
      </c>
      <c r="Q114" s="164" t="s">
        <v>321</v>
      </c>
      <c r="R114" s="145"/>
      <c r="S114" s="145"/>
      <c r="T114" s="145"/>
      <c r="U114" s="145"/>
    </row>
    <row r="115">
      <c r="A115" s="108" t="s">
        <v>66</v>
      </c>
      <c r="B115" s="113" t="s">
        <v>322</v>
      </c>
      <c r="C115" s="109" t="str">
        <f>"yfs_order_header.Notification_Type"</f>
        <v>yfs_order_header.Notification_Type</v>
      </c>
      <c r="D115" s="109" t="str">
        <f t="shared" si="103"/>
        <v>string</v>
      </c>
      <c r="E115" s="111">
        <v>20.0</v>
      </c>
      <c r="F115" s="124" t="s">
        <v>323</v>
      </c>
      <c r="G115" s="136" t="s">
        <v>77</v>
      </c>
      <c r="H115" s="145" t="s">
        <v>324</v>
      </c>
      <c r="I115" s="109"/>
      <c r="J115" s="113" t="s">
        <v>325</v>
      </c>
      <c r="K115" s="109"/>
      <c r="L115" s="112" t="s">
        <v>92</v>
      </c>
      <c r="M115" s="110" t="s">
        <v>326</v>
      </c>
      <c r="N115" s="110" t="s">
        <v>326</v>
      </c>
      <c r="O115" s="110" t="s">
        <v>326</v>
      </c>
      <c r="P115" s="110" t="s">
        <v>326</v>
      </c>
      <c r="Q115" s="113" t="s">
        <v>326</v>
      </c>
      <c r="R115" s="145" t="s">
        <v>327</v>
      </c>
      <c r="S115" s="145" t="s">
        <v>201</v>
      </c>
      <c r="T115" s="145"/>
      <c r="U115" s="145"/>
    </row>
    <row r="116" ht="15.75" hidden="1" customHeight="1">
      <c r="A116" s="103"/>
      <c r="B116" s="104" t="str">
        <f>"ShipNode"</f>
        <v>ShipNode</v>
      </c>
      <c r="C116" s="104" t="str">
        <f>"yfs_order_header.ship_node"</f>
        <v>yfs_order_header.ship_node</v>
      </c>
      <c r="D116" s="104" t="str">
        <f t="shared" si="103"/>
        <v>string</v>
      </c>
      <c r="E116" s="105" t="s">
        <v>328</v>
      </c>
      <c r="F116" s="118" t="s">
        <v>329</v>
      </c>
      <c r="G116" s="103" t="str">
        <f t="shared" ref="G116:G133" si="104">"O"</f>
        <v>O</v>
      </c>
      <c r="H116" s="103" t="str">
        <f t="shared" ref="H116:H117" si="105">"null"</f>
        <v>null</v>
      </c>
      <c r="I116" s="104" t="str">
        <f t="shared" ref="I116:I118" si="106">""</f>
        <v/>
      </c>
      <c r="J116" s="104" t="str">
        <f>"1449"</f>
        <v>1449</v>
      </c>
      <c r="K116" s="104"/>
      <c r="L116" s="105"/>
      <c r="M116" s="104"/>
      <c r="N116" s="104"/>
      <c r="O116" s="104"/>
      <c r="P116" s="104"/>
      <c r="Q116" s="104"/>
      <c r="R116" s="104"/>
      <c r="S116" s="104"/>
      <c r="T116" s="107"/>
      <c r="U116" s="107"/>
    </row>
    <row r="117" ht="15.75" hidden="1" customHeight="1">
      <c r="A117" s="103"/>
      <c r="B117" s="104" t="str">
        <f>"ShipToID"</f>
        <v>ShipToID</v>
      </c>
      <c r="C117" s="104" t="str">
        <f>"yfs_order_header.ship_to_id"</f>
        <v>yfs_order_header.ship_to_id</v>
      </c>
      <c r="D117" s="104" t="str">
        <f t="shared" si="103"/>
        <v>string</v>
      </c>
      <c r="E117" s="105" t="str">
        <f>"40"</f>
        <v>40</v>
      </c>
      <c r="F117" s="104" t="s">
        <v>330</v>
      </c>
      <c r="G117" s="103" t="str">
        <f t="shared" si="104"/>
        <v>O</v>
      </c>
      <c r="H117" s="103" t="str">
        <f t="shared" si="105"/>
        <v>null</v>
      </c>
      <c r="I117" s="104" t="str">
        <f t="shared" si="106"/>
        <v/>
      </c>
      <c r="J117" s="104" t="str">
        <f>""</f>
        <v/>
      </c>
      <c r="K117" s="104"/>
      <c r="L117" s="105"/>
      <c r="M117" s="104"/>
      <c r="N117" s="104"/>
      <c r="O117" s="104"/>
      <c r="P117" s="104"/>
      <c r="Q117" s="104"/>
      <c r="R117" s="104"/>
      <c r="S117" s="104"/>
      <c r="T117" s="107"/>
      <c r="U117" s="107"/>
    </row>
    <row r="118" ht="15.75" hidden="1" customHeight="1">
      <c r="A118" s="103"/>
      <c r="B118" s="104" t="str">
        <f>"ShipToKey"</f>
        <v>ShipToKey</v>
      </c>
      <c r="C118" s="104" t="str">
        <f>"yfs_order_header.ship_to_key"</f>
        <v>yfs_order_header.ship_to_key</v>
      </c>
      <c r="D118" s="104" t="str">
        <f t="shared" si="103"/>
        <v>string</v>
      </c>
      <c r="E118" s="105" t="str">
        <f>"24"</f>
        <v>24</v>
      </c>
      <c r="F118" s="104" t="s">
        <v>331</v>
      </c>
      <c r="G118" s="103" t="str">
        <f t="shared" si="104"/>
        <v>O</v>
      </c>
      <c r="H118" s="103" t="str">
        <f>"space"</f>
        <v>space</v>
      </c>
      <c r="I118" s="104" t="str">
        <f t="shared" si="106"/>
        <v/>
      </c>
      <c r="J118" s="104" t="str">
        <f>"2010050314595406140"</f>
        <v>2010050314595406140</v>
      </c>
      <c r="K118" s="104"/>
      <c r="L118" s="105"/>
      <c r="M118" s="104"/>
      <c r="N118" s="104"/>
      <c r="O118" s="104"/>
      <c r="P118" s="104"/>
      <c r="Q118" s="104"/>
      <c r="R118" s="104"/>
      <c r="S118" s="104"/>
      <c r="T118" s="107"/>
      <c r="U118" s="107"/>
    </row>
    <row r="119" ht="15.75" hidden="1" customHeight="1">
      <c r="A119" s="103"/>
      <c r="B119" s="104" t="str">
        <f>"SkipBOMValidations"</f>
        <v>SkipBOMValidations</v>
      </c>
      <c r="C119" s="104" t="str">
        <f>""</f>
        <v/>
      </c>
      <c r="D119" s="104" t="str">
        <f t="shared" si="103"/>
        <v>string</v>
      </c>
      <c r="E119" s="105" t="str">
        <f>"1"</f>
        <v>1</v>
      </c>
      <c r="F119" s="104" t="s">
        <v>332</v>
      </c>
      <c r="G119" s="103" t="str">
        <f t="shared" si="104"/>
        <v>O</v>
      </c>
      <c r="H119" s="103" t="str">
        <f>""</f>
        <v/>
      </c>
      <c r="I119" s="104" t="str">
        <f>"N, Y"</f>
        <v>N, Y</v>
      </c>
      <c r="J119" s="104" t="str">
        <f>""</f>
        <v/>
      </c>
      <c r="K119" s="104"/>
      <c r="L119" s="105"/>
      <c r="M119" s="104"/>
      <c r="N119" s="104"/>
      <c r="O119" s="104"/>
      <c r="P119" s="104"/>
      <c r="Q119" s="104"/>
      <c r="R119" s="104"/>
      <c r="S119" s="104"/>
      <c r="T119" s="107"/>
      <c r="U119" s="107"/>
    </row>
    <row r="120" ht="15.75" hidden="1" customHeight="1">
      <c r="A120" s="103"/>
      <c r="B120" s="104" t="str">
        <f>"SoldToKey"</f>
        <v>SoldToKey</v>
      </c>
      <c r="C120" s="104" t="str">
        <f>"yfs_order_header.sold_to_key"</f>
        <v>yfs_order_header.sold_to_key</v>
      </c>
      <c r="D120" s="104" t="str">
        <f t="shared" si="103"/>
        <v>string</v>
      </c>
      <c r="E120" s="105" t="str">
        <f>"24"</f>
        <v>24</v>
      </c>
      <c r="F120" s="104" t="s">
        <v>258</v>
      </c>
      <c r="G120" s="103" t="str">
        <f t="shared" si="104"/>
        <v>O</v>
      </c>
      <c r="H120" s="103" t="str">
        <f t="shared" ref="H120:H123" si="107">"null"</f>
        <v>null</v>
      </c>
      <c r="I120" s="104" t="str">
        <f t="shared" ref="I120:I129" si="108">""</f>
        <v/>
      </c>
      <c r="J120" s="104" t="str">
        <f>"2010050314595409568"</f>
        <v>2010050314595409568</v>
      </c>
      <c r="K120" s="104"/>
      <c r="L120" s="105"/>
      <c r="M120" s="104"/>
      <c r="N120" s="104"/>
      <c r="O120" s="104"/>
      <c r="P120" s="104"/>
      <c r="Q120" s="104"/>
      <c r="R120" s="104"/>
      <c r="S120" s="104"/>
      <c r="T120" s="107"/>
      <c r="U120" s="107"/>
    </row>
    <row r="121" ht="15.75" hidden="1" customHeight="1">
      <c r="A121" s="103"/>
      <c r="B121" s="104" t="str">
        <f>"SourceKey"</f>
        <v>SourceKey</v>
      </c>
      <c r="C121" s="104" t="str">
        <f>"yfs_order_header.source_key"</f>
        <v>yfs_order_header.source_key</v>
      </c>
      <c r="D121" s="104" t="str">
        <f>"UNKNOWN"</f>
        <v>UNKNOWN</v>
      </c>
      <c r="E121" s="105" t="str">
        <f>""</f>
        <v/>
      </c>
      <c r="F121" s="104" t="s">
        <v>333</v>
      </c>
      <c r="G121" s="103" t="str">
        <f t="shared" si="104"/>
        <v>O</v>
      </c>
      <c r="H121" s="103" t="str">
        <f t="shared" si="107"/>
        <v>null</v>
      </c>
      <c r="I121" s="104" t="str">
        <f t="shared" si="108"/>
        <v/>
      </c>
      <c r="J121" s="104" t="str">
        <f>"2010050314595408078"</f>
        <v>2010050314595408078</v>
      </c>
      <c r="K121" s="104"/>
      <c r="L121" s="105"/>
      <c r="M121" s="104"/>
      <c r="N121" s="104"/>
      <c r="O121" s="104"/>
      <c r="P121" s="104"/>
      <c r="Q121" s="104"/>
      <c r="R121" s="104"/>
      <c r="S121" s="104"/>
      <c r="T121" s="107"/>
      <c r="U121" s="107"/>
    </row>
    <row r="122" ht="15.75" hidden="1" customHeight="1">
      <c r="A122" s="103"/>
      <c r="B122" s="104" t="str">
        <f>"SourceType"</f>
        <v>SourceType</v>
      </c>
      <c r="C122" s="104" t="str">
        <f>"yfs_order_header.source_type"</f>
        <v>yfs_order_header.source_type</v>
      </c>
      <c r="D122" s="104" t="str">
        <f t="shared" ref="D122:D133" si="109">"string"</f>
        <v>string</v>
      </c>
      <c r="E122" s="105" t="str">
        <f t="shared" ref="E122:E123" si="110">"40"</f>
        <v>40</v>
      </c>
      <c r="F122" s="104" t="s">
        <v>334</v>
      </c>
      <c r="G122" s="103" t="str">
        <f t="shared" si="104"/>
        <v>O</v>
      </c>
      <c r="H122" s="103" t="str">
        <f t="shared" si="107"/>
        <v>null</v>
      </c>
      <c r="I122" s="104" t="str">
        <f t="shared" si="108"/>
        <v/>
      </c>
      <c r="J122" s="104" t="str">
        <f t="shared" ref="J122:J123" si="111">""</f>
        <v/>
      </c>
      <c r="K122" s="104"/>
      <c r="L122" s="105"/>
      <c r="M122" s="104"/>
      <c r="N122" s="104"/>
      <c r="O122" s="104"/>
      <c r="P122" s="104"/>
      <c r="Q122" s="104"/>
      <c r="R122" s="104"/>
      <c r="S122" s="104"/>
      <c r="T122" s="107"/>
      <c r="U122" s="107"/>
    </row>
    <row r="123" ht="15.75" hidden="1" customHeight="1">
      <c r="A123" s="103"/>
      <c r="B123" s="104" t="str">
        <f>"SourcingClassification"</f>
        <v>SourcingClassification</v>
      </c>
      <c r="C123" s="104" t="str">
        <f>"yfs_order_header.sourcing_classification"</f>
        <v>yfs_order_header.sourcing_classification</v>
      </c>
      <c r="D123" s="104" t="str">
        <f t="shared" si="109"/>
        <v>string</v>
      </c>
      <c r="E123" s="105" t="str">
        <f t="shared" si="110"/>
        <v>40</v>
      </c>
      <c r="F123" s="104" t="s">
        <v>335</v>
      </c>
      <c r="G123" s="103" t="str">
        <f t="shared" si="104"/>
        <v>O</v>
      </c>
      <c r="H123" s="103" t="str">
        <f t="shared" si="107"/>
        <v>null</v>
      </c>
      <c r="I123" s="104" t="str">
        <f t="shared" si="108"/>
        <v/>
      </c>
      <c r="J123" s="104" t="str">
        <f t="shared" si="111"/>
        <v/>
      </c>
      <c r="K123" s="104"/>
      <c r="L123" s="105"/>
      <c r="M123" s="104"/>
      <c r="N123" s="104"/>
      <c r="O123" s="104"/>
      <c r="P123" s="104"/>
      <c r="Q123" s="104"/>
      <c r="R123" s="104"/>
      <c r="S123" s="104"/>
      <c r="T123" s="107"/>
      <c r="U123" s="107"/>
    </row>
    <row r="124" ht="15.75" hidden="1" customHeight="1">
      <c r="A124" s="103"/>
      <c r="B124" s="104" t="str">
        <f>"TaxExemptFlag"</f>
        <v>TaxExemptFlag</v>
      </c>
      <c r="C124" s="104" t="str">
        <f>"yfs_order_header.tax_exempt_flag"</f>
        <v>yfs_order_header.tax_exempt_flag</v>
      </c>
      <c r="D124" s="104" t="str">
        <f t="shared" si="109"/>
        <v>string</v>
      </c>
      <c r="E124" s="105" t="str">
        <f>"1"</f>
        <v>1</v>
      </c>
      <c r="F124" s="118" t="s">
        <v>336</v>
      </c>
      <c r="G124" s="103" t="str">
        <f t="shared" si="104"/>
        <v>O</v>
      </c>
      <c r="H124" s="103" t="str">
        <f t="shared" ref="H124:H127" si="112">"space"</f>
        <v>space</v>
      </c>
      <c r="I124" s="104" t="str">
        <f t="shared" si="108"/>
        <v/>
      </c>
      <c r="J124" s="104" t="str">
        <f>"Y"</f>
        <v>Y</v>
      </c>
      <c r="K124" s="104"/>
      <c r="L124" s="105"/>
      <c r="M124" s="104"/>
      <c r="N124" s="104"/>
      <c r="O124" s="104"/>
      <c r="P124" s="104"/>
      <c r="Q124" s="104"/>
      <c r="R124" s="104"/>
      <c r="S124" s="104"/>
      <c r="T124" s="107"/>
      <c r="U124" s="107"/>
    </row>
    <row r="125" ht="15.75" hidden="1" customHeight="1">
      <c r="A125" s="103"/>
      <c r="B125" s="104" t="str">
        <f>"TaxExemptionCertificate"</f>
        <v>TaxExemptionCertificate</v>
      </c>
      <c r="C125" s="104" t="str">
        <f>"yfs_order_header.tax_exemption_certificate"</f>
        <v>yfs_order_header.tax_exemption_certificate</v>
      </c>
      <c r="D125" s="104" t="str">
        <f t="shared" si="109"/>
        <v>string</v>
      </c>
      <c r="E125" s="105" t="str">
        <f t="shared" ref="E125:E128" si="113">"40"</f>
        <v>40</v>
      </c>
      <c r="F125" s="104" t="s">
        <v>337</v>
      </c>
      <c r="G125" s="103" t="str">
        <f t="shared" si="104"/>
        <v>O</v>
      </c>
      <c r="H125" s="103" t="str">
        <f t="shared" si="112"/>
        <v>space</v>
      </c>
      <c r="I125" s="104" t="str">
        <f t="shared" si="108"/>
        <v/>
      </c>
      <c r="J125" s="104" t="str">
        <f t="shared" ref="J125:J129" si="114">""</f>
        <v/>
      </c>
      <c r="K125" s="104"/>
      <c r="L125" s="105"/>
      <c r="M125" s="104"/>
      <c r="N125" s="104"/>
      <c r="O125" s="104"/>
      <c r="P125" s="104"/>
      <c r="Q125" s="104"/>
      <c r="R125" s="104"/>
      <c r="S125" s="104"/>
      <c r="T125" s="107"/>
      <c r="U125" s="107"/>
    </row>
    <row r="126" ht="15.75" hidden="1" customHeight="1">
      <c r="A126" s="103"/>
      <c r="B126" s="104" t="str">
        <f>"TaxJurisdiction"</f>
        <v>TaxJurisdiction</v>
      </c>
      <c r="C126" s="104" t="str">
        <f>"yfs_order_header.tax_jurisdiction"</f>
        <v>yfs_order_header.tax_jurisdiction</v>
      </c>
      <c r="D126" s="104" t="str">
        <f t="shared" si="109"/>
        <v>string</v>
      </c>
      <c r="E126" s="105" t="str">
        <f t="shared" si="113"/>
        <v>40</v>
      </c>
      <c r="F126" s="104" t="s">
        <v>338</v>
      </c>
      <c r="G126" s="103" t="str">
        <f t="shared" si="104"/>
        <v>O</v>
      </c>
      <c r="H126" s="103" t="str">
        <f t="shared" si="112"/>
        <v>space</v>
      </c>
      <c r="I126" s="104" t="str">
        <f t="shared" si="108"/>
        <v/>
      </c>
      <c r="J126" s="104" t="str">
        <f t="shared" si="114"/>
        <v/>
      </c>
      <c r="K126" s="104"/>
      <c r="L126" s="105"/>
      <c r="M126" s="104"/>
      <c r="N126" s="104"/>
      <c r="O126" s="104"/>
      <c r="P126" s="104"/>
      <c r="Q126" s="104"/>
      <c r="R126" s="104"/>
      <c r="S126" s="104"/>
      <c r="T126" s="107"/>
      <c r="U126" s="107"/>
    </row>
    <row r="127" ht="15.75" hidden="1" customHeight="1">
      <c r="A127" s="103"/>
      <c r="B127" s="104" t="str">
        <f>"TaxPayerId"</f>
        <v>TaxPayerId</v>
      </c>
      <c r="C127" s="104" t="str">
        <f>"yfs_order_header.taxpayer_id"</f>
        <v>yfs_order_header.taxpayer_id</v>
      </c>
      <c r="D127" s="104" t="str">
        <f t="shared" si="109"/>
        <v>string</v>
      </c>
      <c r="E127" s="105" t="str">
        <f t="shared" si="113"/>
        <v>40</v>
      </c>
      <c r="F127" s="104" t="s">
        <v>339</v>
      </c>
      <c r="G127" s="103" t="str">
        <f t="shared" si="104"/>
        <v>O</v>
      </c>
      <c r="H127" s="103" t="str">
        <f t="shared" si="112"/>
        <v>space</v>
      </c>
      <c r="I127" s="104" t="str">
        <f t="shared" si="108"/>
        <v/>
      </c>
      <c r="J127" s="104" t="str">
        <f t="shared" si="114"/>
        <v/>
      </c>
      <c r="K127" s="104"/>
      <c r="L127" s="105"/>
      <c r="M127" s="104"/>
      <c r="N127" s="104"/>
      <c r="O127" s="104"/>
      <c r="P127" s="104"/>
      <c r="Q127" s="104"/>
      <c r="R127" s="104"/>
      <c r="S127" s="104"/>
      <c r="T127" s="107"/>
      <c r="U127" s="107"/>
    </row>
    <row r="128" ht="15.75" hidden="1" customHeight="1">
      <c r="A128" s="103"/>
      <c r="B128" s="104" t="str">
        <f>"TeamCode"</f>
        <v>TeamCode</v>
      </c>
      <c r="C128" s="104" t="str">
        <f>"yfs_order_header.team_code"</f>
        <v>yfs_order_header.team_code</v>
      </c>
      <c r="D128" s="104" t="str">
        <f t="shared" si="109"/>
        <v>string</v>
      </c>
      <c r="E128" s="105" t="str">
        <f t="shared" si="113"/>
        <v>40</v>
      </c>
      <c r="F128" s="104" t="s">
        <v>341</v>
      </c>
      <c r="G128" s="103" t="str">
        <f t="shared" si="104"/>
        <v>O</v>
      </c>
      <c r="H128" s="103" t="str">
        <f>"null"</f>
        <v>null</v>
      </c>
      <c r="I128" s="104" t="str">
        <f t="shared" si="108"/>
        <v/>
      </c>
      <c r="J128" s="104" t="str">
        <f t="shared" si="114"/>
        <v/>
      </c>
      <c r="K128" s="104"/>
      <c r="L128" s="105"/>
      <c r="M128" s="104"/>
      <c r="N128" s="104"/>
      <c r="O128" s="104"/>
      <c r="P128" s="104"/>
      <c r="Q128" s="104"/>
      <c r="R128" s="104"/>
      <c r="S128" s="104"/>
      <c r="T128" s="107"/>
      <c r="U128" s="107"/>
    </row>
    <row r="129" ht="15.75" hidden="1" customHeight="1">
      <c r="A129" s="103"/>
      <c r="B129" s="104" t="str">
        <f>"TermsCode"</f>
        <v>TermsCode</v>
      </c>
      <c r="C129" s="104" t="str">
        <f>"yfs_order_header.terms_code"</f>
        <v>yfs_order_header.terms_code</v>
      </c>
      <c r="D129" s="104" t="str">
        <f t="shared" si="109"/>
        <v>string</v>
      </c>
      <c r="E129" s="105" t="str">
        <f>"20"</f>
        <v>20</v>
      </c>
      <c r="F129" s="104" t="s">
        <v>342</v>
      </c>
      <c r="G129" s="103" t="str">
        <f t="shared" si="104"/>
        <v>O</v>
      </c>
      <c r="H129" s="103" t="str">
        <f>"space"</f>
        <v>space</v>
      </c>
      <c r="I129" s="104" t="str">
        <f t="shared" si="108"/>
        <v/>
      </c>
      <c r="J129" s="104" t="str">
        <f t="shared" si="114"/>
        <v/>
      </c>
      <c r="K129" s="104"/>
      <c r="L129" s="105"/>
      <c r="M129" s="104"/>
      <c r="N129" s="104"/>
      <c r="O129" s="104"/>
      <c r="P129" s="104"/>
      <c r="Q129" s="104"/>
      <c r="R129" s="104"/>
      <c r="S129" s="104"/>
      <c r="T129" s="107"/>
      <c r="U129" s="107"/>
    </row>
    <row r="130" ht="15.75" hidden="1" customHeight="1">
      <c r="A130" s="103"/>
      <c r="B130" s="104" t="str">
        <f>"ValidateExternalCoupons"</f>
        <v>ValidateExternalCoupons</v>
      </c>
      <c r="C130" s="104" t="str">
        <f t="shared" ref="C130:C132" si="116">""</f>
        <v/>
      </c>
      <c r="D130" s="104" t="str">
        <f t="shared" si="109"/>
        <v>string</v>
      </c>
      <c r="E130" s="105" t="str">
        <f t="shared" ref="E130:E132" si="117">"1"</f>
        <v>1</v>
      </c>
      <c r="F130" s="104" t="s">
        <v>344</v>
      </c>
      <c r="G130" s="103" t="str">
        <f t="shared" si="104"/>
        <v>O</v>
      </c>
      <c r="H130" s="103" t="str">
        <f t="shared" ref="H130:J130" si="115">""</f>
        <v/>
      </c>
      <c r="I130" s="104" t="str">
        <f t="shared" si="115"/>
        <v/>
      </c>
      <c r="J130" s="104" t="str">
        <f t="shared" si="115"/>
        <v/>
      </c>
      <c r="K130" s="104"/>
      <c r="L130" s="105"/>
      <c r="M130" s="104"/>
      <c r="N130" s="104"/>
      <c r="O130" s="104"/>
      <c r="P130" s="104"/>
      <c r="Q130" s="104"/>
      <c r="R130" s="104"/>
      <c r="S130" s="104"/>
      <c r="T130" s="107"/>
      <c r="U130" s="107"/>
    </row>
    <row r="131" ht="15.75" hidden="1" customHeight="1">
      <c r="A131" s="103" t="s">
        <v>92</v>
      </c>
      <c r="B131" s="193" t="str">
        <f>"ValidateItem"</f>
        <v>ValidateItem</v>
      </c>
      <c r="C131" s="104" t="str">
        <f t="shared" si="116"/>
        <v/>
      </c>
      <c r="D131" s="104" t="str">
        <f t="shared" si="109"/>
        <v>string</v>
      </c>
      <c r="E131" s="105" t="str">
        <f t="shared" si="117"/>
        <v>1</v>
      </c>
      <c r="F131" s="118" t="s">
        <v>345</v>
      </c>
      <c r="G131" s="103" t="str">
        <f t="shared" si="104"/>
        <v>O</v>
      </c>
      <c r="H131" s="103" t="str">
        <f t="shared" ref="H131:J131" si="118">""</f>
        <v/>
      </c>
      <c r="I131" s="104" t="str">
        <f t="shared" si="118"/>
        <v/>
      </c>
      <c r="J131" s="104" t="str">
        <f t="shared" si="118"/>
        <v/>
      </c>
      <c r="K131" s="104" t="s">
        <v>346</v>
      </c>
      <c r="L131" s="105"/>
      <c r="M131" s="104"/>
      <c r="N131" s="104"/>
      <c r="O131" s="104"/>
      <c r="P131" s="104"/>
      <c r="Q131" s="104"/>
      <c r="R131" s="104"/>
      <c r="S131" s="104"/>
      <c r="T131" s="107"/>
      <c r="U131" s="107"/>
    </row>
    <row r="132" ht="15.75" hidden="1" customHeight="1">
      <c r="A132" s="103"/>
      <c r="B132" s="104" t="str">
        <f>"ValidatePromotionAward"</f>
        <v>ValidatePromotionAward</v>
      </c>
      <c r="C132" s="104" t="str">
        <f t="shared" si="116"/>
        <v/>
      </c>
      <c r="D132" s="104" t="str">
        <f t="shared" si="109"/>
        <v>string</v>
      </c>
      <c r="E132" s="105" t="str">
        <f t="shared" si="117"/>
        <v>1</v>
      </c>
      <c r="F132" s="104" t="s">
        <v>347</v>
      </c>
      <c r="G132" s="103" t="str">
        <f t="shared" si="104"/>
        <v>O</v>
      </c>
      <c r="H132" s="103" t="str">
        <f>""</f>
        <v/>
      </c>
      <c r="I132" s="104" t="str">
        <f>"Y, N"</f>
        <v>Y, N</v>
      </c>
      <c r="J132" s="104" t="str">
        <f>""</f>
        <v/>
      </c>
      <c r="K132" s="104"/>
      <c r="L132" s="105"/>
      <c r="M132" s="104"/>
      <c r="N132" s="104"/>
      <c r="O132" s="104"/>
      <c r="P132" s="104"/>
      <c r="Q132" s="104"/>
      <c r="R132" s="104"/>
      <c r="S132" s="104"/>
      <c r="T132" s="107"/>
      <c r="U132" s="107"/>
    </row>
    <row r="133" ht="15.75" hidden="1" customHeight="1">
      <c r="A133" s="103"/>
      <c r="B133" s="104" t="str">
        <f>"VendorID"</f>
        <v>VendorID</v>
      </c>
      <c r="C133" s="104" t="str">
        <f>"yfs_order_header.vendor_id"</f>
        <v>yfs_order_header.vendor_id</v>
      </c>
      <c r="D133" s="104" t="str">
        <f t="shared" si="109"/>
        <v>string</v>
      </c>
      <c r="E133" s="105" t="str">
        <f>"24"</f>
        <v>24</v>
      </c>
      <c r="F133" s="104" t="s">
        <v>348</v>
      </c>
      <c r="G133" s="103" t="str">
        <f t="shared" si="104"/>
        <v>O</v>
      </c>
      <c r="H133" s="103" t="str">
        <f>"null"</f>
        <v>null</v>
      </c>
      <c r="I133" s="104" t="str">
        <f t="shared" ref="I133:J133" si="119">""</f>
        <v/>
      </c>
      <c r="J133" s="104" t="str">
        <f t="shared" si="119"/>
        <v/>
      </c>
      <c r="K133" s="104"/>
      <c r="L133" s="105"/>
      <c r="M133" s="104"/>
      <c r="N133" s="104"/>
      <c r="O133" s="104"/>
      <c r="P133" s="104"/>
      <c r="Q133" s="104"/>
      <c r="R133" s="104"/>
      <c r="S133" s="104"/>
      <c r="T133" s="107"/>
      <c r="U133" s="107"/>
    </row>
    <row r="134" ht="15.75" hidden="1" customHeight="1">
      <c r="A134" s="196"/>
      <c r="B134" s="170" t="s">
        <v>349</v>
      </c>
      <c r="C134" s="170"/>
      <c r="D134" s="170"/>
      <c r="E134" s="196"/>
      <c r="F134" s="170"/>
      <c r="G134" s="196"/>
      <c r="H134" s="196"/>
      <c r="I134" s="170"/>
      <c r="J134" s="170"/>
      <c r="K134" s="170"/>
      <c r="L134" s="196"/>
      <c r="M134" s="170"/>
      <c r="N134" s="170"/>
      <c r="O134" s="170"/>
      <c r="P134" s="170"/>
      <c r="Q134" s="170"/>
      <c r="R134" s="170"/>
      <c r="S134" s="170"/>
      <c r="T134" s="197"/>
      <c r="U134" s="197"/>
    </row>
    <row r="135" ht="15.75" customHeight="1">
      <c r="A135" s="97" t="s">
        <v>66</v>
      </c>
      <c r="B135" s="96" t="str">
        <f>"/Order/OrderLines/OrderLine/@"</f>
        <v>/Order/OrderLines/OrderLine/@</v>
      </c>
      <c r="C135" s="198"/>
      <c r="D135" s="96"/>
      <c r="E135" s="97"/>
      <c r="F135" s="199" t="s">
        <v>350</v>
      </c>
      <c r="G135" s="97" t="s">
        <v>134</v>
      </c>
      <c r="H135" s="97"/>
      <c r="I135" s="96"/>
      <c r="J135" s="96"/>
      <c r="K135" s="96"/>
      <c r="L135" s="100" t="s">
        <v>66</v>
      </c>
      <c r="M135" s="99"/>
      <c r="N135" s="99"/>
      <c r="O135" s="99"/>
      <c r="P135" s="99"/>
      <c r="Q135" s="99"/>
      <c r="R135" s="99"/>
      <c r="S135" s="99"/>
      <c r="T135" s="99"/>
      <c r="U135" s="99"/>
    </row>
    <row r="136" ht="15.75" hidden="1" customHeight="1">
      <c r="A136" s="103"/>
      <c r="B136" s="104" t="str">
        <f>"AllocationDate"</f>
        <v>AllocationDate</v>
      </c>
      <c r="C136" s="104" t="str">
        <f>"yfs_order_line.allocate_date"</f>
        <v>yfs_order_line.allocate_date</v>
      </c>
      <c r="D136" s="104" t="str">
        <f>"dateTime"</f>
        <v>dateTime</v>
      </c>
      <c r="E136" s="105" t="str">
        <f>"25"</f>
        <v>25</v>
      </c>
      <c r="F136" s="104" t="s">
        <v>351</v>
      </c>
      <c r="G136" s="103" t="str">
        <f t="shared" ref="G136:G146" si="121">"O"</f>
        <v>O</v>
      </c>
      <c r="H136" s="103" t="str">
        <f>"sysdate "</f>
        <v>sysdate </v>
      </c>
      <c r="I136" s="104" t="str">
        <f t="shared" ref="I136:J136" si="120">""</f>
        <v/>
      </c>
      <c r="J136" s="104" t="str">
        <f t="shared" si="120"/>
        <v/>
      </c>
      <c r="K136" s="104"/>
      <c r="L136" s="105"/>
      <c r="M136" s="104"/>
      <c r="N136" s="104"/>
      <c r="O136" s="104"/>
      <c r="P136" s="104"/>
      <c r="Q136" s="104"/>
      <c r="R136" s="104"/>
      <c r="S136" s="104"/>
      <c r="T136" s="107"/>
      <c r="U136" s="107"/>
    </row>
    <row r="137" ht="15.75" hidden="1" customHeight="1">
      <c r="A137" s="103"/>
      <c r="B137" s="104" t="str">
        <f>"BOMXML"</f>
        <v>BOMXML</v>
      </c>
      <c r="C137" s="104" t="str">
        <f>""</f>
        <v/>
      </c>
      <c r="D137" s="104" t="str">
        <f t="shared" ref="D137:D139" si="123">"string"</f>
        <v>string</v>
      </c>
      <c r="E137" s="105" t="str">
        <f>""</f>
        <v/>
      </c>
      <c r="F137" s="104" t="s">
        <v>352</v>
      </c>
      <c r="G137" s="103" t="str">
        <f t="shared" si="121"/>
        <v>O</v>
      </c>
      <c r="H137" s="103" t="str">
        <f t="shared" ref="H137:J137" si="122">""</f>
        <v/>
      </c>
      <c r="I137" s="104" t="str">
        <f t="shared" si="122"/>
        <v/>
      </c>
      <c r="J137" s="104" t="str">
        <f t="shared" si="122"/>
        <v/>
      </c>
      <c r="K137" s="104"/>
      <c r="L137" s="105"/>
      <c r="M137" s="104"/>
      <c r="N137" s="104"/>
      <c r="O137" s="104"/>
      <c r="P137" s="104"/>
      <c r="Q137" s="104"/>
      <c r="R137" s="104"/>
      <c r="S137" s="104"/>
      <c r="T137" s="107"/>
      <c r="U137" s="107"/>
    </row>
    <row r="138" ht="15.75" hidden="1" customHeight="1">
      <c r="A138" s="103"/>
      <c r="B138" s="104" t="str">
        <f>"CarrierAccountNo"</f>
        <v>CarrierAccountNo</v>
      </c>
      <c r="C138" s="104" t="str">
        <f>"yfs_order_line.carrier_account_no"</f>
        <v>yfs_order_line.carrier_account_no</v>
      </c>
      <c r="D138" s="104" t="str">
        <f t="shared" si="123"/>
        <v>string</v>
      </c>
      <c r="E138" s="105" t="str">
        <f t="shared" ref="E138:E139" si="125">"40"</f>
        <v>40</v>
      </c>
      <c r="F138" s="104" t="s">
        <v>353</v>
      </c>
      <c r="G138" s="103" t="str">
        <f t="shared" si="121"/>
        <v>O</v>
      </c>
      <c r="H138" s="103" t="str">
        <f t="shared" ref="H138:H139" si="126">"space"</f>
        <v>space</v>
      </c>
      <c r="I138" s="104" t="str">
        <f t="shared" ref="I138:J138" si="124">""</f>
        <v/>
      </c>
      <c r="J138" s="104" t="str">
        <f t="shared" si="124"/>
        <v/>
      </c>
      <c r="K138" s="104"/>
      <c r="L138" s="105"/>
      <c r="M138" s="104"/>
      <c r="N138" s="104"/>
      <c r="O138" s="104"/>
      <c r="P138" s="104"/>
      <c r="Q138" s="104"/>
      <c r="R138" s="104"/>
      <c r="S138" s="104"/>
      <c r="T138" s="107"/>
      <c r="U138" s="107"/>
    </row>
    <row r="139" ht="15.75" hidden="1" customHeight="1">
      <c r="A139" s="103" t="s">
        <v>92</v>
      </c>
      <c r="B139" s="104" t="str">
        <f>"CarrierServiceCode"</f>
        <v>CarrierServiceCode</v>
      </c>
      <c r="C139" s="104" t="str">
        <f>"yfs_order_line.carrier_service_code"</f>
        <v>yfs_order_line.carrier_service_code</v>
      </c>
      <c r="D139" s="104" t="str">
        <f t="shared" si="123"/>
        <v>string</v>
      </c>
      <c r="E139" s="105" t="str">
        <f t="shared" si="125"/>
        <v>40</v>
      </c>
      <c r="F139" s="104" t="s">
        <v>354</v>
      </c>
      <c r="G139" s="103" t="str">
        <f t="shared" si="121"/>
        <v>O</v>
      </c>
      <c r="H139" s="103" t="str">
        <f t="shared" si="126"/>
        <v>space</v>
      </c>
      <c r="I139" s="104" t="str">
        <f t="shared" ref="I139:I146" si="127">""</f>
        <v/>
      </c>
      <c r="J139" s="104" t="str">
        <f>"SBUX_2_DAY"</f>
        <v>SBUX_2_DAY</v>
      </c>
      <c r="K139" s="104"/>
      <c r="L139" s="105"/>
      <c r="M139" s="104"/>
      <c r="N139" s="104"/>
      <c r="O139" s="104"/>
      <c r="P139" s="104"/>
      <c r="Q139" s="104"/>
      <c r="R139" s="104"/>
      <c r="S139" s="104"/>
      <c r="T139" s="107"/>
      <c r="U139" s="107"/>
    </row>
    <row r="140" ht="15.75" hidden="1" customHeight="1">
      <c r="A140" s="103"/>
      <c r="B140" s="104" t="str">
        <f>"CommittedQuantity"</f>
        <v>CommittedQuantity</v>
      </c>
      <c r="C140" s="104" t="str">
        <f>"yfs_order_line.committed_quantity"</f>
        <v>yfs_order_line.committed_quantity</v>
      </c>
      <c r="D140" s="104" t="str">
        <f>"UNKNOWN"</f>
        <v>UNKNOWN</v>
      </c>
      <c r="E140" s="105" t="str">
        <f>""</f>
        <v/>
      </c>
      <c r="F140" s="104" t="s">
        <v>355</v>
      </c>
      <c r="G140" s="103" t="str">
        <f t="shared" si="121"/>
        <v>O</v>
      </c>
      <c r="H140" s="103" t="str">
        <f>"null"</f>
        <v>null</v>
      </c>
      <c r="I140" s="104" t="str">
        <f t="shared" si="127"/>
        <v/>
      </c>
      <c r="J140" s="104" t="str">
        <f t="shared" ref="J140:J142" si="128">""</f>
        <v/>
      </c>
      <c r="K140" s="104"/>
      <c r="L140" s="105"/>
      <c r="M140" s="104"/>
      <c r="N140" s="104"/>
      <c r="O140" s="104"/>
      <c r="P140" s="104"/>
      <c r="Q140" s="104"/>
      <c r="R140" s="104"/>
      <c r="S140" s="104"/>
      <c r="T140" s="107"/>
      <c r="U140" s="107"/>
    </row>
    <row r="141" ht="15.75" hidden="1" customHeight="1">
      <c r="A141" s="103"/>
      <c r="B141" s="104" t="str">
        <f>"ConditionVariable1"</f>
        <v>ConditionVariable1</v>
      </c>
      <c r="C141" s="104" t="str">
        <f>"yfs_order_line.condition_variable_1"</f>
        <v>yfs_order_line.condition_variable_1</v>
      </c>
      <c r="D141" s="104" t="str">
        <f t="shared" ref="D141:D150" si="129">"string"</f>
        <v>string</v>
      </c>
      <c r="E141" s="105" t="str">
        <f t="shared" ref="E141:E142" si="130">"40"</f>
        <v>40</v>
      </c>
      <c r="F141" s="104" t="s">
        <v>356</v>
      </c>
      <c r="G141" s="103" t="str">
        <f t="shared" si="121"/>
        <v>O</v>
      </c>
      <c r="H141" s="103" t="str">
        <f t="shared" ref="H141:H142" si="131">"space"</f>
        <v>space</v>
      </c>
      <c r="I141" s="104" t="str">
        <f t="shared" si="127"/>
        <v/>
      </c>
      <c r="J141" s="104" t="str">
        <f t="shared" si="128"/>
        <v/>
      </c>
      <c r="K141" s="104"/>
      <c r="L141" s="105"/>
      <c r="M141" s="104"/>
      <c r="N141" s="104"/>
      <c r="O141" s="104"/>
      <c r="P141" s="104"/>
      <c r="Q141" s="104"/>
      <c r="R141" s="104"/>
      <c r="S141" s="104"/>
      <c r="T141" s="107"/>
      <c r="U141" s="107"/>
    </row>
    <row r="142" ht="15.75" hidden="1" customHeight="1">
      <c r="A142" s="103"/>
      <c r="B142" s="104" t="str">
        <f>"ConditionVariable2"</f>
        <v>ConditionVariable2</v>
      </c>
      <c r="C142" s="104" t="str">
        <f>"yfs_order_line.condition_variable_2"</f>
        <v>yfs_order_line.condition_variable_2</v>
      </c>
      <c r="D142" s="104" t="str">
        <f t="shared" si="129"/>
        <v>string</v>
      </c>
      <c r="E142" s="105" t="str">
        <f t="shared" si="130"/>
        <v>40</v>
      </c>
      <c r="F142" s="104" t="s">
        <v>356</v>
      </c>
      <c r="G142" s="103" t="str">
        <f t="shared" si="121"/>
        <v>O</v>
      </c>
      <c r="H142" s="103" t="str">
        <f t="shared" si="131"/>
        <v>space</v>
      </c>
      <c r="I142" s="104" t="str">
        <f t="shared" si="127"/>
        <v/>
      </c>
      <c r="J142" s="104" t="str">
        <f t="shared" si="128"/>
        <v/>
      </c>
      <c r="K142" s="104"/>
      <c r="L142" s="105"/>
      <c r="M142" s="104"/>
      <c r="N142" s="104"/>
      <c r="O142" s="104"/>
      <c r="P142" s="104"/>
      <c r="Q142" s="104"/>
      <c r="R142" s="104"/>
      <c r="S142" s="104"/>
      <c r="T142" s="107"/>
      <c r="U142" s="107"/>
    </row>
    <row r="143" ht="15.75" hidden="1" customHeight="1">
      <c r="A143" s="103"/>
      <c r="B143" s="104" t="str">
        <f>"ConfigurationKey"</f>
        <v>ConfigurationKey</v>
      </c>
      <c r="C143" s="104" t="str">
        <f>"yfs_order_line.bom_config_key"</f>
        <v>yfs_order_line.bom_config_key</v>
      </c>
      <c r="D143" s="104" t="str">
        <f t="shared" si="129"/>
        <v>string</v>
      </c>
      <c r="E143" s="105" t="str">
        <f>"24"</f>
        <v>24</v>
      </c>
      <c r="F143" s="104" t="s">
        <v>357</v>
      </c>
      <c r="G143" s="103" t="str">
        <f t="shared" si="121"/>
        <v>O</v>
      </c>
      <c r="H143" s="103" t="str">
        <f>"null"</f>
        <v>null</v>
      </c>
      <c r="I143" s="104" t="str">
        <f t="shared" si="127"/>
        <v/>
      </c>
      <c r="J143" s="104" t="str">
        <f>"2010050509190101055"</f>
        <v>2010050509190101055</v>
      </c>
      <c r="K143" s="104"/>
      <c r="L143" s="105"/>
      <c r="M143" s="104"/>
      <c r="N143" s="104"/>
      <c r="O143" s="104"/>
      <c r="P143" s="104"/>
      <c r="Q143" s="104"/>
      <c r="R143" s="104"/>
      <c r="S143" s="104"/>
      <c r="T143" s="107"/>
      <c r="U143" s="107"/>
    </row>
    <row r="144" ht="15.75" hidden="1" customHeight="1">
      <c r="A144" s="103"/>
      <c r="B144" s="104" t="str">
        <f>"CustomerLinePONo"</f>
        <v>CustomerLinePONo</v>
      </c>
      <c r="C144" s="104" t="str">
        <f>"yfs_order_line.customer_po_line_no"</f>
        <v>yfs_order_line.customer_po_line_no</v>
      </c>
      <c r="D144" s="104" t="str">
        <f t="shared" si="129"/>
        <v>string</v>
      </c>
      <c r="E144" s="105" t="str">
        <f>"10"</f>
        <v>10</v>
      </c>
      <c r="F144" s="104" t="s">
        <v>358</v>
      </c>
      <c r="G144" s="103" t="str">
        <f t="shared" si="121"/>
        <v>O</v>
      </c>
      <c r="H144" s="103" t="str">
        <f t="shared" ref="H144:H146" si="132">"space"</f>
        <v>space</v>
      </c>
      <c r="I144" s="104" t="str">
        <f t="shared" si="127"/>
        <v/>
      </c>
      <c r="J144" s="104" t="str">
        <f>""</f>
        <v/>
      </c>
      <c r="K144" s="104"/>
      <c r="L144" s="105"/>
      <c r="M144" s="104"/>
      <c r="N144" s="104"/>
      <c r="O144" s="104"/>
      <c r="P144" s="104"/>
      <c r="Q144" s="104"/>
      <c r="R144" s="104"/>
      <c r="S144" s="104"/>
      <c r="T144" s="107"/>
      <c r="U144" s="107"/>
    </row>
    <row r="145" ht="15.75" hidden="1" customHeight="1">
      <c r="A145" s="103"/>
      <c r="B145" s="104" t="str">
        <f>"CustomerPONo"</f>
        <v>CustomerPONo</v>
      </c>
      <c r="C145" s="104" t="str">
        <f>"yfs_order_line.customer_po_no"</f>
        <v>yfs_order_line.customer_po_no</v>
      </c>
      <c r="D145" s="104" t="str">
        <f t="shared" si="129"/>
        <v>string</v>
      </c>
      <c r="E145" s="105" t="str">
        <f>"100"</f>
        <v>100</v>
      </c>
      <c r="F145" s="104" t="s">
        <v>359</v>
      </c>
      <c r="G145" s="103" t="str">
        <f t="shared" si="121"/>
        <v>O</v>
      </c>
      <c r="H145" s="103" t="str">
        <f t="shared" si="132"/>
        <v>space</v>
      </c>
      <c r="I145" s="104" t="str">
        <f t="shared" si="127"/>
        <v/>
      </c>
      <c r="J145" s="104" t="str">
        <f>"123456789"</f>
        <v>123456789</v>
      </c>
      <c r="K145" s="104"/>
      <c r="L145" s="105"/>
      <c r="M145" s="104"/>
      <c r="N145" s="104"/>
      <c r="O145" s="104"/>
      <c r="P145" s="104"/>
      <c r="Q145" s="104"/>
      <c r="R145" s="104"/>
      <c r="S145" s="104"/>
      <c r="T145" s="107"/>
      <c r="U145" s="107"/>
    </row>
    <row r="146" ht="15.75" hidden="1" customHeight="1">
      <c r="A146" s="103"/>
      <c r="B146" s="104" t="str">
        <f>"DeliveryCode"</f>
        <v>DeliveryCode</v>
      </c>
      <c r="C146" s="104" t="str">
        <f>"yfs_order_line.delivery_code"</f>
        <v>yfs_order_line.delivery_code</v>
      </c>
      <c r="D146" s="104" t="str">
        <f t="shared" si="129"/>
        <v>string</v>
      </c>
      <c r="E146" s="105" t="str">
        <f t="shared" ref="E146:E147" si="133">"40"</f>
        <v>40</v>
      </c>
      <c r="F146" s="104" t="s">
        <v>360</v>
      </c>
      <c r="G146" s="103" t="str">
        <f t="shared" si="121"/>
        <v>O</v>
      </c>
      <c r="H146" s="103" t="str">
        <f t="shared" si="132"/>
        <v>space</v>
      </c>
      <c r="I146" s="104" t="str">
        <f t="shared" si="127"/>
        <v/>
      </c>
      <c r="J146" s="104" t="str">
        <f>""</f>
        <v/>
      </c>
      <c r="K146" s="104"/>
      <c r="L146" s="105"/>
      <c r="M146" s="104"/>
      <c r="N146" s="104"/>
      <c r="O146" s="104"/>
      <c r="P146" s="104"/>
      <c r="Q146" s="104"/>
      <c r="R146" s="104"/>
      <c r="S146" s="104"/>
      <c r="T146" s="107"/>
      <c r="U146" s="107"/>
    </row>
    <row r="147">
      <c r="A147" s="140" t="s">
        <v>66</v>
      </c>
      <c r="B147" s="141" t="str">
        <f>"DeliveryMethod"</f>
        <v>DeliveryMethod</v>
      </c>
      <c r="C147" s="141" t="str">
        <f>"yfs_order_line.delivery_method"</f>
        <v>yfs_order_line.delivery_method</v>
      </c>
      <c r="D147" s="141" t="str">
        <f t="shared" si="129"/>
        <v>string</v>
      </c>
      <c r="E147" s="108" t="str">
        <f t="shared" si="133"/>
        <v>40</v>
      </c>
      <c r="F147" s="152" t="s">
        <v>361</v>
      </c>
      <c r="G147" s="112" t="s">
        <v>134</v>
      </c>
      <c r="H147" s="140" t="str">
        <f t="shared" ref="H147:I147" si="134">""</f>
        <v/>
      </c>
      <c r="I147" s="141" t="str">
        <f t="shared" si="134"/>
        <v/>
      </c>
      <c r="J147" s="141" t="str">
        <f>"SHP"</f>
        <v>SHP</v>
      </c>
      <c r="K147" s="141" t="s">
        <v>320</v>
      </c>
      <c r="L147" s="112" t="s">
        <v>92</v>
      </c>
      <c r="M147" s="153" t="s">
        <v>362</v>
      </c>
      <c r="N147" s="153" t="s">
        <v>363</v>
      </c>
      <c r="O147" s="153" t="s">
        <v>364</v>
      </c>
      <c r="P147" s="153" t="s">
        <v>365</v>
      </c>
      <c r="Q147" s="138" t="s">
        <v>366</v>
      </c>
      <c r="R147" s="138"/>
      <c r="S147" s="138"/>
      <c r="T147" s="153" t="s">
        <v>367</v>
      </c>
      <c r="U147" s="138"/>
    </row>
    <row r="148">
      <c r="A148" s="140" t="s">
        <v>66</v>
      </c>
      <c r="B148" s="141" t="str">
        <f>"DepartmentCode"</f>
        <v>DepartmentCode</v>
      </c>
      <c r="C148" s="141" t="str">
        <f>"yfs_order_line.department_code"</f>
        <v>yfs_order_line.department_code</v>
      </c>
      <c r="D148" s="141" t="str">
        <f t="shared" si="129"/>
        <v>string</v>
      </c>
      <c r="E148" s="108" t="str">
        <f>"20"</f>
        <v>20</v>
      </c>
      <c r="F148" s="146" t="s">
        <v>368</v>
      </c>
      <c r="G148" s="204" t="s">
        <v>134</v>
      </c>
      <c r="H148" s="140" t="str">
        <f t="shared" ref="H148:J148" si="135">""</f>
        <v/>
      </c>
      <c r="I148" s="141" t="str">
        <f t="shared" si="135"/>
        <v/>
      </c>
      <c r="J148" s="141" t="str">
        <f t="shared" si="135"/>
        <v/>
      </c>
      <c r="K148" s="141"/>
      <c r="L148" s="112" t="s">
        <v>92</v>
      </c>
      <c r="M148" s="126" t="s">
        <v>369</v>
      </c>
      <c r="N148" s="126" t="s">
        <v>369</v>
      </c>
      <c r="O148" s="126" t="s">
        <v>369</v>
      </c>
      <c r="P148" s="126" t="s">
        <v>369</v>
      </c>
      <c r="Q148" s="126" t="s">
        <v>369</v>
      </c>
      <c r="R148" s="126"/>
      <c r="S148" s="126"/>
      <c r="T148" s="127" t="s">
        <v>370</v>
      </c>
      <c r="U148" s="126"/>
    </row>
    <row r="149" ht="15.75" hidden="1" customHeight="1">
      <c r="A149" s="118"/>
      <c r="B149" s="118" t="str">
        <f>"DependencyShippingRule"</f>
        <v>DependencyShippingRule</v>
      </c>
      <c r="C149" s="118" t="str">
        <f>""</f>
        <v/>
      </c>
      <c r="D149" s="118" t="str">
        <f t="shared" si="129"/>
        <v>string</v>
      </c>
      <c r="E149" s="118" t="str">
        <f>"2"</f>
        <v>2</v>
      </c>
      <c r="F149" s="118" t="s">
        <v>371</v>
      </c>
      <c r="G149" s="118" t="str">
        <f t="shared" ref="G149:G154" si="137">"O"</f>
        <v>O</v>
      </c>
      <c r="H149" s="118" t="str">
        <f t="shared" ref="H149:J149" si="136">""</f>
        <v/>
      </c>
      <c r="I149" s="118" t="str">
        <f t="shared" si="136"/>
        <v/>
      </c>
      <c r="J149" s="118" t="str">
        <f t="shared" si="136"/>
        <v/>
      </c>
      <c r="K149" s="118"/>
      <c r="L149" s="118"/>
      <c r="M149" s="118"/>
      <c r="N149" s="118"/>
      <c r="O149" s="118"/>
      <c r="P149" s="118"/>
      <c r="Q149" s="118"/>
      <c r="R149" s="118"/>
      <c r="S149" s="118"/>
      <c r="T149" s="148"/>
      <c r="U149" s="148"/>
    </row>
    <row r="150" ht="15.75" hidden="1" customHeight="1">
      <c r="A150" s="118"/>
      <c r="B150" s="118" t="str">
        <f>"DistributionRuleId"</f>
        <v>DistributionRuleId</v>
      </c>
      <c r="C150" s="118" t="str">
        <f>"yfs_order_line.distribution_rule_id"</f>
        <v>yfs_order_line.distribution_rule_id</v>
      </c>
      <c r="D150" s="118" t="str">
        <f t="shared" si="129"/>
        <v>string</v>
      </c>
      <c r="E150" s="118" t="str">
        <f>"40"</f>
        <v>40</v>
      </c>
      <c r="F150" s="118" t="s">
        <v>372</v>
      </c>
      <c r="G150" s="118" t="str">
        <f t="shared" si="137"/>
        <v>O</v>
      </c>
      <c r="H150" s="118" t="str">
        <f t="shared" ref="H150:H151" si="139">"null"</f>
        <v>null</v>
      </c>
      <c r="I150" s="118" t="str">
        <f t="shared" ref="I150:J150" si="138">""</f>
        <v/>
      </c>
      <c r="J150" s="118" t="str">
        <f t="shared" si="138"/>
        <v/>
      </c>
      <c r="K150" s="118"/>
      <c r="L150" s="118"/>
      <c r="M150" s="118"/>
      <c r="N150" s="118"/>
      <c r="O150" s="118"/>
      <c r="P150" s="118"/>
      <c r="Q150" s="118"/>
      <c r="R150" s="118"/>
      <c r="S150" s="118"/>
      <c r="T150" s="148"/>
      <c r="U150" s="148"/>
    </row>
    <row r="151" ht="15.75" hidden="1" customHeight="1">
      <c r="A151" s="118"/>
      <c r="B151" s="118" t="str">
        <f>"EarliestScheduleDate"</f>
        <v>EarliestScheduleDate</v>
      </c>
      <c r="C151" s="118" t="str">
        <f>"yfs_order_line.earliest_schedule_date"</f>
        <v>yfs_order_line.earliest_schedule_date</v>
      </c>
      <c r="D151" s="118" t="str">
        <f>"UNKNOWN"</f>
        <v>UNKNOWN</v>
      </c>
      <c r="E151" s="118" t="str">
        <f>""</f>
        <v/>
      </c>
      <c r="F151" s="118" t="s">
        <v>373</v>
      </c>
      <c r="G151" s="118" t="str">
        <f t="shared" si="137"/>
        <v>O</v>
      </c>
      <c r="H151" s="118" t="str">
        <f t="shared" si="139"/>
        <v>null</v>
      </c>
      <c r="I151" s="118" t="str">
        <f t="shared" ref="I151:J151" si="140">""</f>
        <v/>
      </c>
      <c r="J151" s="118" t="str">
        <f t="shared" si="140"/>
        <v/>
      </c>
      <c r="K151" s="118"/>
      <c r="L151" s="118"/>
      <c r="M151" s="118"/>
      <c r="N151" s="118"/>
      <c r="O151" s="118"/>
      <c r="P151" s="118"/>
      <c r="Q151" s="118"/>
      <c r="R151" s="118"/>
      <c r="S151" s="118"/>
      <c r="T151" s="148"/>
      <c r="U151" s="148"/>
    </row>
    <row r="152" ht="15.75" hidden="1" customHeight="1">
      <c r="A152" s="118" t="s">
        <v>92</v>
      </c>
      <c r="B152" s="118" t="str">
        <f>"FillQuantity"</f>
        <v>FillQuantity</v>
      </c>
      <c r="C152" s="118" t="str">
        <f>"yfs_order_line.fill_quantity"</f>
        <v>yfs_order_line.fill_quantity</v>
      </c>
      <c r="D152" s="118" t="str">
        <f>"decimal"</f>
        <v>decimal</v>
      </c>
      <c r="E152" s="118" t="str">
        <f>"14,4"</f>
        <v>14,4</v>
      </c>
      <c r="F152" s="118" t="s">
        <v>374</v>
      </c>
      <c r="G152" s="118" t="str">
        <f t="shared" si="137"/>
        <v>O</v>
      </c>
      <c r="H152" s="118" t="str">
        <f>"0"</f>
        <v>0</v>
      </c>
      <c r="I152" s="118" t="str">
        <f t="shared" ref="I152:J152" si="141">""</f>
        <v/>
      </c>
      <c r="J152" s="118" t="str">
        <f t="shared" si="141"/>
        <v/>
      </c>
      <c r="K152" s="118"/>
      <c r="L152" s="118"/>
      <c r="M152" s="118"/>
      <c r="N152" s="118"/>
      <c r="O152" s="118"/>
      <c r="P152" s="118"/>
      <c r="Q152" s="118"/>
      <c r="R152" s="118"/>
      <c r="S152" s="118"/>
      <c r="T152" s="148"/>
      <c r="U152" s="148"/>
    </row>
    <row r="153" ht="15.75" hidden="1" customHeight="1">
      <c r="A153" s="118"/>
      <c r="B153" s="118" t="str">
        <f>"FirstIterationSeqNo"</f>
        <v>FirstIterationSeqNo</v>
      </c>
      <c r="C153" s="118" t="str">
        <f>"yfs_order_line.first_iter_seq_no"</f>
        <v>yfs_order_line.first_iter_seq_no</v>
      </c>
      <c r="D153" s="118" t="str">
        <f>"UNKNOWN"</f>
        <v>UNKNOWN</v>
      </c>
      <c r="E153" s="118" t="str">
        <f>""</f>
        <v/>
      </c>
      <c r="F153" s="118" t="s">
        <v>375</v>
      </c>
      <c r="G153" s="118" t="str">
        <f t="shared" si="137"/>
        <v>O</v>
      </c>
      <c r="H153" s="118" t="str">
        <f>"null"</f>
        <v>null</v>
      </c>
      <c r="I153" s="118" t="str">
        <f t="shared" ref="I153:J153" si="142">""</f>
        <v/>
      </c>
      <c r="J153" s="118" t="str">
        <f t="shared" si="142"/>
        <v/>
      </c>
      <c r="K153" s="118"/>
      <c r="L153" s="118"/>
      <c r="M153" s="118"/>
      <c r="N153" s="118"/>
      <c r="O153" s="118"/>
      <c r="P153" s="118"/>
      <c r="Q153" s="118"/>
      <c r="R153" s="118"/>
      <c r="S153" s="118"/>
      <c r="T153" s="148"/>
      <c r="U153" s="148"/>
    </row>
    <row r="154" ht="15.75" hidden="1" customHeight="1">
      <c r="A154" s="118"/>
      <c r="B154" s="118" t="str">
        <f>"FreightTerms"</f>
        <v>FreightTerms</v>
      </c>
      <c r="C154" s="118" t="str">
        <f>"yfs_order_line.fob"</f>
        <v>yfs_order_line.fob</v>
      </c>
      <c r="D154" s="118" t="str">
        <f t="shared" ref="D154:D159" si="144">"string"</f>
        <v>string</v>
      </c>
      <c r="E154" s="118" t="str">
        <f t="shared" ref="E154:E155" si="145">"40"</f>
        <v>40</v>
      </c>
      <c r="F154" s="118" t="s">
        <v>376</v>
      </c>
      <c r="G154" s="118" t="str">
        <f t="shared" si="137"/>
        <v>O</v>
      </c>
      <c r="H154" s="118" t="str">
        <f>"space"</f>
        <v>space</v>
      </c>
      <c r="I154" s="118" t="str">
        <f t="shared" ref="I154:J154" si="143">""</f>
        <v/>
      </c>
      <c r="J154" s="118" t="str">
        <f t="shared" si="143"/>
        <v/>
      </c>
      <c r="K154" s="118"/>
      <c r="L154" s="118"/>
      <c r="M154" s="118"/>
      <c r="N154" s="118"/>
      <c r="O154" s="118"/>
      <c r="P154" s="118"/>
      <c r="Q154" s="118"/>
      <c r="R154" s="118"/>
      <c r="S154" s="118"/>
      <c r="T154" s="148"/>
      <c r="U154" s="148"/>
    </row>
    <row r="155">
      <c r="A155" s="140" t="s">
        <v>66</v>
      </c>
      <c r="B155" s="141" t="str">
        <f>"FulfillmentType"</f>
        <v>FulfillmentType</v>
      </c>
      <c r="C155" s="141"/>
      <c r="D155" s="141" t="str">
        <f t="shared" si="144"/>
        <v>string</v>
      </c>
      <c r="E155" s="108" t="str">
        <f t="shared" si="145"/>
        <v>40</v>
      </c>
      <c r="F155" s="205" t="s">
        <v>377</v>
      </c>
      <c r="G155" s="136" t="s">
        <v>77</v>
      </c>
      <c r="H155" s="140"/>
      <c r="I155" s="141"/>
      <c r="J155" s="141" t="s">
        <v>378</v>
      </c>
      <c r="K155" s="141"/>
      <c r="L155" s="112" t="s">
        <v>66</v>
      </c>
      <c r="M155" s="153" t="s">
        <v>379</v>
      </c>
      <c r="N155" s="153" t="s">
        <v>380</v>
      </c>
      <c r="O155" s="153" t="s">
        <v>381</v>
      </c>
      <c r="P155" s="153" t="s">
        <v>382</v>
      </c>
      <c r="Q155" s="206" t="s">
        <v>383</v>
      </c>
      <c r="R155" s="206" t="s">
        <v>384</v>
      </c>
      <c r="S155" s="153" t="s">
        <v>385</v>
      </c>
      <c r="T155" s="153"/>
      <c r="U155" s="153"/>
    </row>
    <row r="156" ht="15.75" hidden="1" customHeight="1">
      <c r="A156" s="118" t="s">
        <v>92</v>
      </c>
      <c r="B156" s="118" t="str">
        <f>"GiftFlag"</f>
        <v>GiftFlag</v>
      </c>
      <c r="C156" s="118" t="str">
        <f>"yfs_order_line.gift_flag"</f>
        <v>yfs_order_line.gift_flag</v>
      </c>
      <c r="D156" s="118" t="str">
        <f t="shared" si="144"/>
        <v>string</v>
      </c>
      <c r="E156" s="118" t="str">
        <f t="shared" ref="E156:E158" si="146">"1"</f>
        <v>1</v>
      </c>
      <c r="F156" s="207" t="s">
        <v>386</v>
      </c>
      <c r="G156" s="118" t="str">
        <f t="shared" ref="G156:G171" si="147">"O"</f>
        <v>O</v>
      </c>
      <c r="H156" s="118" t="str">
        <f>"N"</f>
        <v>N</v>
      </c>
      <c r="I156" s="118" t="str">
        <f t="shared" ref="I156:I161" si="148">""</f>
        <v/>
      </c>
      <c r="J156" s="118" t="str">
        <f t="shared" ref="J156:J158" si="149">"Y"</f>
        <v>Y</v>
      </c>
      <c r="K156" s="118"/>
      <c r="L156" s="148"/>
      <c r="M156" s="118"/>
      <c r="N156" s="148"/>
      <c r="O156" s="118"/>
      <c r="P156" s="118"/>
      <c r="Q156" s="118"/>
      <c r="R156" s="118"/>
      <c r="S156" s="118"/>
      <c r="T156" s="148"/>
      <c r="U156" s="148"/>
    </row>
    <row r="157" ht="15.75" hidden="1" customHeight="1">
      <c r="A157" s="118" t="s">
        <v>92</v>
      </c>
      <c r="B157" s="118" t="str">
        <f>"GiftWrap"</f>
        <v>GiftWrap</v>
      </c>
      <c r="C157" s="118" t="str">
        <f>"yfs_order_line.is_gift_wrap"</f>
        <v>yfs_order_line.is_gift_wrap</v>
      </c>
      <c r="D157" s="118" t="str">
        <f t="shared" si="144"/>
        <v>string</v>
      </c>
      <c r="E157" s="118" t="str">
        <f t="shared" si="146"/>
        <v>1</v>
      </c>
      <c r="F157" s="207" t="s">
        <v>387</v>
      </c>
      <c r="G157" s="118" t="str">
        <f t="shared" si="147"/>
        <v>O</v>
      </c>
      <c r="H157" s="118" t="str">
        <f>"null"</f>
        <v>null</v>
      </c>
      <c r="I157" s="118" t="str">
        <f t="shared" si="148"/>
        <v/>
      </c>
      <c r="J157" s="118" t="str">
        <f t="shared" si="149"/>
        <v>Y</v>
      </c>
      <c r="K157" s="118"/>
      <c r="L157" s="148"/>
      <c r="M157" s="118"/>
      <c r="N157" s="148"/>
      <c r="O157" s="118"/>
      <c r="P157" s="118"/>
      <c r="Q157" s="118"/>
      <c r="R157" s="118"/>
      <c r="S157" s="118"/>
      <c r="T157" s="148"/>
      <c r="U157" s="148"/>
    </row>
    <row r="158" ht="15.75" hidden="1" customHeight="1">
      <c r="A158" s="118"/>
      <c r="B158" s="118" t="str">
        <f>"HoldFlag"</f>
        <v>HoldFlag</v>
      </c>
      <c r="C158" s="118" t="str">
        <f>"yfs_order_line.hold_flag"</f>
        <v>yfs_order_line.hold_flag</v>
      </c>
      <c r="D158" s="118" t="str">
        <f t="shared" si="144"/>
        <v>string</v>
      </c>
      <c r="E158" s="118" t="str">
        <f t="shared" si="146"/>
        <v>1</v>
      </c>
      <c r="F158" s="207" t="s">
        <v>388</v>
      </c>
      <c r="G158" s="118" t="str">
        <f t="shared" si="147"/>
        <v>O</v>
      </c>
      <c r="H158" s="118" t="str">
        <f t="shared" ref="H158:H159" si="150">"space"</f>
        <v>space</v>
      </c>
      <c r="I158" s="118" t="str">
        <f t="shared" si="148"/>
        <v/>
      </c>
      <c r="J158" s="118" t="str">
        <f t="shared" si="149"/>
        <v>Y</v>
      </c>
      <c r="K158" s="118"/>
      <c r="L158" s="148"/>
      <c r="M158" s="118"/>
      <c r="N158" s="148"/>
      <c r="O158" s="118"/>
      <c r="P158" s="118"/>
      <c r="Q158" s="118"/>
      <c r="R158" s="118"/>
      <c r="S158" s="118"/>
      <c r="T158" s="148"/>
      <c r="U158" s="148"/>
    </row>
    <row r="159" ht="15.75" hidden="1" customHeight="1">
      <c r="A159" s="118"/>
      <c r="B159" s="118" t="str">
        <f>"HoldReasonCode"</f>
        <v>HoldReasonCode</v>
      </c>
      <c r="C159" s="118" t="str">
        <f>"yfs_order_line.hold_reason_code"</f>
        <v>yfs_order_line.hold_reason_code</v>
      </c>
      <c r="D159" s="118" t="str">
        <f t="shared" si="144"/>
        <v>string</v>
      </c>
      <c r="E159" s="118" t="str">
        <f>"40"</f>
        <v>40</v>
      </c>
      <c r="F159" s="207" t="s">
        <v>389</v>
      </c>
      <c r="G159" s="118" t="str">
        <f t="shared" si="147"/>
        <v>O</v>
      </c>
      <c r="H159" s="118" t="str">
        <f t="shared" si="150"/>
        <v>space</v>
      </c>
      <c r="I159" s="118" t="str">
        <f t="shared" si="148"/>
        <v/>
      </c>
      <c r="J159" s="118" t="str">
        <f t="shared" ref="J159:J161" si="151">""</f>
        <v/>
      </c>
      <c r="K159" s="118"/>
      <c r="L159" s="148"/>
      <c r="M159" s="118"/>
      <c r="N159" s="148"/>
      <c r="O159" s="118"/>
      <c r="P159" s="118"/>
      <c r="Q159" s="118"/>
      <c r="R159" s="118"/>
      <c r="S159" s="118"/>
      <c r="T159" s="148"/>
      <c r="U159" s="148"/>
    </row>
    <row r="160" ht="15.75" hidden="1" customHeight="1">
      <c r="A160" s="118"/>
      <c r="B160" s="118" t="str">
        <f>"ImportLicenseExpDate"</f>
        <v>ImportLicenseExpDate</v>
      </c>
      <c r="C160" s="118" t="str">
        <f>"yfs_order_line.import_license_exp_date"</f>
        <v>yfs_order_line.import_license_exp_date</v>
      </c>
      <c r="D160" s="118" t="str">
        <f>"date"</f>
        <v>date</v>
      </c>
      <c r="E160" s="118" t="str">
        <f>"10"</f>
        <v>10</v>
      </c>
      <c r="F160" s="207" t="s">
        <v>390</v>
      </c>
      <c r="G160" s="118" t="str">
        <f t="shared" si="147"/>
        <v>O</v>
      </c>
      <c r="H160" s="118" t="str">
        <f>"sysdate "</f>
        <v>sysdate </v>
      </c>
      <c r="I160" s="118" t="str">
        <f t="shared" si="148"/>
        <v/>
      </c>
      <c r="J160" s="118" t="str">
        <f t="shared" si="151"/>
        <v/>
      </c>
      <c r="K160" s="118"/>
      <c r="L160" s="148"/>
      <c r="M160" s="118"/>
      <c r="N160" s="148"/>
      <c r="O160" s="118"/>
      <c r="P160" s="118"/>
      <c r="Q160" s="118"/>
      <c r="R160" s="118"/>
      <c r="S160" s="118"/>
      <c r="T160" s="148"/>
      <c r="U160" s="148"/>
    </row>
    <row r="161" ht="15.75" hidden="1" customHeight="1">
      <c r="A161" s="118"/>
      <c r="B161" s="118" t="str">
        <f>"ImportLicenseNo"</f>
        <v>ImportLicenseNo</v>
      </c>
      <c r="C161" s="118" t="str">
        <f>"yfs_order_line.import_license_no"</f>
        <v>yfs_order_line.import_license_no</v>
      </c>
      <c r="D161" s="118" t="str">
        <f t="shared" ref="D161:D169" si="152">"string"</f>
        <v>string</v>
      </c>
      <c r="E161" s="118" t="str">
        <f>"40"</f>
        <v>40</v>
      </c>
      <c r="F161" s="207" t="s">
        <v>391</v>
      </c>
      <c r="G161" s="118" t="str">
        <f t="shared" si="147"/>
        <v>O</v>
      </c>
      <c r="H161" s="118" t="str">
        <f>"space"</f>
        <v>space</v>
      </c>
      <c r="I161" s="118" t="str">
        <f t="shared" si="148"/>
        <v/>
      </c>
      <c r="J161" s="118" t="str">
        <f t="shared" si="151"/>
        <v/>
      </c>
      <c r="K161" s="118"/>
      <c r="L161" s="148"/>
      <c r="M161" s="118"/>
      <c r="N161" s="148"/>
      <c r="O161" s="118"/>
      <c r="P161" s="118"/>
      <c r="Q161" s="118"/>
      <c r="R161" s="118"/>
      <c r="S161" s="118"/>
      <c r="T161" s="148"/>
      <c r="U161" s="148"/>
    </row>
    <row r="162" ht="15.75" hidden="1" customHeight="1">
      <c r="A162" s="118"/>
      <c r="B162" s="118" t="str">
        <f>"InStorePaymentRequired"</f>
        <v>InStorePaymentRequired</v>
      </c>
      <c r="C162" s="118" t="str">
        <f>"yfs_order_line.in_store_payment_required"</f>
        <v>yfs_order_line.in_store_payment_required</v>
      </c>
      <c r="D162" s="118" t="str">
        <f t="shared" si="152"/>
        <v>string</v>
      </c>
      <c r="E162" s="118" t="str">
        <f t="shared" ref="E162:E166" si="154">"1"</f>
        <v>1</v>
      </c>
      <c r="F162" s="207" t="s">
        <v>392</v>
      </c>
      <c r="G162" s="118" t="str">
        <f t="shared" si="147"/>
        <v>O</v>
      </c>
      <c r="H162" s="118" t="str">
        <f t="shared" ref="H162:J162" si="153">""</f>
        <v/>
      </c>
      <c r="I162" s="118" t="str">
        <f t="shared" si="153"/>
        <v/>
      </c>
      <c r="J162" s="118" t="str">
        <f t="shared" si="153"/>
        <v/>
      </c>
      <c r="K162" s="118"/>
      <c r="L162" s="148"/>
      <c r="M162" s="118"/>
      <c r="N162" s="148"/>
      <c r="O162" s="118"/>
      <c r="P162" s="118"/>
      <c r="Q162" s="118"/>
      <c r="R162" s="118"/>
      <c r="S162" s="118"/>
      <c r="T162" s="148"/>
      <c r="U162" s="148"/>
    </row>
    <row r="163" ht="15.75" hidden="1" customHeight="1">
      <c r="A163" s="118"/>
      <c r="B163" s="118" t="str">
        <f>"IntentionalBackorder"</f>
        <v>IntentionalBackorder</v>
      </c>
      <c r="C163" s="118" t="str">
        <f>"yfs_order_line.intentional_backorder"</f>
        <v>yfs_order_line.intentional_backorder</v>
      </c>
      <c r="D163" s="118" t="str">
        <f t="shared" si="152"/>
        <v>string</v>
      </c>
      <c r="E163" s="118" t="str">
        <f t="shared" si="154"/>
        <v>1</v>
      </c>
      <c r="F163" s="207" t="s">
        <v>393</v>
      </c>
      <c r="G163" s="118" t="str">
        <f t="shared" si="147"/>
        <v>O</v>
      </c>
      <c r="H163" s="118" t="str">
        <f>"N"</f>
        <v>N</v>
      </c>
      <c r="I163" s="118" t="str">
        <f t="shared" ref="I163:J163" si="155">""</f>
        <v/>
      </c>
      <c r="J163" s="118" t="str">
        <f t="shared" si="155"/>
        <v/>
      </c>
      <c r="K163" s="118"/>
      <c r="L163" s="148"/>
      <c r="M163" s="118"/>
      <c r="N163" s="148"/>
      <c r="O163" s="118"/>
      <c r="P163" s="118"/>
      <c r="Q163" s="118"/>
      <c r="R163" s="118"/>
      <c r="S163" s="118"/>
      <c r="T163" s="148"/>
      <c r="U163" s="148"/>
    </row>
    <row r="164" ht="15.75" hidden="1" customHeight="1">
      <c r="A164" s="118"/>
      <c r="B164" s="118" t="str">
        <f>"IsFirmPredefinedNode"</f>
        <v>IsFirmPredefinedNode</v>
      </c>
      <c r="C164" s="118" t="str">
        <f>"yfs_order_line.is_firm_predefined_node"</f>
        <v>yfs_order_line.is_firm_predefined_node</v>
      </c>
      <c r="D164" s="118" t="str">
        <f t="shared" si="152"/>
        <v>string</v>
      </c>
      <c r="E164" s="118" t="str">
        <f t="shared" si="154"/>
        <v>1</v>
      </c>
      <c r="F164" s="207" t="s">
        <v>394</v>
      </c>
      <c r="G164" s="118" t="str">
        <f t="shared" si="147"/>
        <v>O</v>
      </c>
      <c r="H164" s="118" t="str">
        <f>"Y"</f>
        <v>Y</v>
      </c>
      <c r="I164" s="118" t="str">
        <f t="shared" ref="I164:I167" si="156">""</f>
        <v/>
      </c>
      <c r="J164" s="118" t="str">
        <f t="shared" ref="J164:J166" si="157">"Y"</f>
        <v>Y</v>
      </c>
      <c r="K164" s="118"/>
      <c r="L164" s="148"/>
      <c r="M164" s="118"/>
      <c r="N164" s="148"/>
      <c r="O164" s="118"/>
      <c r="P164" s="118"/>
      <c r="Q164" s="118"/>
      <c r="R164" s="118"/>
      <c r="S164" s="118"/>
      <c r="T164" s="148"/>
      <c r="U164" s="148"/>
    </row>
    <row r="165" ht="15.75" hidden="1" customHeight="1">
      <c r="A165" s="118"/>
      <c r="B165" s="118" t="str">
        <f>"IsForwardingAllowed"</f>
        <v>IsForwardingAllowed</v>
      </c>
      <c r="C165" s="118" t="str">
        <f>"yfs_order_line.is_forwarding_allowed"</f>
        <v>yfs_order_line.is_forwarding_allowed</v>
      </c>
      <c r="D165" s="118" t="str">
        <f t="shared" si="152"/>
        <v>string</v>
      </c>
      <c r="E165" s="118" t="str">
        <f t="shared" si="154"/>
        <v>1</v>
      </c>
      <c r="F165" s="118" t="s">
        <v>395</v>
      </c>
      <c r="G165" s="118" t="str">
        <f t="shared" si="147"/>
        <v>O</v>
      </c>
      <c r="H165" s="118" t="str">
        <f t="shared" ref="H165:H166" si="158">"null"</f>
        <v>null</v>
      </c>
      <c r="I165" s="118" t="str">
        <f t="shared" si="156"/>
        <v/>
      </c>
      <c r="J165" s="118" t="str">
        <f t="shared" si="157"/>
        <v>Y</v>
      </c>
      <c r="K165" s="118"/>
      <c r="L165" s="118"/>
      <c r="M165" s="118"/>
      <c r="N165" s="118"/>
      <c r="O165" s="118"/>
      <c r="P165" s="118"/>
      <c r="Q165" s="118"/>
      <c r="R165" s="118"/>
      <c r="S165" s="118"/>
      <c r="T165" s="148"/>
      <c r="U165" s="148"/>
    </row>
    <row r="166" ht="15.75" hidden="1" customHeight="1">
      <c r="A166" s="118"/>
      <c r="B166" s="118" t="str">
        <f>"IsProcurementAllowed"</f>
        <v>IsProcurementAllowed</v>
      </c>
      <c r="C166" s="118" t="str">
        <f>"yfs_order_line.is_procurement_allowed"</f>
        <v>yfs_order_line.is_procurement_allowed</v>
      </c>
      <c r="D166" s="118" t="str">
        <f t="shared" si="152"/>
        <v>string</v>
      </c>
      <c r="E166" s="118" t="str">
        <f t="shared" si="154"/>
        <v>1</v>
      </c>
      <c r="F166" s="118" t="s">
        <v>396</v>
      </c>
      <c r="G166" s="118" t="str">
        <f t="shared" si="147"/>
        <v>O</v>
      </c>
      <c r="H166" s="118" t="str">
        <f t="shared" si="158"/>
        <v>null</v>
      </c>
      <c r="I166" s="118" t="str">
        <f t="shared" si="156"/>
        <v/>
      </c>
      <c r="J166" s="118" t="str">
        <f t="shared" si="157"/>
        <v>Y</v>
      </c>
      <c r="K166" s="118"/>
      <c r="L166" s="118"/>
      <c r="M166" s="118"/>
      <c r="N166" s="118"/>
      <c r="O166" s="118"/>
      <c r="P166" s="118"/>
      <c r="Q166" s="118"/>
      <c r="R166" s="118"/>
      <c r="S166" s="118"/>
      <c r="T166" s="148"/>
      <c r="U166" s="148"/>
    </row>
    <row r="167" ht="15.75" hidden="1" customHeight="1">
      <c r="A167" s="118"/>
      <c r="B167" s="118" t="str">
        <f>"ItemGroupCode"</f>
        <v>ItemGroupCode</v>
      </c>
      <c r="C167" s="118" t="str">
        <f>"yfs_order_line.item_group_code"</f>
        <v>yfs_order_line.item_group_code</v>
      </c>
      <c r="D167" s="118" t="str">
        <f t="shared" si="152"/>
        <v>string</v>
      </c>
      <c r="E167" s="118" t="str">
        <f>"20"</f>
        <v>20</v>
      </c>
      <c r="F167" s="118" t="s">
        <v>397</v>
      </c>
      <c r="G167" s="118" t="str">
        <f t="shared" si="147"/>
        <v>O</v>
      </c>
      <c r="H167" s="118" t="str">
        <f>"space"</f>
        <v>space</v>
      </c>
      <c r="I167" s="118" t="str">
        <f t="shared" si="156"/>
        <v/>
      </c>
      <c r="J167" s="118" t="str">
        <f>"PROD"</f>
        <v>PROD</v>
      </c>
      <c r="K167" s="118"/>
      <c r="L167" s="118"/>
      <c r="M167" s="118"/>
      <c r="N167" s="118"/>
      <c r="O167" s="118"/>
      <c r="P167" s="118"/>
      <c r="Q167" s="118"/>
      <c r="R167" s="118"/>
      <c r="S167" s="118"/>
      <c r="T167" s="148"/>
      <c r="U167" s="148"/>
    </row>
    <row r="168" ht="15.75" hidden="1" customHeight="1">
      <c r="A168" s="118"/>
      <c r="B168" s="118" t="str">
        <f>"ItemNotExist"</f>
        <v>ItemNotExist</v>
      </c>
      <c r="C168" s="118" t="str">
        <f>"yfs_order_line.item_not_exist"</f>
        <v>yfs_order_line.item_not_exist</v>
      </c>
      <c r="D168" s="118" t="str">
        <f t="shared" si="152"/>
        <v>string</v>
      </c>
      <c r="E168" s="118" t="str">
        <f>"1"</f>
        <v>1</v>
      </c>
      <c r="F168" s="118" t="s">
        <v>398</v>
      </c>
      <c r="G168" s="118" t="str">
        <f t="shared" si="147"/>
        <v>O</v>
      </c>
      <c r="H168" s="118" t="str">
        <f t="shared" ref="H168:J168" si="159">""</f>
        <v/>
      </c>
      <c r="I168" s="118" t="str">
        <f t="shared" si="159"/>
        <v/>
      </c>
      <c r="J168" s="118" t="str">
        <f t="shared" si="159"/>
        <v/>
      </c>
      <c r="K168" s="118"/>
      <c r="L168" s="118"/>
      <c r="M168" s="118"/>
      <c r="N168" s="118"/>
      <c r="O168" s="118"/>
      <c r="P168" s="118"/>
      <c r="Q168" s="118"/>
      <c r="R168" s="118"/>
      <c r="S168" s="118"/>
      <c r="T168" s="148"/>
      <c r="U168" s="148"/>
    </row>
    <row r="169" ht="15.75" hidden="1" customHeight="1">
      <c r="A169" s="118"/>
      <c r="B169" s="118" t="str">
        <f>"KitCode"</f>
        <v>KitCode</v>
      </c>
      <c r="C169" s="118" t="str">
        <f>"yfs_order_line.kit_code"</f>
        <v>yfs_order_line.kit_code</v>
      </c>
      <c r="D169" s="118" t="str">
        <f t="shared" si="152"/>
        <v>string</v>
      </c>
      <c r="E169" s="118" t="str">
        <f>"20"</f>
        <v>20</v>
      </c>
      <c r="F169" s="118" t="s">
        <v>83</v>
      </c>
      <c r="G169" s="118" t="str">
        <f t="shared" si="147"/>
        <v>O</v>
      </c>
      <c r="H169" s="118" t="str">
        <f>"space"</f>
        <v>space</v>
      </c>
      <c r="I169" s="118" t="str">
        <f t="shared" ref="I169:J169" si="160">""</f>
        <v/>
      </c>
      <c r="J169" s="118" t="str">
        <f t="shared" si="160"/>
        <v/>
      </c>
      <c r="K169" s="118"/>
      <c r="L169" s="118"/>
      <c r="M169" s="118"/>
      <c r="N169" s="118"/>
      <c r="O169" s="118"/>
      <c r="P169" s="118"/>
      <c r="Q169" s="118"/>
      <c r="R169" s="118"/>
      <c r="S169" s="118"/>
      <c r="T169" s="148"/>
      <c r="U169" s="148"/>
    </row>
    <row r="170" ht="15.75" hidden="1" customHeight="1">
      <c r="A170" s="118"/>
      <c r="B170" s="118" t="str">
        <f>"KitQty"</f>
        <v>KitQty</v>
      </c>
      <c r="C170" s="118" t="str">
        <f>"yfs_order_line.kit_qty"</f>
        <v>yfs_order_line.kit_qty</v>
      </c>
      <c r="D170" s="118" t="str">
        <f t="shared" ref="D170:D171" si="162">"UNKNOWN"</f>
        <v>UNKNOWN</v>
      </c>
      <c r="E170" s="118" t="str">
        <f t="shared" ref="E170:E171" si="163">""</f>
        <v/>
      </c>
      <c r="F170" s="118" t="s">
        <v>399</v>
      </c>
      <c r="G170" s="118" t="str">
        <f t="shared" si="147"/>
        <v>O</v>
      </c>
      <c r="H170" s="118" t="str">
        <f t="shared" ref="H170:H171" si="164">"null"</f>
        <v>null</v>
      </c>
      <c r="I170" s="118" t="str">
        <f t="shared" ref="I170:J170" si="161">""</f>
        <v/>
      </c>
      <c r="J170" s="118" t="str">
        <f t="shared" si="161"/>
        <v/>
      </c>
      <c r="K170" s="118"/>
      <c r="L170" s="118"/>
      <c r="M170" s="118"/>
      <c r="N170" s="118"/>
      <c r="O170" s="118"/>
      <c r="P170" s="118"/>
      <c r="Q170" s="118"/>
      <c r="R170" s="118"/>
      <c r="S170" s="118"/>
      <c r="T170" s="148"/>
      <c r="U170" s="148"/>
    </row>
    <row r="171" ht="15.75" hidden="1" customHeight="1">
      <c r="A171" s="118"/>
      <c r="B171" s="118" t="str">
        <f>"LastIterationSeqNo"</f>
        <v>LastIterationSeqNo</v>
      </c>
      <c r="C171" s="118" t="str">
        <f>"yfs_order_line.last_iter_seq_no"</f>
        <v>yfs_order_line.last_iter_seq_no</v>
      </c>
      <c r="D171" s="118" t="str">
        <f t="shared" si="162"/>
        <v>UNKNOWN</v>
      </c>
      <c r="E171" s="118" t="str">
        <f t="shared" si="163"/>
        <v/>
      </c>
      <c r="F171" s="118" t="s">
        <v>400</v>
      </c>
      <c r="G171" s="118" t="str">
        <f t="shared" si="147"/>
        <v>O</v>
      </c>
      <c r="H171" s="118" t="str">
        <f t="shared" si="164"/>
        <v>null</v>
      </c>
      <c r="I171" s="118" t="str">
        <f t="shared" ref="I171:J171" si="165">""</f>
        <v/>
      </c>
      <c r="J171" s="118" t="str">
        <f t="shared" si="165"/>
        <v/>
      </c>
      <c r="K171" s="118"/>
      <c r="L171" s="118"/>
      <c r="M171" s="118"/>
      <c r="N171" s="118"/>
      <c r="O171" s="118"/>
      <c r="P171" s="118"/>
      <c r="Q171" s="118"/>
      <c r="R171" s="118"/>
      <c r="S171" s="118"/>
      <c r="T171" s="148"/>
      <c r="U171" s="148"/>
    </row>
    <row r="172">
      <c r="A172" s="204" t="s">
        <v>66</v>
      </c>
      <c r="B172" s="208" t="s">
        <v>401</v>
      </c>
      <c r="C172" s="138"/>
      <c r="D172" s="138"/>
      <c r="E172" s="111"/>
      <c r="F172" s="209"/>
      <c r="G172" s="136"/>
      <c r="H172" s="210"/>
      <c r="I172" s="210"/>
      <c r="J172" s="141"/>
      <c r="K172" s="141"/>
      <c r="L172" s="112"/>
      <c r="M172" s="153"/>
      <c r="N172" s="153" t="s">
        <v>402</v>
      </c>
      <c r="O172" s="153" t="s">
        <v>125</v>
      </c>
      <c r="P172" s="153" t="s">
        <v>125</v>
      </c>
      <c r="Q172" s="153" t="s">
        <v>125</v>
      </c>
      <c r="R172" s="153" t="s">
        <v>403</v>
      </c>
      <c r="S172" s="153" t="s">
        <v>385</v>
      </c>
      <c r="T172" s="153"/>
      <c r="U172" s="153"/>
    </row>
    <row r="173">
      <c r="A173" s="204" t="s">
        <v>66</v>
      </c>
      <c r="B173" s="211" t="s">
        <v>404</v>
      </c>
      <c r="C173" s="138" t="s">
        <v>405</v>
      </c>
      <c r="D173" s="138" t="s">
        <v>131</v>
      </c>
      <c r="E173" s="111">
        <v>24.0</v>
      </c>
      <c r="F173" s="209" t="s">
        <v>406</v>
      </c>
      <c r="G173" s="136" t="s">
        <v>77</v>
      </c>
      <c r="H173" s="210"/>
      <c r="I173" s="210"/>
      <c r="J173" s="141"/>
      <c r="K173" s="141"/>
      <c r="L173" s="112" t="s">
        <v>66</v>
      </c>
      <c r="M173" s="153" t="s">
        <v>407</v>
      </c>
      <c r="N173" s="153" t="s">
        <v>408</v>
      </c>
      <c r="O173" s="153" t="s">
        <v>409</v>
      </c>
      <c r="P173" s="153" t="s">
        <v>410</v>
      </c>
      <c r="Q173" s="153" t="s">
        <v>411</v>
      </c>
      <c r="R173" s="153" t="s">
        <v>412</v>
      </c>
      <c r="S173" s="153" t="s">
        <v>193</v>
      </c>
      <c r="T173" s="153"/>
      <c r="U173" s="153"/>
    </row>
    <row r="174">
      <c r="A174" s="204" t="s">
        <v>66</v>
      </c>
      <c r="B174" s="138" t="s">
        <v>413</v>
      </c>
      <c r="C174" s="138" t="s">
        <v>414</v>
      </c>
      <c r="D174" s="138" t="s">
        <v>131</v>
      </c>
      <c r="E174" s="111">
        <v>24.0</v>
      </c>
      <c r="F174" s="209" t="s">
        <v>415</v>
      </c>
      <c r="G174" s="136" t="s">
        <v>77</v>
      </c>
      <c r="H174" s="210"/>
      <c r="I174" s="210"/>
      <c r="J174" s="141"/>
      <c r="K174" s="141"/>
      <c r="L174" s="112" t="s">
        <v>66</v>
      </c>
      <c r="M174" s="153" t="s">
        <v>416</v>
      </c>
      <c r="N174" s="153" t="s">
        <v>416</v>
      </c>
      <c r="O174" s="153" t="s">
        <v>416</v>
      </c>
      <c r="P174" s="153" t="s">
        <v>416</v>
      </c>
      <c r="Q174" s="153" t="s">
        <v>417</v>
      </c>
      <c r="R174" s="212" t="s">
        <v>418</v>
      </c>
      <c r="S174" s="153" t="s">
        <v>419</v>
      </c>
      <c r="T174" s="153"/>
      <c r="U174" s="153"/>
    </row>
    <row r="175" hidden="1">
      <c r="A175" s="204" t="s">
        <v>92</v>
      </c>
      <c r="B175" s="141" t="str">
        <f>"CarrierServiceCode"</f>
        <v>CarrierServiceCode</v>
      </c>
      <c r="C175" s="141" t="str">
        <f>"yfs_order_line.carrier_service_code"</f>
        <v>yfs_order_line.carrier_service_code</v>
      </c>
      <c r="D175" s="141" t="str">
        <f>"string"</f>
        <v>string</v>
      </c>
      <c r="E175" s="108" t="str">
        <f>"40"</f>
        <v>40</v>
      </c>
      <c r="F175" s="209" t="s">
        <v>420</v>
      </c>
      <c r="G175" s="112" t="str">
        <f>"O"</f>
        <v>O</v>
      </c>
      <c r="H175" s="210"/>
      <c r="I175" s="210"/>
      <c r="J175" s="141"/>
      <c r="K175" s="141" t="s">
        <v>421</v>
      </c>
      <c r="L175" s="112" t="s">
        <v>92</v>
      </c>
      <c r="M175" s="153" t="s">
        <v>422</v>
      </c>
      <c r="N175" s="153" t="s">
        <v>422</v>
      </c>
      <c r="O175" s="153" t="s">
        <v>422</v>
      </c>
      <c r="P175" s="213" t="s">
        <v>422</v>
      </c>
      <c r="Q175" s="213" t="s">
        <v>422</v>
      </c>
      <c r="R175" s="153"/>
      <c r="S175" s="153"/>
      <c r="T175" s="153"/>
      <c r="U175" s="153"/>
    </row>
    <row r="176" hidden="1">
      <c r="A176" s="214"/>
      <c r="B176" s="118" t="s">
        <v>404</v>
      </c>
      <c r="C176" s="118"/>
      <c r="D176" s="118"/>
      <c r="E176" s="103"/>
      <c r="F176" s="137" t="s">
        <v>423</v>
      </c>
      <c r="G176" s="119"/>
      <c r="H176" s="215"/>
      <c r="I176" s="215"/>
      <c r="J176" s="118"/>
      <c r="K176" s="118"/>
      <c r="L176" s="119" t="s">
        <v>66</v>
      </c>
      <c r="M176" s="216"/>
      <c r="N176" s="216"/>
      <c r="O176" s="216"/>
      <c r="P176" s="216"/>
      <c r="Q176" s="216"/>
      <c r="R176" s="217"/>
      <c r="S176" s="217"/>
      <c r="T176" s="186"/>
      <c r="U176" s="186"/>
    </row>
    <row r="177">
      <c r="A177" s="140" t="s">
        <v>66</v>
      </c>
      <c r="B177" s="141" t="str">
        <f>"LineType"</f>
        <v>LineType</v>
      </c>
      <c r="C177" s="141" t="str">
        <f>"yfs_order_line.line_type"</f>
        <v>yfs_order_line.line_type</v>
      </c>
      <c r="D177" s="141" t="str">
        <f t="shared" ref="D177:D178" si="166">"string"</f>
        <v>string</v>
      </c>
      <c r="E177" s="108" t="str">
        <f>"20"</f>
        <v>20</v>
      </c>
      <c r="F177" s="152" t="s">
        <v>424</v>
      </c>
      <c r="G177" s="112" t="s">
        <v>134</v>
      </c>
      <c r="H177" s="140"/>
      <c r="I177" s="138" t="s">
        <v>425</v>
      </c>
      <c r="J177" s="141" t="s">
        <v>425</v>
      </c>
      <c r="K177" s="141"/>
      <c r="L177" s="112" t="s">
        <v>92</v>
      </c>
      <c r="M177" s="138" t="s">
        <v>426</v>
      </c>
      <c r="N177" s="153" t="s">
        <v>427</v>
      </c>
      <c r="O177" s="138" t="s">
        <v>427</v>
      </c>
      <c r="P177" s="138" t="s">
        <v>427</v>
      </c>
      <c r="Q177" s="138" t="s">
        <v>426</v>
      </c>
      <c r="R177" s="153" t="s">
        <v>428</v>
      </c>
      <c r="S177" s="138" t="s">
        <v>429</v>
      </c>
      <c r="T177" s="218" t="s">
        <v>430</v>
      </c>
      <c r="U177" s="138"/>
    </row>
    <row r="178" ht="15.75" hidden="1" customHeight="1">
      <c r="A178" s="118"/>
      <c r="B178" s="118" t="str">
        <f>"MergeNode"</f>
        <v>MergeNode</v>
      </c>
      <c r="C178" s="118" t="str">
        <f>"yfs_order_line.merge_node"</f>
        <v>yfs_order_line.merge_node</v>
      </c>
      <c r="D178" s="118" t="str">
        <f t="shared" si="166"/>
        <v>string</v>
      </c>
      <c r="E178" s="118" t="str">
        <f>"24"</f>
        <v>24</v>
      </c>
      <c r="F178" s="118" t="s">
        <v>83</v>
      </c>
      <c r="G178" s="118" t="str">
        <f t="shared" ref="G178:G179" si="168">"O"</f>
        <v>O</v>
      </c>
      <c r="H178" s="118" t="str">
        <f t="shared" ref="H178:H179" si="169">"null"</f>
        <v>null</v>
      </c>
      <c r="I178" s="118" t="str">
        <f t="shared" ref="I178:J178" si="167">""</f>
        <v/>
      </c>
      <c r="J178" s="118" t="str">
        <f t="shared" si="167"/>
        <v/>
      </c>
      <c r="K178" s="118"/>
      <c r="L178" s="118"/>
      <c r="M178" s="118"/>
      <c r="N178" s="118"/>
      <c r="O178" s="118"/>
      <c r="P178" s="118"/>
      <c r="Q178" s="118"/>
      <c r="R178" s="118"/>
      <c r="S178" s="118"/>
      <c r="T178" s="148"/>
      <c r="U178" s="148"/>
    </row>
    <row r="179" hidden="1">
      <c r="A179" s="118"/>
      <c r="B179" s="118" t="str">
        <f>"MinShipByDate"</f>
        <v>MinShipByDate</v>
      </c>
      <c r="C179" s="118" t="str">
        <f>"yfs_order_line.min_ship_by_date"</f>
        <v>yfs_order_line.min_ship_by_date</v>
      </c>
      <c r="D179" s="118" t="str">
        <f>"UNKNOWN"</f>
        <v>UNKNOWN</v>
      </c>
      <c r="E179" s="118" t="str">
        <f>""</f>
        <v/>
      </c>
      <c r="F179" s="118" t="s">
        <v>431</v>
      </c>
      <c r="G179" s="118" t="str">
        <f t="shared" si="168"/>
        <v>O</v>
      </c>
      <c r="H179" s="118" t="str">
        <f t="shared" si="169"/>
        <v>null</v>
      </c>
      <c r="I179" s="118" t="str">
        <f t="shared" ref="I179:J179" si="170">""</f>
        <v/>
      </c>
      <c r="J179" s="118" t="str">
        <f t="shared" si="170"/>
        <v/>
      </c>
      <c r="K179" s="118"/>
      <c r="L179" s="118"/>
      <c r="M179" s="118"/>
      <c r="N179" s="118"/>
      <c r="O179" s="118"/>
      <c r="P179" s="118"/>
      <c r="Q179" s="118"/>
      <c r="R179" s="118"/>
      <c r="S179" s="118"/>
      <c r="T179" s="148"/>
      <c r="U179" s="148"/>
    </row>
    <row r="180">
      <c r="A180" s="140" t="s">
        <v>66</v>
      </c>
      <c r="B180" s="141" t="str">
        <f>"OrderedQty"</f>
        <v>OrderedQty</v>
      </c>
      <c r="C180" s="141" t="str">
        <f>"yfs_order_line.ordered_qty"</f>
        <v>yfs_order_line.ordered_qty</v>
      </c>
      <c r="D180" s="141" t="str">
        <f>"decimal"</f>
        <v>decimal</v>
      </c>
      <c r="E180" s="108" t="str">
        <f>"14,4"</f>
        <v>14,4</v>
      </c>
      <c r="F180" s="131" t="s">
        <v>432</v>
      </c>
      <c r="G180" s="112" t="s">
        <v>134</v>
      </c>
      <c r="H180" s="140"/>
      <c r="I180" s="141" t="str">
        <f t="shared" ref="I180:I181" si="171">""</f>
        <v/>
      </c>
      <c r="J180" s="141" t="str">
        <f>"7"</f>
        <v>7</v>
      </c>
      <c r="K180" s="141" t="s">
        <v>120</v>
      </c>
      <c r="L180" s="112" t="s">
        <v>66</v>
      </c>
      <c r="M180" s="219" t="s">
        <v>433</v>
      </c>
      <c r="N180" s="219" t="s">
        <v>433</v>
      </c>
      <c r="O180" s="219" t="s">
        <v>433</v>
      </c>
      <c r="P180" s="219" t="s">
        <v>433</v>
      </c>
      <c r="Q180" s="219" t="s">
        <v>433</v>
      </c>
      <c r="R180" s="220" t="s">
        <v>434</v>
      </c>
      <c r="S180" s="220" t="s">
        <v>435</v>
      </c>
      <c r="T180" s="220" t="s">
        <v>436</v>
      </c>
      <c r="U180" s="220"/>
    </row>
    <row r="181" ht="15.75" hidden="1" customHeight="1">
      <c r="A181" s="118"/>
      <c r="B181" s="118" t="str">
        <f>"PackListType"</f>
        <v>PackListType</v>
      </c>
      <c r="C181" s="118" t="str">
        <f>"yfs_order_line.packlist_type"</f>
        <v>yfs_order_line.packlist_type</v>
      </c>
      <c r="D181" s="118" t="str">
        <f t="shared" ref="D181:D183" si="172">"string"</f>
        <v>string</v>
      </c>
      <c r="E181" s="118" t="str">
        <f t="shared" ref="E181:E182" si="173">"20"</f>
        <v>20</v>
      </c>
      <c r="F181" s="118" t="s">
        <v>437</v>
      </c>
      <c r="G181" s="118" t="str">
        <f>"O"</f>
        <v>O</v>
      </c>
      <c r="H181" s="118" t="str">
        <f>"space"</f>
        <v>space</v>
      </c>
      <c r="I181" s="118" t="str">
        <f t="shared" si="171"/>
        <v/>
      </c>
      <c r="J181" s="118" t="str">
        <f>""</f>
        <v/>
      </c>
      <c r="K181" s="118"/>
      <c r="L181" s="118"/>
      <c r="M181" s="118"/>
      <c r="N181" s="118"/>
      <c r="O181" s="118"/>
      <c r="P181" s="118"/>
      <c r="Q181" s="118"/>
      <c r="R181" s="118"/>
      <c r="S181" s="118"/>
      <c r="T181" s="148"/>
      <c r="U181" s="148"/>
    </row>
    <row r="182" hidden="1">
      <c r="A182" s="156" t="s">
        <v>92</v>
      </c>
      <c r="B182" s="118" t="str">
        <f>"PersonalizeCode"</f>
        <v>PersonalizeCode</v>
      </c>
      <c r="C182" s="118" t="str">
        <f>"yfs_order_line.personalize_code"</f>
        <v>yfs_order_line.personalize_code</v>
      </c>
      <c r="D182" s="118" t="str">
        <f t="shared" si="172"/>
        <v>string</v>
      </c>
      <c r="E182" s="103" t="str">
        <f t="shared" si="173"/>
        <v>20</v>
      </c>
      <c r="F182" s="221" t="s">
        <v>438</v>
      </c>
      <c r="G182" s="156" t="s">
        <v>77</v>
      </c>
      <c r="H182" s="214" t="str">
        <f t="shared" ref="H182:J182" si="174">""</f>
        <v/>
      </c>
      <c r="I182" s="118" t="str">
        <f t="shared" si="174"/>
        <v/>
      </c>
      <c r="J182" s="118" t="str">
        <f t="shared" si="174"/>
        <v/>
      </c>
      <c r="K182" s="118" t="s">
        <v>439</v>
      </c>
      <c r="L182" s="119" t="s">
        <v>92</v>
      </c>
      <c r="M182" s="222" t="s">
        <v>440</v>
      </c>
      <c r="N182" s="222"/>
      <c r="O182" s="222" t="s">
        <v>440</v>
      </c>
      <c r="P182" s="222" t="s">
        <v>440</v>
      </c>
      <c r="Q182" s="222" t="s">
        <v>440</v>
      </c>
      <c r="R182" s="119"/>
      <c r="S182" s="119"/>
      <c r="T182" s="186"/>
      <c r="U182" s="186"/>
    </row>
    <row r="183" ht="15.75" hidden="1" customHeight="1">
      <c r="A183" s="118"/>
      <c r="B183" s="118" t="str">
        <f>"PickableFlag"</f>
        <v>PickableFlag</v>
      </c>
      <c r="C183" s="118" t="str">
        <f>"yfs_order_line.pickable_flag"</f>
        <v>yfs_order_line.pickable_flag</v>
      </c>
      <c r="D183" s="118" t="str">
        <f t="shared" si="172"/>
        <v>string</v>
      </c>
      <c r="E183" s="118" t="str">
        <f>"1"</f>
        <v>1</v>
      </c>
      <c r="F183" s="118" t="s">
        <v>441</v>
      </c>
      <c r="G183" s="118" t="str">
        <f t="shared" ref="G183:G184" si="175">"O"</f>
        <v>O</v>
      </c>
      <c r="H183" s="118" t="str">
        <f t="shared" ref="H183:H184" si="176">"space"</f>
        <v>space</v>
      </c>
      <c r="I183" s="118" t="str">
        <f t="shared" ref="I183:I194" si="177">""</f>
        <v/>
      </c>
      <c r="J183" s="118" t="str">
        <f>"Y"</f>
        <v>Y</v>
      </c>
      <c r="K183" s="118"/>
      <c r="L183" s="118"/>
      <c r="M183" s="118"/>
      <c r="N183" s="118"/>
      <c r="O183" s="118"/>
      <c r="P183" s="118"/>
      <c r="Q183" s="118"/>
      <c r="R183" s="118"/>
      <c r="S183" s="118"/>
      <c r="T183" s="148"/>
      <c r="U183" s="148"/>
    </row>
    <row r="184" ht="15.75" hidden="1" customHeight="1">
      <c r="A184" s="118"/>
      <c r="B184" s="118" t="str">
        <f>"PipelineId"</f>
        <v>PipelineId</v>
      </c>
      <c r="C184" s="118" t="str">
        <f>"yfs_pipeline.pipeline_id"</f>
        <v>yfs_pipeline.pipeline_id</v>
      </c>
      <c r="D184" s="118" t="str">
        <f>"UNKNOWN"</f>
        <v>UNKNOWN</v>
      </c>
      <c r="E184" s="118" t="str">
        <f>""</f>
        <v/>
      </c>
      <c r="F184" s="118" t="s">
        <v>442</v>
      </c>
      <c r="G184" s="118" t="str">
        <f t="shared" si="175"/>
        <v>O</v>
      </c>
      <c r="H184" s="118" t="str">
        <f t="shared" si="176"/>
        <v>space</v>
      </c>
      <c r="I184" s="118" t="str">
        <f t="shared" si="177"/>
        <v/>
      </c>
      <c r="J184" s="118" t="str">
        <f>""</f>
        <v/>
      </c>
      <c r="K184" s="118"/>
      <c r="L184" s="118"/>
      <c r="M184" s="118"/>
      <c r="N184" s="118"/>
      <c r="O184" s="118"/>
      <c r="P184" s="118"/>
      <c r="Q184" s="118"/>
      <c r="R184" s="118"/>
      <c r="S184" s="118"/>
      <c r="T184" s="148"/>
      <c r="U184" s="148"/>
    </row>
    <row r="185">
      <c r="A185" s="140" t="s">
        <v>66</v>
      </c>
      <c r="B185" s="141" t="str">
        <f>"PrimeLineNo"</f>
        <v>PrimeLineNo</v>
      </c>
      <c r="C185" s="141" t="str">
        <f>"yfs_order_line.prime_line_no"</f>
        <v>yfs_order_line.prime_line_no</v>
      </c>
      <c r="D185" s="141" t="str">
        <f>"nonNegativeInteger"</f>
        <v>nonNegativeInteger</v>
      </c>
      <c r="E185" s="108" t="str">
        <f>"5"</f>
        <v>5</v>
      </c>
      <c r="F185" s="131" t="s">
        <v>443</v>
      </c>
      <c r="G185" s="112" t="s">
        <v>134</v>
      </c>
      <c r="H185" s="140">
        <v>1.0</v>
      </c>
      <c r="I185" s="141" t="str">
        <f t="shared" si="177"/>
        <v/>
      </c>
      <c r="J185" s="141" t="str">
        <f>"1"</f>
        <v>1</v>
      </c>
      <c r="K185" s="141" t="s">
        <v>120</v>
      </c>
      <c r="L185" s="112" t="s">
        <v>66</v>
      </c>
      <c r="M185" s="153" t="s">
        <v>444</v>
      </c>
      <c r="N185" s="153" t="s">
        <v>444</v>
      </c>
      <c r="O185" s="153" t="s">
        <v>445</v>
      </c>
      <c r="P185" s="153" t="s">
        <v>444</v>
      </c>
      <c r="Q185" s="153" t="s">
        <v>444</v>
      </c>
      <c r="R185" s="153"/>
      <c r="S185" s="153"/>
      <c r="T185" s="153"/>
      <c r="U185" s="153"/>
    </row>
    <row r="186" ht="15.75" hidden="1" customHeight="1">
      <c r="A186" s="118"/>
      <c r="B186" s="118" t="str">
        <f>"ProcureFromNode"</f>
        <v>ProcureFromNode</v>
      </c>
      <c r="C186" s="118" t="str">
        <f>"yfs_order_line.procure_from_node"</f>
        <v>yfs_order_line.procure_from_node</v>
      </c>
      <c r="D186" s="118" t="str">
        <f>"string"</f>
        <v>string</v>
      </c>
      <c r="E186" s="118" t="str">
        <f>"24"</f>
        <v>24</v>
      </c>
      <c r="F186" s="118" t="s">
        <v>446</v>
      </c>
      <c r="G186" s="118" t="str">
        <f t="shared" ref="G186:G202" si="178">"O"</f>
        <v>O</v>
      </c>
      <c r="H186" s="118" t="str">
        <f t="shared" ref="H186:H188" si="179">"null"</f>
        <v>null</v>
      </c>
      <c r="I186" s="118" t="str">
        <f t="shared" si="177"/>
        <v/>
      </c>
      <c r="J186" s="118" t="str">
        <f>""</f>
        <v/>
      </c>
      <c r="K186" s="118"/>
      <c r="L186" s="118"/>
      <c r="M186" s="118"/>
      <c r="N186" s="118"/>
      <c r="O186" s="118"/>
      <c r="P186" s="118"/>
      <c r="Q186" s="118"/>
      <c r="R186" s="118"/>
      <c r="S186" s="118"/>
      <c r="T186" s="148"/>
      <c r="U186" s="148"/>
    </row>
    <row r="187" ht="15.75" hidden="1" customHeight="1">
      <c r="A187" s="118"/>
      <c r="B187" s="118" t="str">
        <f>"PromisedApptEndDate"</f>
        <v>PromisedApptEndDate</v>
      </c>
      <c r="C187" s="118" t="str">
        <f>"yfs_order_line.promised_appt_end_date"</f>
        <v>yfs_order_line.promised_appt_end_date</v>
      </c>
      <c r="D187" s="118" t="str">
        <f t="shared" ref="D187:D188" si="180">"UNKNOWN"</f>
        <v>UNKNOWN</v>
      </c>
      <c r="E187" s="118" t="str">
        <f t="shared" ref="E187:E188" si="181">""</f>
        <v/>
      </c>
      <c r="F187" s="118" t="s">
        <v>447</v>
      </c>
      <c r="G187" s="118" t="str">
        <f t="shared" si="178"/>
        <v>O</v>
      </c>
      <c r="H187" s="118" t="str">
        <f t="shared" si="179"/>
        <v>null</v>
      </c>
      <c r="I187" s="118" t="str">
        <f t="shared" si="177"/>
        <v/>
      </c>
      <c r="J187" s="118" t="str">
        <f>"2010-06-30T14:00:00-04:00"</f>
        <v>2010-06-30T14:00:00-04:00</v>
      </c>
      <c r="K187" s="118"/>
      <c r="L187" s="118"/>
      <c r="M187" s="118"/>
      <c r="N187" s="118"/>
      <c r="O187" s="118"/>
      <c r="P187" s="118"/>
      <c r="Q187" s="118"/>
      <c r="R187" s="118"/>
      <c r="S187" s="118"/>
      <c r="T187" s="148"/>
      <c r="U187" s="148"/>
    </row>
    <row r="188" ht="15.75" hidden="1" customHeight="1">
      <c r="A188" s="118"/>
      <c r="B188" s="118" t="str">
        <f>"PromisedApptStartDate"</f>
        <v>PromisedApptStartDate</v>
      </c>
      <c r="C188" s="118" t="str">
        <f>"yfs_order_line.promised_appt_start_date"</f>
        <v>yfs_order_line.promised_appt_start_date</v>
      </c>
      <c r="D188" s="118" t="str">
        <f t="shared" si="180"/>
        <v>UNKNOWN</v>
      </c>
      <c r="E188" s="118" t="str">
        <f t="shared" si="181"/>
        <v/>
      </c>
      <c r="F188" s="118" t="s">
        <v>448</v>
      </c>
      <c r="G188" s="118" t="str">
        <f t="shared" si="178"/>
        <v>O</v>
      </c>
      <c r="H188" s="118" t="str">
        <f t="shared" si="179"/>
        <v>null</v>
      </c>
      <c r="I188" s="118" t="str">
        <f t="shared" si="177"/>
        <v/>
      </c>
      <c r="J188" s="118" t="str">
        <f>"2010-06-30T12:00:00-04:00"</f>
        <v>2010-06-30T12:00:00-04:00</v>
      </c>
      <c r="K188" s="118"/>
      <c r="L188" s="118"/>
      <c r="M188" s="118"/>
      <c r="N188" s="118"/>
      <c r="O188" s="118"/>
      <c r="P188" s="118"/>
      <c r="Q188" s="118"/>
      <c r="R188" s="118"/>
      <c r="S188" s="118"/>
      <c r="T188" s="148"/>
      <c r="U188" s="148"/>
    </row>
    <row r="189" ht="15.75" hidden="1" customHeight="1">
      <c r="A189" s="118"/>
      <c r="B189" s="118" t="str">
        <f>"Purpose"</f>
        <v>Purpose</v>
      </c>
      <c r="C189" s="118" t="str">
        <f>"yfs_order_line.purpose"</f>
        <v>yfs_order_line.purpose</v>
      </c>
      <c r="D189" s="118" t="str">
        <f t="shared" ref="D189:D190" si="182">"string"</f>
        <v>string</v>
      </c>
      <c r="E189" s="118" t="str">
        <f>"40"</f>
        <v>40</v>
      </c>
      <c r="F189" s="118" t="s">
        <v>449</v>
      </c>
      <c r="G189" s="118" t="str">
        <f t="shared" si="178"/>
        <v>O</v>
      </c>
      <c r="H189" s="118" t="str">
        <f>"space"</f>
        <v>space</v>
      </c>
      <c r="I189" s="118" t="str">
        <f t="shared" si="177"/>
        <v/>
      </c>
      <c r="J189" s="118" t="str">
        <f>""</f>
        <v/>
      </c>
      <c r="K189" s="118"/>
      <c r="L189" s="118"/>
      <c r="M189" s="118"/>
      <c r="N189" s="118"/>
      <c r="O189" s="118"/>
      <c r="P189" s="118"/>
      <c r="Q189" s="118"/>
      <c r="R189" s="118"/>
      <c r="S189" s="118"/>
      <c r="T189" s="148"/>
      <c r="U189" s="148"/>
    </row>
    <row r="190" ht="15.75" hidden="1" customHeight="1">
      <c r="A190" s="118"/>
      <c r="B190" s="118" t="str">
        <f>"ReceivingNode"</f>
        <v>ReceivingNode</v>
      </c>
      <c r="C190" s="118" t="str">
        <f>"yfs_order_line.receiving_node"</f>
        <v>yfs_order_line.receiving_node</v>
      </c>
      <c r="D190" s="118" t="str">
        <f t="shared" si="182"/>
        <v>string</v>
      </c>
      <c r="E190" s="118" t="str">
        <f>"24"</f>
        <v>24</v>
      </c>
      <c r="F190" s="118" t="s">
        <v>450</v>
      </c>
      <c r="G190" s="118" t="str">
        <f t="shared" si="178"/>
        <v>O</v>
      </c>
      <c r="H190" s="118" t="str">
        <f t="shared" ref="H190:H193" si="183">"null"</f>
        <v>null</v>
      </c>
      <c r="I190" s="118" t="str">
        <f t="shared" si="177"/>
        <v/>
      </c>
      <c r="J190" s="118" t="str">
        <f>"0701"</f>
        <v>0701</v>
      </c>
      <c r="K190" s="118"/>
      <c r="L190" s="118"/>
      <c r="M190" s="118"/>
      <c r="N190" s="118"/>
      <c r="O190" s="118"/>
      <c r="P190" s="118"/>
      <c r="Q190" s="118"/>
      <c r="R190" s="118"/>
      <c r="S190" s="118"/>
      <c r="T190" s="148"/>
      <c r="U190" s="148"/>
    </row>
    <row r="191" ht="15.75" hidden="1" customHeight="1">
      <c r="A191" s="118"/>
      <c r="B191" s="118" t="str">
        <f>"ReqCancelDate"</f>
        <v>ReqCancelDate</v>
      </c>
      <c r="C191" s="118" t="str">
        <f>"yfs_order_line.req_cancel_date"</f>
        <v>yfs_order_line.req_cancel_date</v>
      </c>
      <c r="D191" s="118" t="str">
        <f t="shared" ref="D191:D193" si="184">"UNKNOWN"</f>
        <v>UNKNOWN</v>
      </c>
      <c r="E191" s="118" t="str">
        <f t="shared" ref="E191:E193" si="185">""</f>
        <v/>
      </c>
      <c r="F191" s="118" t="s">
        <v>451</v>
      </c>
      <c r="G191" s="118" t="str">
        <f t="shared" si="178"/>
        <v>O</v>
      </c>
      <c r="H191" s="118" t="str">
        <f t="shared" si="183"/>
        <v>null</v>
      </c>
      <c r="I191" s="118" t="str">
        <f t="shared" si="177"/>
        <v/>
      </c>
      <c r="J191" s="118" t="str">
        <f>"2010-07-15T12:00:00-04:00"</f>
        <v>2010-07-15T12:00:00-04:00</v>
      </c>
      <c r="K191" s="118"/>
      <c r="L191" s="118"/>
      <c r="M191" s="118"/>
      <c r="N191" s="118"/>
      <c r="O191" s="118"/>
      <c r="P191" s="118"/>
      <c r="Q191" s="118"/>
      <c r="R191" s="118"/>
      <c r="S191" s="118"/>
      <c r="T191" s="148"/>
      <c r="U191" s="148"/>
    </row>
    <row r="192" ht="15.75" hidden="1" customHeight="1">
      <c r="A192" s="118"/>
      <c r="B192" s="118" t="str">
        <f>"ReqDeliveryDate"</f>
        <v>ReqDeliveryDate</v>
      </c>
      <c r="C192" s="118" t="str">
        <f>"yfs_order_line.req_delivery_date"</f>
        <v>yfs_order_line.req_delivery_date</v>
      </c>
      <c r="D192" s="118" t="str">
        <f t="shared" si="184"/>
        <v>UNKNOWN</v>
      </c>
      <c r="E192" s="118" t="str">
        <f t="shared" si="185"/>
        <v/>
      </c>
      <c r="F192" s="118" t="s">
        <v>452</v>
      </c>
      <c r="G192" s="118" t="str">
        <f t="shared" si="178"/>
        <v>O</v>
      </c>
      <c r="H192" s="118" t="str">
        <f t="shared" si="183"/>
        <v>null</v>
      </c>
      <c r="I192" s="118" t="str">
        <f t="shared" si="177"/>
        <v/>
      </c>
      <c r="J192" s="118" t="str">
        <f>"2010-06-30T12:00:00-04:00"</f>
        <v>2010-06-30T12:00:00-04:00</v>
      </c>
      <c r="K192" s="118"/>
      <c r="L192" s="118"/>
      <c r="M192" s="118"/>
      <c r="N192" s="118"/>
      <c r="O192" s="118"/>
      <c r="P192" s="118"/>
      <c r="Q192" s="118"/>
      <c r="R192" s="118"/>
      <c r="S192" s="118"/>
      <c r="T192" s="148"/>
      <c r="U192" s="148"/>
    </row>
    <row r="193" ht="15.75" hidden="1" customHeight="1">
      <c r="A193" s="118"/>
      <c r="B193" s="118" t="str">
        <f>"ReqShipDate"</f>
        <v>ReqShipDate</v>
      </c>
      <c r="C193" s="118" t="str">
        <f>"yfs_order_line.req_ship_date"</f>
        <v>yfs_order_line.req_ship_date</v>
      </c>
      <c r="D193" s="118" t="str">
        <f t="shared" si="184"/>
        <v>UNKNOWN</v>
      </c>
      <c r="E193" s="118" t="str">
        <f t="shared" si="185"/>
        <v/>
      </c>
      <c r="F193" s="118" t="s">
        <v>453</v>
      </c>
      <c r="G193" s="118" t="str">
        <f t="shared" si="178"/>
        <v>O</v>
      </c>
      <c r="H193" s="118" t="str">
        <f t="shared" si="183"/>
        <v>null</v>
      </c>
      <c r="I193" s="118" t="str">
        <f t="shared" si="177"/>
        <v/>
      </c>
      <c r="J193" s="118" t="str">
        <f>"2010-06-25T12:00:00-04:00"</f>
        <v>2010-06-25T12:00:00-04:00</v>
      </c>
      <c r="K193" s="118"/>
      <c r="L193" s="118"/>
      <c r="M193" s="118"/>
      <c r="N193" s="118"/>
      <c r="O193" s="118"/>
      <c r="P193" s="118"/>
      <c r="Q193" s="118"/>
      <c r="R193" s="118"/>
      <c r="S193" s="118"/>
      <c r="T193" s="148"/>
      <c r="U193" s="148"/>
    </row>
    <row r="194" hidden="1">
      <c r="A194" s="156" t="s">
        <v>92</v>
      </c>
      <c r="B194" s="118" t="str">
        <f>"ReservationID"</f>
        <v>ReservationID</v>
      </c>
      <c r="C194" s="118" t="str">
        <f>"yfs_order_line.reservation_id"</f>
        <v>yfs_order_line.reservation_id</v>
      </c>
      <c r="D194" s="118" t="str">
        <f t="shared" ref="D194:D207" si="186">"string"</f>
        <v>string</v>
      </c>
      <c r="E194" s="103" t="str">
        <f>"40"</f>
        <v>40</v>
      </c>
      <c r="F194" s="118" t="s">
        <v>454</v>
      </c>
      <c r="G194" s="118" t="str">
        <f t="shared" si="178"/>
        <v>O</v>
      </c>
      <c r="H194" s="118" t="str">
        <f>"space"</f>
        <v>space</v>
      </c>
      <c r="I194" s="118" t="str">
        <f t="shared" si="177"/>
        <v/>
      </c>
      <c r="J194" s="118" t="str">
        <f t="shared" ref="J194:J195" si="187">""</f>
        <v/>
      </c>
      <c r="K194" s="118"/>
      <c r="L194" s="119" t="s">
        <v>92</v>
      </c>
      <c r="M194" s="223" t="s">
        <v>455</v>
      </c>
      <c r="N194" s="223"/>
      <c r="O194" s="223" t="s">
        <v>455</v>
      </c>
      <c r="P194" s="223" t="s">
        <v>455</v>
      </c>
      <c r="Q194" s="223" t="s">
        <v>455</v>
      </c>
      <c r="R194" s="118"/>
      <c r="S194" s="118"/>
      <c r="T194" s="148"/>
      <c r="U194" s="148"/>
    </row>
    <row r="195" ht="15.75" hidden="1" customHeight="1">
      <c r="A195" s="118"/>
      <c r="B195" s="118" t="str">
        <f>"ReservationMandatory"</f>
        <v>ReservationMandatory</v>
      </c>
      <c r="C195" s="118" t="str">
        <f>"yfs_order_line.reservation_mandatory"</f>
        <v>yfs_order_line.reservation_mandatory</v>
      </c>
      <c r="D195" s="118" t="str">
        <f t="shared" si="186"/>
        <v>string</v>
      </c>
      <c r="E195" s="118" t="str">
        <f>"1"</f>
        <v>1</v>
      </c>
      <c r="F195" s="118" t="s">
        <v>456</v>
      </c>
      <c r="G195" s="118" t="str">
        <f t="shared" si="178"/>
        <v>O</v>
      </c>
      <c r="H195" s="118" t="str">
        <f>"N"</f>
        <v>N</v>
      </c>
      <c r="I195" s="118" t="str">
        <f>"Y, N"</f>
        <v>Y, N</v>
      </c>
      <c r="J195" s="118" t="str">
        <f t="shared" si="187"/>
        <v/>
      </c>
      <c r="K195" s="118"/>
      <c r="L195" s="118"/>
      <c r="M195" s="118"/>
      <c r="N195" s="118"/>
      <c r="O195" s="118"/>
      <c r="P195" s="118"/>
      <c r="Q195" s="118"/>
      <c r="R195" s="118"/>
      <c r="S195" s="118"/>
      <c r="T195" s="148"/>
      <c r="U195" s="148"/>
    </row>
    <row r="196" ht="15.75" hidden="1" customHeight="1">
      <c r="A196" s="118"/>
      <c r="B196" s="118" t="str">
        <f>"ReturnReason"</f>
        <v>ReturnReason</v>
      </c>
      <c r="C196" s="118" t="str">
        <f>"yfs_order_line.return_reason"</f>
        <v>yfs_order_line.return_reason</v>
      </c>
      <c r="D196" s="118" t="str">
        <f t="shared" si="186"/>
        <v>string</v>
      </c>
      <c r="E196" s="118" t="str">
        <f t="shared" ref="E196:E198" si="189">"40"</f>
        <v>40</v>
      </c>
      <c r="F196" s="118" t="s">
        <v>457</v>
      </c>
      <c r="G196" s="118" t="str">
        <f t="shared" si="178"/>
        <v>O</v>
      </c>
      <c r="H196" s="118" t="str">
        <f t="shared" ref="H196:H202" si="190">"space"</f>
        <v>space</v>
      </c>
      <c r="I196" s="118" t="str">
        <f t="shared" ref="I196:J196" si="188">""</f>
        <v/>
      </c>
      <c r="J196" s="118" t="str">
        <f t="shared" si="188"/>
        <v/>
      </c>
      <c r="K196" s="118"/>
      <c r="L196" s="118"/>
      <c r="M196" s="118"/>
      <c r="N196" s="118"/>
      <c r="O196" s="118"/>
      <c r="P196" s="118"/>
      <c r="Q196" s="118"/>
      <c r="R196" s="118"/>
      <c r="S196" s="118"/>
      <c r="T196" s="148"/>
      <c r="U196" s="148"/>
    </row>
    <row r="197" ht="15.75" hidden="1" customHeight="1">
      <c r="A197" s="118" t="s">
        <v>92</v>
      </c>
      <c r="B197" s="118" t="str">
        <f>"SCAC"</f>
        <v>SCAC</v>
      </c>
      <c r="C197" s="118" t="str">
        <f>"yfs_order_line.scac"</f>
        <v>yfs_order_line.scac</v>
      </c>
      <c r="D197" s="118" t="str">
        <f t="shared" si="186"/>
        <v>string</v>
      </c>
      <c r="E197" s="118" t="str">
        <f t="shared" si="189"/>
        <v>40</v>
      </c>
      <c r="F197" s="118" t="s">
        <v>458</v>
      </c>
      <c r="G197" s="118" t="str">
        <f t="shared" si="178"/>
        <v>O</v>
      </c>
      <c r="H197" s="118" t="str">
        <f t="shared" si="190"/>
        <v>space</v>
      </c>
      <c r="I197" s="118" t="str">
        <f t="shared" ref="I197:I202" si="191">""</f>
        <v/>
      </c>
      <c r="J197" s="118" t="str">
        <f>"FEDX"</f>
        <v>FEDX</v>
      </c>
      <c r="K197" s="118"/>
      <c r="L197" s="118"/>
      <c r="M197" s="118"/>
      <c r="N197" s="118"/>
      <c r="O197" s="118"/>
      <c r="P197" s="118"/>
      <c r="Q197" s="118"/>
      <c r="R197" s="118"/>
      <c r="S197" s="118"/>
      <c r="T197" s="148"/>
      <c r="U197" s="148"/>
    </row>
    <row r="198" ht="15.75" hidden="1" customHeight="1">
      <c r="A198" s="118"/>
      <c r="B198" s="118" t="str">
        <f>"ScacAndService"</f>
        <v>ScacAndService</v>
      </c>
      <c r="C198" s="118" t="str">
        <f>"yfs_scac_and_service.scac_and_service"</f>
        <v>yfs_scac_and_service.scac_and_service</v>
      </c>
      <c r="D198" s="118" t="str">
        <f t="shared" si="186"/>
        <v>string</v>
      </c>
      <c r="E198" s="118" t="str">
        <f t="shared" si="189"/>
        <v>40</v>
      </c>
      <c r="F198" s="118" t="s">
        <v>300</v>
      </c>
      <c r="G198" s="118" t="str">
        <f t="shared" si="178"/>
        <v>O</v>
      </c>
      <c r="H198" s="118" t="str">
        <f t="shared" si="190"/>
        <v>space</v>
      </c>
      <c r="I198" s="118" t="str">
        <f t="shared" si="191"/>
        <v/>
      </c>
      <c r="J198" s="118" t="str">
        <f>""</f>
        <v/>
      </c>
      <c r="K198" s="118"/>
      <c r="L198" s="118"/>
      <c r="M198" s="118"/>
      <c r="N198" s="118"/>
      <c r="O198" s="118"/>
      <c r="P198" s="118"/>
      <c r="Q198" s="118"/>
      <c r="R198" s="118"/>
      <c r="S198" s="118"/>
      <c r="T198" s="148"/>
      <c r="U198" s="148"/>
    </row>
    <row r="199" ht="15.75" hidden="1" customHeight="1">
      <c r="A199" s="156"/>
      <c r="B199" s="118" t="str">
        <f>"ScacAndServiceKey"</f>
        <v>ScacAndServiceKey</v>
      </c>
      <c r="C199" s="118" t="str">
        <f>"yfs_scac_and_service.scac_and_service_key"</f>
        <v>yfs_scac_and_service.scac_and_service_key</v>
      </c>
      <c r="D199" s="118" t="str">
        <f t="shared" si="186"/>
        <v>string</v>
      </c>
      <c r="E199" s="118" t="str">
        <f>"24"</f>
        <v>24</v>
      </c>
      <c r="F199" s="118" t="s">
        <v>301</v>
      </c>
      <c r="G199" s="118" t="str">
        <f t="shared" si="178"/>
        <v>O</v>
      </c>
      <c r="H199" s="118" t="str">
        <f t="shared" si="190"/>
        <v>space</v>
      </c>
      <c r="I199" s="118" t="str">
        <f t="shared" si="191"/>
        <v/>
      </c>
      <c r="J199" s="118" t="str">
        <f>"2010050314595404432"</f>
        <v>2010050314595404432</v>
      </c>
      <c r="K199" s="118"/>
      <c r="L199" s="118"/>
      <c r="M199" s="118"/>
      <c r="N199" s="118"/>
      <c r="O199" s="118"/>
      <c r="P199" s="118"/>
      <c r="Q199" s="118"/>
      <c r="R199" s="118"/>
      <c r="S199" s="118"/>
      <c r="T199" s="148"/>
      <c r="U199" s="148"/>
    </row>
    <row r="200" ht="15.75" hidden="1" customHeight="1">
      <c r="A200" s="118"/>
      <c r="B200" s="118" t="str">
        <f>"Segment"</f>
        <v>Segment</v>
      </c>
      <c r="C200" s="118" t="str">
        <f>"yfs_order_line.segment"</f>
        <v>yfs_order_line.segment</v>
      </c>
      <c r="D200" s="118" t="str">
        <f t="shared" si="186"/>
        <v>string</v>
      </c>
      <c r="E200" s="118" t="str">
        <f>"100"</f>
        <v>100</v>
      </c>
      <c r="F200" s="118" t="s">
        <v>459</v>
      </c>
      <c r="G200" s="118" t="str">
        <f t="shared" si="178"/>
        <v>O</v>
      </c>
      <c r="H200" s="118" t="str">
        <f t="shared" si="190"/>
        <v>space</v>
      </c>
      <c r="I200" s="118" t="str">
        <f t="shared" si="191"/>
        <v/>
      </c>
      <c r="J200" s="118" t="str">
        <f t="shared" ref="J200:J202" si="192">""</f>
        <v/>
      </c>
      <c r="K200" s="118"/>
      <c r="L200" s="118"/>
      <c r="M200" s="118"/>
      <c r="N200" s="118"/>
      <c r="O200" s="118"/>
      <c r="P200" s="118"/>
      <c r="Q200" s="118"/>
      <c r="R200" s="118"/>
      <c r="S200" s="118"/>
      <c r="T200" s="148"/>
      <c r="U200" s="148"/>
    </row>
    <row r="201" ht="15.75" hidden="1" customHeight="1">
      <c r="A201" s="118"/>
      <c r="B201" s="118" t="str">
        <f>"SegmentType"</f>
        <v>SegmentType</v>
      </c>
      <c r="C201" s="118" t="str">
        <f>"yfs_order_line.segment_type"</f>
        <v>yfs_order_line.segment_type</v>
      </c>
      <c r="D201" s="118" t="str">
        <f t="shared" si="186"/>
        <v>string</v>
      </c>
      <c r="E201" s="118" t="str">
        <f>"10"</f>
        <v>10</v>
      </c>
      <c r="F201" s="118" t="s">
        <v>460</v>
      </c>
      <c r="G201" s="118" t="str">
        <f t="shared" si="178"/>
        <v>O</v>
      </c>
      <c r="H201" s="118" t="str">
        <f t="shared" si="190"/>
        <v>space</v>
      </c>
      <c r="I201" s="118" t="str">
        <f t="shared" si="191"/>
        <v/>
      </c>
      <c r="J201" s="118" t="str">
        <f t="shared" si="192"/>
        <v/>
      </c>
      <c r="K201" s="118"/>
      <c r="L201" s="118"/>
      <c r="M201" s="118"/>
      <c r="N201" s="118"/>
      <c r="O201" s="118"/>
      <c r="P201" s="118"/>
      <c r="Q201" s="118"/>
      <c r="R201" s="118"/>
      <c r="S201" s="118"/>
      <c r="T201" s="148"/>
      <c r="U201" s="148"/>
    </row>
    <row r="202" ht="15.75" hidden="1" customHeight="1">
      <c r="A202" s="118"/>
      <c r="B202" s="118" t="str">
        <f>"SerialNo"</f>
        <v>SerialNo</v>
      </c>
      <c r="C202" s="118" t="str">
        <f>"yfs_order_line.serial_no"</f>
        <v>yfs_order_line.serial_no</v>
      </c>
      <c r="D202" s="118" t="str">
        <f t="shared" si="186"/>
        <v>string</v>
      </c>
      <c r="E202" s="118" t="str">
        <f>"40"</f>
        <v>40</v>
      </c>
      <c r="F202" s="118" t="s">
        <v>461</v>
      </c>
      <c r="G202" s="118" t="str">
        <f t="shared" si="178"/>
        <v>O</v>
      </c>
      <c r="H202" s="118" t="str">
        <f t="shared" si="190"/>
        <v>space</v>
      </c>
      <c r="I202" s="118" t="str">
        <f t="shared" si="191"/>
        <v/>
      </c>
      <c r="J202" s="118" t="str">
        <f t="shared" si="192"/>
        <v/>
      </c>
      <c r="K202" s="118"/>
      <c r="L202" s="118"/>
      <c r="M202" s="118"/>
      <c r="N202" s="118"/>
      <c r="O202" s="118"/>
      <c r="P202" s="118"/>
      <c r="Q202" s="118"/>
      <c r="R202" s="118"/>
      <c r="S202" s="118"/>
      <c r="T202" s="148"/>
      <c r="U202" s="148"/>
    </row>
    <row r="203" hidden="1">
      <c r="A203" s="156" t="s">
        <v>92</v>
      </c>
      <c r="B203" s="118" t="str">
        <f>"ReceivingNode"</f>
        <v>ReceivingNode</v>
      </c>
      <c r="C203" s="118" t="str">
        <f>"yfs_order_line.receiving_node"</f>
        <v>yfs_order_line.receiving_node</v>
      </c>
      <c r="D203" s="118" t="str">
        <f t="shared" si="186"/>
        <v>string</v>
      </c>
      <c r="E203" s="103" t="str">
        <f t="shared" ref="E203:E204" si="193">"24"</f>
        <v>24</v>
      </c>
      <c r="F203" s="183" t="s">
        <v>462</v>
      </c>
      <c r="G203" s="224" t="s">
        <v>77</v>
      </c>
      <c r="H203" s="225"/>
      <c r="I203" s="118"/>
      <c r="J203" s="118"/>
      <c r="K203" s="118"/>
      <c r="L203" s="119" t="s">
        <v>92</v>
      </c>
      <c r="M203" s="223" t="s">
        <v>463</v>
      </c>
      <c r="N203" s="223"/>
      <c r="O203" s="223" t="s">
        <v>463</v>
      </c>
      <c r="P203" s="223" t="s">
        <v>463</v>
      </c>
      <c r="Q203" s="223" t="s">
        <v>463</v>
      </c>
      <c r="R203" s="112"/>
      <c r="S203" s="112"/>
      <c r="T203" s="226"/>
      <c r="U203" s="226"/>
    </row>
    <row r="204" hidden="1">
      <c r="A204" s="204" t="s">
        <v>92</v>
      </c>
      <c r="B204" s="141" t="str">
        <f>"ShipNode"</f>
        <v>ShipNode</v>
      </c>
      <c r="C204" s="141" t="str">
        <f>"yfs_order_line.shipnode_key"</f>
        <v>yfs_order_line.shipnode_key</v>
      </c>
      <c r="D204" s="141" t="str">
        <f t="shared" si="186"/>
        <v>string</v>
      </c>
      <c r="E204" s="108" t="str">
        <f t="shared" si="193"/>
        <v>24</v>
      </c>
      <c r="F204" s="152" t="s">
        <v>464</v>
      </c>
      <c r="G204" s="136" t="s">
        <v>77</v>
      </c>
      <c r="H204" s="227"/>
      <c r="I204" s="141" t="str">
        <f t="shared" ref="I204:I207" si="194">""</f>
        <v/>
      </c>
      <c r="J204" s="141" t="str">
        <f>"1449"</f>
        <v>1449</v>
      </c>
      <c r="K204" s="141" t="s">
        <v>465</v>
      </c>
      <c r="L204" s="112" t="s">
        <v>66</v>
      </c>
      <c r="M204" s="138" t="s">
        <v>466</v>
      </c>
      <c r="N204" s="138" t="s">
        <v>466</v>
      </c>
      <c r="O204" s="138" t="s">
        <v>466</v>
      </c>
      <c r="P204" s="228" t="s">
        <v>466</v>
      </c>
      <c r="Q204" s="228" t="s">
        <v>466</v>
      </c>
      <c r="R204" s="153" t="s">
        <v>467</v>
      </c>
      <c r="S204" s="138" t="s">
        <v>193</v>
      </c>
      <c r="T204" s="138"/>
      <c r="U204" s="138"/>
    </row>
    <row r="205" ht="15.75" hidden="1" customHeight="1">
      <c r="A205" s="103"/>
      <c r="B205" s="104" t="str">
        <f>"ShipToID"</f>
        <v>ShipToID</v>
      </c>
      <c r="C205" s="104" t="str">
        <f>"yfs_order_line.ship_to_id"</f>
        <v>yfs_order_line.ship_to_id</v>
      </c>
      <c r="D205" s="104" t="str">
        <f t="shared" si="186"/>
        <v>string</v>
      </c>
      <c r="E205" s="105" t="str">
        <f>"40"</f>
        <v>40</v>
      </c>
      <c r="F205" s="104" t="s">
        <v>468</v>
      </c>
      <c r="G205" s="103" t="str">
        <f t="shared" ref="G205:G207" si="195">"O"</f>
        <v>O</v>
      </c>
      <c r="H205" s="103" t="str">
        <f t="shared" ref="H205:H206" si="196">"null"</f>
        <v>null</v>
      </c>
      <c r="I205" s="104" t="str">
        <f t="shared" si="194"/>
        <v/>
      </c>
      <c r="J205" s="104" t="str">
        <f>""</f>
        <v/>
      </c>
      <c r="K205" s="104"/>
      <c r="L205" s="105"/>
      <c r="M205" s="104"/>
      <c r="N205" s="104"/>
      <c r="O205" s="104"/>
      <c r="P205" s="104"/>
      <c r="Q205" s="104"/>
      <c r="R205" s="104"/>
      <c r="S205" s="104"/>
      <c r="T205" s="107"/>
      <c r="U205" s="107"/>
    </row>
    <row r="206" ht="15.75" hidden="1" customHeight="1">
      <c r="A206" s="103"/>
      <c r="B206" s="104" t="str">
        <f>"ShipToKey"</f>
        <v>ShipToKey</v>
      </c>
      <c r="C206" s="104" t="str">
        <f>"yfs_order_line.ship_to_key"</f>
        <v>yfs_order_line.ship_to_key</v>
      </c>
      <c r="D206" s="104" t="str">
        <f t="shared" si="186"/>
        <v>string</v>
      </c>
      <c r="E206" s="105" t="str">
        <f>"24"</f>
        <v>24</v>
      </c>
      <c r="F206" s="104" t="s">
        <v>469</v>
      </c>
      <c r="G206" s="103" t="str">
        <f t="shared" si="195"/>
        <v>O</v>
      </c>
      <c r="H206" s="103" t="str">
        <f t="shared" si="196"/>
        <v>null</v>
      </c>
      <c r="I206" s="104" t="str">
        <f t="shared" si="194"/>
        <v/>
      </c>
      <c r="J206" s="104" t="str">
        <f>"2010050314595409450"</f>
        <v>2010050314595409450</v>
      </c>
      <c r="K206" s="104"/>
      <c r="L206" s="105"/>
      <c r="M206" s="104"/>
      <c r="N206" s="104"/>
      <c r="O206" s="104"/>
      <c r="P206" s="104"/>
      <c r="Q206" s="104"/>
      <c r="R206" s="104"/>
      <c r="S206" s="104"/>
      <c r="T206" s="107"/>
      <c r="U206" s="107"/>
    </row>
    <row r="207" ht="15.75" hidden="1" customHeight="1">
      <c r="A207" s="103"/>
      <c r="B207" s="104" t="str">
        <f>"ShipTogetherNo"</f>
        <v>ShipTogetherNo</v>
      </c>
      <c r="C207" s="104" t="str">
        <f>"yfs_order_line.ship_together_no"</f>
        <v>yfs_order_line.ship_together_no</v>
      </c>
      <c r="D207" s="104" t="str">
        <f t="shared" si="186"/>
        <v>string</v>
      </c>
      <c r="E207" s="105" t="str">
        <f>"40"</f>
        <v>40</v>
      </c>
      <c r="F207" s="118" t="s">
        <v>228</v>
      </c>
      <c r="G207" s="103" t="str">
        <f t="shared" si="195"/>
        <v>O</v>
      </c>
      <c r="H207" s="103" t="str">
        <f>"space"</f>
        <v>space</v>
      </c>
      <c r="I207" s="104" t="str">
        <f t="shared" si="194"/>
        <v/>
      </c>
      <c r="J207" s="104" t="str">
        <f>""</f>
        <v/>
      </c>
      <c r="K207" s="104"/>
      <c r="L207" s="105"/>
      <c r="M207" s="104"/>
      <c r="N207" s="104"/>
      <c r="O207" s="104"/>
      <c r="P207" s="104"/>
      <c r="Q207" s="104"/>
      <c r="R207" s="104"/>
      <c r="S207" s="104"/>
      <c r="T207" s="107"/>
      <c r="U207" s="107"/>
    </row>
    <row r="208" ht="15.75" hidden="1" customHeight="1">
      <c r="A208" s="103"/>
      <c r="B208" s="104" t="s">
        <v>413</v>
      </c>
      <c r="C208" s="104"/>
      <c r="D208" s="104"/>
      <c r="E208" s="105"/>
      <c r="F208" s="137" t="s">
        <v>470</v>
      </c>
      <c r="G208" s="103"/>
      <c r="H208" s="103"/>
      <c r="I208" s="104"/>
      <c r="J208" s="104"/>
      <c r="K208" s="104"/>
      <c r="L208" s="119" t="s">
        <v>66</v>
      </c>
      <c r="M208" s="104"/>
      <c r="N208" s="104"/>
      <c r="O208" s="104"/>
      <c r="P208" s="104"/>
      <c r="Q208" s="104"/>
      <c r="R208" s="104"/>
      <c r="S208" s="104"/>
      <c r="T208" s="107"/>
      <c r="U208" s="107"/>
    </row>
    <row r="209" hidden="1">
      <c r="A209" s="117" t="s">
        <v>92</v>
      </c>
      <c r="B209" s="104" t="s">
        <v>471</v>
      </c>
      <c r="C209" s="104"/>
      <c r="D209" s="104" t="s">
        <v>472</v>
      </c>
      <c r="E209" s="103">
        <v>24.0</v>
      </c>
      <c r="F209" s="183" t="s">
        <v>473</v>
      </c>
      <c r="G209" s="229" t="s">
        <v>77</v>
      </c>
      <c r="H209" s="103"/>
      <c r="I209" s="104"/>
      <c r="J209" s="104"/>
      <c r="K209" s="104"/>
      <c r="L209" s="119" t="s">
        <v>92</v>
      </c>
      <c r="M209" s="222" t="s">
        <v>474</v>
      </c>
      <c r="N209" s="222"/>
      <c r="O209" s="222" t="s">
        <v>474</v>
      </c>
      <c r="P209" s="222" t="s">
        <v>474</v>
      </c>
      <c r="Q209" s="222" t="s">
        <v>474</v>
      </c>
      <c r="R209" s="119"/>
      <c r="S209" s="119"/>
      <c r="T209" s="186"/>
      <c r="U209" s="186"/>
    </row>
    <row r="210" hidden="1">
      <c r="A210" s="117" t="s">
        <v>92</v>
      </c>
      <c r="B210" s="104" t="s">
        <v>475</v>
      </c>
      <c r="C210" s="104" t="s">
        <v>476</v>
      </c>
      <c r="D210" s="104" t="s">
        <v>477</v>
      </c>
      <c r="E210" s="103">
        <v>25.0</v>
      </c>
      <c r="F210" s="230"/>
      <c r="G210" s="231"/>
      <c r="H210" s="103"/>
      <c r="I210" s="104"/>
      <c r="J210" s="104" t="s">
        <v>478</v>
      </c>
      <c r="K210" s="104"/>
      <c r="L210" s="224" t="s">
        <v>92</v>
      </c>
      <c r="M210" s="232" t="s">
        <v>479</v>
      </c>
      <c r="N210" s="232"/>
      <c r="O210" s="232" t="s">
        <v>479</v>
      </c>
      <c r="P210" s="232" t="s">
        <v>479</v>
      </c>
      <c r="Q210" s="232" t="s">
        <v>479</v>
      </c>
      <c r="R210" s="119"/>
      <c r="S210" s="119"/>
      <c r="T210" s="186"/>
      <c r="U210" s="186"/>
    </row>
    <row r="211" hidden="1">
      <c r="A211" s="117" t="s">
        <v>92</v>
      </c>
      <c r="B211" s="104" t="s">
        <v>480</v>
      </c>
      <c r="C211" s="104" t="s">
        <v>481</v>
      </c>
      <c r="D211" s="104" t="s">
        <v>477</v>
      </c>
      <c r="E211" s="103">
        <v>25.0</v>
      </c>
      <c r="F211" s="233" t="s">
        <v>482</v>
      </c>
      <c r="G211" s="103" t="s">
        <v>77</v>
      </c>
      <c r="H211" s="103"/>
      <c r="I211" s="104"/>
      <c r="J211" s="234">
        <v>44649.416666666664</v>
      </c>
      <c r="K211" s="104"/>
      <c r="L211" s="224" t="s">
        <v>92</v>
      </c>
      <c r="M211" s="155" t="s">
        <v>483</v>
      </c>
      <c r="N211" s="155"/>
      <c r="O211" s="155" t="s">
        <v>483</v>
      </c>
      <c r="P211" s="155" t="s">
        <v>483</v>
      </c>
      <c r="Q211" s="155" t="s">
        <v>483</v>
      </c>
      <c r="R211" s="119"/>
      <c r="S211" s="119"/>
      <c r="T211" s="186"/>
      <c r="U211" s="186"/>
    </row>
    <row r="212">
      <c r="A212" s="108" t="s">
        <v>66</v>
      </c>
      <c r="B212" s="109" t="str">
        <f>"SubLineNo"</f>
        <v>SubLineNo</v>
      </c>
      <c r="C212" s="109" t="str">
        <f>"yfs_order_line.sub_line_no"</f>
        <v>yfs_order_line.sub_line_no</v>
      </c>
      <c r="D212" s="109" t="str">
        <f>"nonNegativeInteger"</f>
        <v>nonNegativeInteger</v>
      </c>
      <c r="E212" s="108" t="str">
        <f>"5"</f>
        <v>5</v>
      </c>
      <c r="F212" s="131" t="s">
        <v>484</v>
      </c>
      <c r="G212" s="112" t="s">
        <v>134</v>
      </c>
      <c r="H212" s="108">
        <v>1.0</v>
      </c>
      <c r="I212" s="109" t="str">
        <f t="shared" ref="I212:I213" si="197">""</f>
        <v/>
      </c>
      <c r="J212" s="109" t="str">
        <f>"1"</f>
        <v>1</v>
      </c>
      <c r="K212" s="109" t="s">
        <v>120</v>
      </c>
      <c r="L212" s="112" t="s">
        <v>66</v>
      </c>
      <c r="M212" s="235" t="s">
        <v>485</v>
      </c>
      <c r="N212" s="235" t="s">
        <v>485</v>
      </c>
      <c r="O212" s="235" t="s">
        <v>485</v>
      </c>
      <c r="P212" s="235" t="s">
        <v>485</v>
      </c>
      <c r="Q212" s="235" t="s">
        <v>485</v>
      </c>
      <c r="R212" s="235"/>
      <c r="S212" s="235"/>
      <c r="T212" s="235"/>
      <c r="U212" s="235"/>
    </row>
    <row r="213" ht="15.75" hidden="1" customHeight="1">
      <c r="A213" s="103"/>
      <c r="B213" s="104" t="str">
        <f>"Timezone"</f>
        <v>Timezone</v>
      </c>
      <c r="C213" s="104" t="str">
        <f>"yfs_order_line.timezone"</f>
        <v>yfs_order_line.timezone</v>
      </c>
      <c r="D213" s="104" t="str">
        <f t="shared" ref="D213:D214" si="198">"string"</f>
        <v>string</v>
      </c>
      <c r="E213" s="105" t="str">
        <f t="shared" ref="E213:E214" si="199">"40"</f>
        <v>40</v>
      </c>
      <c r="F213" s="104" t="s">
        <v>83</v>
      </c>
      <c r="G213" s="103" t="str">
        <f t="shared" ref="G213:G214" si="200">"O"</f>
        <v>O</v>
      </c>
      <c r="H213" s="103" t="str">
        <f>"space"</f>
        <v>space</v>
      </c>
      <c r="I213" s="104" t="str">
        <f t="shared" si="197"/>
        <v/>
      </c>
      <c r="J213" s="104" t="str">
        <f>""</f>
        <v/>
      </c>
      <c r="K213" s="104"/>
      <c r="L213" s="105"/>
      <c r="M213" s="104"/>
      <c r="N213" s="104"/>
      <c r="O213" s="104"/>
      <c r="P213" s="104"/>
      <c r="Q213" s="104"/>
      <c r="R213" s="104"/>
      <c r="S213" s="104"/>
      <c r="T213" s="107"/>
      <c r="U213" s="107"/>
    </row>
    <row r="214" ht="15.75" hidden="1" customHeight="1">
      <c r="A214" s="103" t="s">
        <v>92</v>
      </c>
      <c r="B214" s="104" t="str">
        <f>"TransactionalLineId"</f>
        <v>TransactionalLineId</v>
      </c>
      <c r="C214" s="104" t="str">
        <f>""</f>
        <v/>
      </c>
      <c r="D214" s="104" t="str">
        <f t="shared" si="198"/>
        <v>string</v>
      </c>
      <c r="E214" s="105" t="str">
        <f t="shared" si="199"/>
        <v>40</v>
      </c>
      <c r="F214" s="104" t="s">
        <v>83</v>
      </c>
      <c r="G214" s="103" t="str">
        <f t="shared" si="200"/>
        <v>O</v>
      </c>
      <c r="H214" s="103" t="str">
        <f t="shared" ref="H214:J214" si="201">""</f>
        <v/>
      </c>
      <c r="I214" s="104" t="str">
        <f t="shared" si="201"/>
        <v/>
      </c>
      <c r="J214" s="104" t="str">
        <f t="shared" si="201"/>
        <v/>
      </c>
      <c r="K214" s="104"/>
      <c r="L214" s="105"/>
      <c r="M214" s="104"/>
      <c r="N214" s="104"/>
      <c r="O214" s="104"/>
      <c r="P214" s="104"/>
      <c r="Q214" s="104"/>
      <c r="R214" s="104" t="s">
        <v>486</v>
      </c>
      <c r="S214" s="104"/>
      <c r="T214" s="107"/>
      <c r="U214" s="107"/>
    </row>
    <row r="215" hidden="1">
      <c r="A215" s="117" t="s">
        <v>92</v>
      </c>
      <c r="B215" s="104" t="s">
        <v>487</v>
      </c>
      <c r="C215" s="104" t="s">
        <v>488</v>
      </c>
      <c r="D215" s="104" t="s">
        <v>472</v>
      </c>
      <c r="E215" s="103">
        <v>40.0</v>
      </c>
      <c r="F215" s="175" t="s">
        <v>489</v>
      </c>
      <c r="G215" s="103" t="s">
        <v>77</v>
      </c>
      <c r="H215" s="103"/>
      <c r="I215" s="104"/>
      <c r="J215" s="104"/>
      <c r="K215" s="104"/>
      <c r="L215" s="119" t="s">
        <v>92</v>
      </c>
      <c r="M215" s="155" t="s">
        <v>125</v>
      </c>
      <c r="N215" s="155"/>
      <c r="O215" s="155" t="s">
        <v>125</v>
      </c>
      <c r="P215" s="155" t="s">
        <v>125</v>
      </c>
      <c r="Q215" s="155" t="s">
        <v>125</v>
      </c>
      <c r="R215" s="104"/>
      <c r="S215" s="104"/>
      <c r="T215" s="107"/>
      <c r="U215" s="107"/>
    </row>
    <row r="216">
      <c r="A216" s="111" t="s">
        <v>66</v>
      </c>
      <c r="B216" s="113" t="s">
        <v>490</v>
      </c>
      <c r="C216" s="113" t="s">
        <v>491</v>
      </c>
      <c r="D216" s="113" t="s">
        <v>131</v>
      </c>
      <c r="E216" s="111">
        <v>40.0</v>
      </c>
      <c r="F216" s="110" t="s">
        <v>492</v>
      </c>
      <c r="G216" s="111" t="s">
        <v>134</v>
      </c>
      <c r="H216" s="111" t="s">
        <v>493</v>
      </c>
      <c r="I216" s="109"/>
      <c r="J216" s="109"/>
      <c r="K216" s="109"/>
      <c r="L216" s="112" t="s">
        <v>92</v>
      </c>
      <c r="M216" s="113" t="s">
        <v>494</v>
      </c>
      <c r="N216" s="113" t="s">
        <v>494</v>
      </c>
      <c r="O216" s="113" t="s">
        <v>494</v>
      </c>
      <c r="P216" s="113" t="s">
        <v>494</v>
      </c>
      <c r="Q216" s="113" t="s">
        <v>494</v>
      </c>
      <c r="R216" s="110" t="s">
        <v>495</v>
      </c>
      <c r="S216" s="113"/>
      <c r="T216" s="113"/>
      <c r="U216" s="113"/>
    </row>
    <row r="217" ht="15.75" hidden="1" customHeight="1">
      <c r="A217" s="103" t="s">
        <v>92</v>
      </c>
      <c r="B217" s="193" t="str">
        <f>"ValidateItem"</f>
        <v>ValidateItem</v>
      </c>
      <c r="C217" s="104" t="str">
        <f>""</f>
        <v/>
      </c>
      <c r="D217" s="104" t="str">
        <f>"string"</f>
        <v>string</v>
      </c>
      <c r="E217" s="105" t="str">
        <f>"1"</f>
        <v>1</v>
      </c>
      <c r="F217" s="118" t="s">
        <v>496</v>
      </c>
      <c r="G217" s="103" t="str">
        <f t="shared" ref="G217:G244" si="203">"O"</f>
        <v>O</v>
      </c>
      <c r="H217" s="103" t="str">
        <f t="shared" ref="H217:J217" si="202">""</f>
        <v/>
      </c>
      <c r="I217" s="104" t="str">
        <f t="shared" si="202"/>
        <v/>
      </c>
      <c r="J217" s="104" t="str">
        <f t="shared" si="202"/>
        <v/>
      </c>
      <c r="K217" s="104"/>
      <c r="L217" s="105"/>
      <c r="M217" s="104"/>
      <c r="N217" s="104"/>
      <c r="O217" s="104"/>
      <c r="P217" s="104"/>
      <c r="Q217" s="104"/>
      <c r="R217" s="104"/>
      <c r="S217" s="104"/>
      <c r="T217" s="107"/>
      <c r="U217" s="107"/>
    </row>
    <row r="218" ht="15.75" hidden="1" customHeight="1">
      <c r="A218" s="196" t="s">
        <v>92</v>
      </c>
      <c r="B218" s="170" t="str">
        <f>"/Order/OrderLines/OrderLine/OrderLineTranQuantity/@"</f>
        <v>/Order/OrderLines/OrderLine/OrderLineTranQuantity/@</v>
      </c>
      <c r="C218" s="170"/>
      <c r="D218" s="170"/>
      <c r="E218" s="170"/>
      <c r="F218" s="170"/>
      <c r="G218" s="196" t="str">
        <f t="shared" si="203"/>
        <v>O</v>
      </c>
      <c r="H218" s="170"/>
      <c r="I218" s="170"/>
      <c r="J218" s="170"/>
      <c r="K218" s="170"/>
      <c r="L218" s="170"/>
      <c r="M218" s="170"/>
      <c r="N218" s="170"/>
      <c r="O218" s="170"/>
      <c r="P218" s="170"/>
      <c r="Q218" s="170"/>
      <c r="R218" s="170"/>
      <c r="S218" s="170"/>
      <c r="T218" s="197"/>
      <c r="U218" s="197"/>
    </row>
    <row r="219" ht="15.75" hidden="1" customHeight="1">
      <c r="A219" s="196" t="s">
        <v>92</v>
      </c>
      <c r="B219" s="104" t="str">
        <f>"FillQuantity"</f>
        <v>FillQuantity</v>
      </c>
      <c r="C219" s="104" t="str">
        <f t="shared" ref="C219:C222" si="205">""</f>
        <v/>
      </c>
      <c r="D219" s="104" t="str">
        <f>"decimal"</f>
        <v>decimal</v>
      </c>
      <c r="E219" s="105" t="str">
        <f>"14,4"</f>
        <v>14,4</v>
      </c>
      <c r="F219" s="104" t="s">
        <v>497</v>
      </c>
      <c r="G219" s="103" t="str">
        <f t="shared" si="203"/>
        <v>O</v>
      </c>
      <c r="H219" s="103" t="str">
        <f t="shared" ref="H219:J219" si="204">""</f>
        <v/>
      </c>
      <c r="I219" s="104" t="str">
        <f t="shared" si="204"/>
        <v/>
      </c>
      <c r="J219" s="104" t="str">
        <f t="shared" si="204"/>
        <v/>
      </c>
      <c r="K219" s="104"/>
      <c r="L219" s="105"/>
      <c r="M219" s="104"/>
      <c r="N219" s="104"/>
      <c r="O219" s="104"/>
      <c r="P219" s="104"/>
      <c r="Q219" s="104"/>
      <c r="R219" s="104"/>
      <c r="S219" s="104"/>
      <c r="T219" s="107"/>
      <c r="U219" s="107"/>
    </row>
    <row r="220" ht="15.75" hidden="1" customHeight="1">
      <c r="A220" s="196" t="s">
        <v>92</v>
      </c>
      <c r="B220" s="104" t="str">
        <f>"KitQty"</f>
        <v>KitQty</v>
      </c>
      <c r="C220" s="104" t="str">
        <f t="shared" si="205"/>
        <v/>
      </c>
      <c r="D220" s="104" t="str">
        <f>"nonNegativeInteger"</f>
        <v>nonNegativeInteger</v>
      </c>
      <c r="E220" s="105" t="str">
        <f>"5"</f>
        <v>5</v>
      </c>
      <c r="F220" s="104" t="s">
        <v>83</v>
      </c>
      <c r="G220" s="103" t="str">
        <f t="shared" si="203"/>
        <v>O</v>
      </c>
      <c r="H220" s="103" t="str">
        <f t="shared" ref="H220:J220" si="206">""</f>
        <v/>
      </c>
      <c r="I220" s="104" t="str">
        <f t="shared" si="206"/>
        <v/>
      </c>
      <c r="J220" s="104" t="str">
        <f t="shared" si="206"/>
        <v/>
      </c>
      <c r="K220" s="104"/>
      <c r="L220" s="105"/>
      <c r="M220" s="104"/>
      <c r="N220" s="104"/>
      <c r="O220" s="104"/>
      <c r="P220" s="104"/>
      <c r="Q220" s="104"/>
      <c r="R220" s="104"/>
      <c r="S220" s="104"/>
      <c r="T220" s="107"/>
      <c r="U220" s="107"/>
    </row>
    <row r="221" ht="15.75" hidden="1" customHeight="1">
      <c r="A221" s="196" t="s">
        <v>92</v>
      </c>
      <c r="B221" s="104" t="str">
        <f>"OrderedQty"</f>
        <v>OrderedQty</v>
      </c>
      <c r="C221" s="104" t="str">
        <f t="shared" si="205"/>
        <v/>
      </c>
      <c r="D221" s="104" t="str">
        <f>"decimal"</f>
        <v>decimal</v>
      </c>
      <c r="E221" s="105" t="str">
        <f>"14,4"</f>
        <v>14,4</v>
      </c>
      <c r="F221" s="104" t="s">
        <v>498</v>
      </c>
      <c r="G221" s="103" t="str">
        <f t="shared" si="203"/>
        <v>O</v>
      </c>
      <c r="H221" s="103" t="str">
        <f t="shared" ref="H221:J221" si="207">""</f>
        <v/>
      </c>
      <c r="I221" s="104" t="str">
        <f t="shared" si="207"/>
        <v/>
      </c>
      <c r="J221" s="104" t="str">
        <f t="shared" si="207"/>
        <v/>
      </c>
      <c r="K221" s="104"/>
      <c r="L221" s="105"/>
      <c r="M221" s="104"/>
      <c r="N221" s="104"/>
      <c r="O221" s="104"/>
      <c r="P221" s="104"/>
      <c r="Q221" s="104"/>
      <c r="R221" s="104"/>
      <c r="S221" s="104"/>
      <c r="T221" s="107"/>
      <c r="U221" s="107"/>
    </row>
    <row r="222" ht="15.75" hidden="1" customHeight="1">
      <c r="A222" s="196" t="s">
        <v>92</v>
      </c>
      <c r="B222" s="104" t="str">
        <f>"TransactionalUOM"</f>
        <v>TransactionalUOM</v>
      </c>
      <c r="C222" s="104" t="str">
        <f t="shared" si="205"/>
        <v/>
      </c>
      <c r="D222" s="104" t="str">
        <f>"string"</f>
        <v>string</v>
      </c>
      <c r="E222" s="105" t="str">
        <f>"40"</f>
        <v>40</v>
      </c>
      <c r="F222" s="104" t="s">
        <v>499</v>
      </c>
      <c r="G222" s="103" t="str">
        <f t="shared" si="203"/>
        <v>O</v>
      </c>
      <c r="H222" s="103" t="str">
        <f t="shared" ref="H222:J222" si="208">""</f>
        <v/>
      </c>
      <c r="I222" s="104" t="str">
        <f t="shared" si="208"/>
        <v/>
      </c>
      <c r="J222" s="104" t="str">
        <f t="shared" si="208"/>
        <v/>
      </c>
      <c r="K222" s="104"/>
      <c r="L222" s="105"/>
      <c r="M222" s="104"/>
      <c r="N222" s="104"/>
      <c r="O222" s="104"/>
      <c r="P222" s="104"/>
      <c r="Q222" s="104"/>
      <c r="R222" s="104"/>
      <c r="S222" s="104"/>
      <c r="T222" s="107"/>
      <c r="U222" s="107"/>
    </row>
    <row r="223" hidden="1">
      <c r="A223" s="236" t="s">
        <v>92</v>
      </c>
      <c r="B223" s="237" t="str">
        <f>"/Order/OrderLines/OrderLine/DerivedFrom/@"</f>
        <v>/Order/OrderLines/OrderLine/DerivedFrom/@</v>
      </c>
      <c r="C223" s="170"/>
      <c r="D223" s="170"/>
      <c r="E223" s="170"/>
      <c r="F223" s="238" t="s">
        <v>500</v>
      </c>
      <c r="G223" s="196" t="str">
        <f t="shared" si="203"/>
        <v>O</v>
      </c>
      <c r="H223" s="170"/>
      <c r="I223" s="170"/>
      <c r="J223" s="170"/>
      <c r="K223" s="170"/>
      <c r="L223" s="239" t="s">
        <v>92</v>
      </c>
      <c r="M223" s="240" t="s">
        <v>125</v>
      </c>
      <c r="N223" s="240"/>
      <c r="O223" s="240" t="s">
        <v>125</v>
      </c>
      <c r="P223" s="240" t="s">
        <v>125</v>
      </c>
      <c r="Q223" s="240" t="s">
        <v>125</v>
      </c>
      <c r="R223" s="239"/>
      <c r="S223" s="239"/>
      <c r="T223" s="241"/>
      <c r="U223" s="241"/>
    </row>
    <row r="224" hidden="1">
      <c r="A224" s="117" t="s">
        <v>92</v>
      </c>
      <c r="B224" s="104" t="str">
        <f>"DocumentType"</f>
        <v>DocumentType</v>
      </c>
      <c r="C224" s="104" t="str">
        <f>"yfs_order_header.document_type"</f>
        <v>yfs_order_header.document_type</v>
      </c>
      <c r="D224" s="104" t="str">
        <f t="shared" ref="D224:D229" si="209">"string"</f>
        <v>string</v>
      </c>
      <c r="E224" s="103" t="str">
        <f>"40"</f>
        <v>40</v>
      </c>
      <c r="F224" s="233" t="s">
        <v>501</v>
      </c>
      <c r="G224" s="103" t="str">
        <f t="shared" si="203"/>
        <v>O</v>
      </c>
      <c r="H224" s="103" t="str">
        <f>"space"</f>
        <v>space</v>
      </c>
      <c r="I224" s="104" t="str">
        <f>""</f>
        <v/>
      </c>
      <c r="J224" s="104" t="str">
        <f>"0001"</f>
        <v>0001</v>
      </c>
      <c r="K224" s="104"/>
      <c r="L224" s="224" t="s">
        <v>92</v>
      </c>
      <c r="M224" s="222" t="s">
        <v>125</v>
      </c>
      <c r="N224" s="222"/>
      <c r="O224" s="222" t="s">
        <v>125</v>
      </c>
      <c r="P224" s="222" t="s">
        <v>125</v>
      </c>
      <c r="Q224" s="222" t="s">
        <v>125</v>
      </c>
      <c r="R224" s="119"/>
      <c r="S224" s="119"/>
      <c r="T224" s="186"/>
      <c r="U224" s="186"/>
    </row>
    <row r="225" hidden="1">
      <c r="A225" s="117" t="s">
        <v>92</v>
      </c>
      <c r="B225" s="104" t="str">
        <f>"EnterpriseCode"</f>
        <v>EnterpriseCode</v>
      </c>
      <c r="C225" s="104" t="str">
        <f>""</f>
        <v/>
      </c>
      <c r="D225" s="104" t="str">
        <f t="shared" si="209"/>
        <v>string</v>
      </c>
      <c r="E225" s="103" t="str">
        <f t="shared" ref="E225:E227" si="211">"24"</f>
        <v>24</v>
      </c>
      <c r="F225" s="233" t="s">
        <v>502</v>
      </c>
      <c r="G225" s="103" t="str">
        <f t="shared" si="203"/>
        <v>O</v>
      </c>
      <c r="H225" s="103" t="str">
        <f t="shared" ref="H225:J225" si="210">""</f>
        <v/>
      </c>
      <c r="I225" s="104" t="str">
        <f t="shared" si="210"/>
        <v/>
      </c>
      <c r="J225" s="104" t="str">
        <f t="shared" si="210"/>
        <v/>
      </c>
      <c r="K225" s="104"/>
      <c r="L225" s="224" t="s">
        <v>92</v>
      </c>
      <c r="M225" s="242" t="s">
        <v>125</v>
      </c>
      <c r="N225" s="242"/>
      <c r="O225" s="242" t="s">
        <v>125</v>
      </c>
      <c r="P225" s="242" t="s">
        <v>125</v>
      </c>
      <c r="Q225" s="242" t="s">
        <v>125</v>
      </c>
      <c r="R225" s="119"/>
      <c r="S225" s="119"/>
      <c r="T225" s="186"/>
      <c r="U225" s="186"/>
    </row>
    <row r="226" ht="15.75" hidden="1" customHeight="1">
      <c r="A226" s="103" t="s">
        <v>92</v>
      </c>
      <c r="B226" s="104" t="str">
        <f>"OrderHeaderKey"</f>
        <v>OrderHeaderKey</v>
      </c>
      <c r="C226" s="104" t="str">
        <f>"yfs_order_line.order_header_key"</f>
        <v>yfs_order_line.order_header_key</v>
      </c>
      <c r="D226" s="104" t="str">
        <f t="shared" si="209"/>
        <v>string</v>
      </c>
      <c r="E226" s="105" t="str">
        <f t="shared" si="211"/>
        <v>24</v>
      </c>
      <c r="F226" s="104" t="s">
        <v>503</v>
      </c>
      <c r="G226" s="103" t="str">
        <f t="shared" si="203"/>
        <v>O</v>
      </c>
      <c r="H226" s="103" t="str">
        <f t="shared" ref="H226:H227" si="212">"space"</f>
        <v>space</v>
      </c>
      <c r="I226" s="104" t="str">
        <f t="shared" ref="I226:I227" si="213">""</f>
        <v/>
      </c>
      <c r="J226" s="104" t="str">
        <f>"2010050314595402753"</f>
        <v>2010050314595402753</v>
      </c>
      <c r="K226" s="104"/>
      <c r="L226" s="105"/>
      <c r="M226" s="104"/>
      <c r="N226" s="104"/>
      <c r="O226" s="104"/>
      <c r="P226" s="104"/>
      <c r="Q226" s="104"/>
      <c r="R226" s="104"/>
      <c r="S226" s="104"/>
      <c r="T226" s="107"/>
      <c r="U226" s="107"/>
    </row>
    <row r="227" ht="15.75" hidden="1" customHeight="1">
      <c r="A227" s="103" t="s">
        <v>92</v>
      </c>
      <c r="B227" s="104" t="str">
        <f>"OrderLineKey"</f>
        <v>OrderLineKey</v>
      </c>
      <c r="C227" s="104" t="str">
        <f>"yfs_order_line.order_line_key"</f>
        <v>yfs_order_line.order_line_key</v>
      </c>
      <c r="D227" s="104" t="str">
        <f t="shared" si="209"/>
        <v>string</v>
      </c>
      <c r="E227" s="105" t="str">
        <f t="shared" si="211"/>
        <v>24</v>
      </c>
      <c r="F227" s="104" t="s">
        <v>504</v>
      </c>
      <c r="G227" s="103" t="str">
        <f t="shared" si="203"/>
        <v>O</v>
      </c>
      <c r="H227" s="103" t="str">
        <f t="shared" si="212"/>
        <v>space</v>
      </c>
      <c r="I227" s="104" t="str">
        <f t="shared" si="213"/>
        <v/>
      </c>
      <c r="J227" s="104" t="str">
        <f>"2010050314595404020"</f>
        <v>2010050314595404020</v>
      </c>
      <c r="K227" s="104"/>
      <c r="L227" s="105"/>
      <c r="M227" s="104"/>
      <c r="N227" s="104"/>
      <c r="O227" s="104"/>
      <c r="P227" s="104"/>
      <c r="Q227" s="104"/>
      <c r="R227" s="104"/>
      <c r="S227" s="104"/>
      <c r="T227" s="107"/>
      <c r="U227" s="107"/>
    </row>
    <row r="228" hidden="1">
      <c r="A228" s="117" t="s">
        <v>92</v>
      </c>
      <c r="B228" s="104" t="str">
        <f>"OrderNo"</f>
        <v>OrderNo</v>
      </c>
      <c r="C228" s="104" t="str">
        <f t="shared" ref="C228:C229" si="215">""</f>
        <v/>
      </c>
      <c r="D228" s="104" t="str">
        <f t="shared" si="209"/>
        <v>string</v>
      </c>
      <c r="E228" s="103" t="str">
        <f>"40"</f>
        <v>40</v>
      </c>
      <c r="F228" s="233" t="s">
        <v>505</v>
      </c>
      <c r="G228" s="103" t="str">
        <f t="shared" si="203"/>
        <v>O</v>
      </c>
      <c r="H228" s="103" t="str">
        <f t="shared" ref="H228:J228" si="214">""</f>
        <v/>
      </c>
      <c r="I228" s="104" t="str">
        <f t="shared" si="214"/>
        <v/>
      </c>
      <c r="J228" s="104" t="str">
        <f t="shared" si="214"/>
        <v/>
      </c>
      <c r="K228" s="104"/>
      <c r="L228" s="224" t="s">
        <v>92</v>
      </c>
      <c r="M228" s="242" t="s">
        <v>125</v>
      </c>
      <c r="N228" s="242"/>
      <c r="O228" s="242" t="s">
        <v>125</v>
      </c>
      <c r="P228" s="242" t="s">
        <v>125</v>
      </c>
      <c r="Q228" s="242" t="s">
        <v>125</v>
      </c>
      <c r="R228" s="119"/>
      <c r="S228" s="119"/>
      <c r="T228" s="186"/>
      <c r="U228" s="186"/>
    </row>
    <row r="229" ht="15.75" hidden="1" customHeight="1">
      <c r="A229" s="103" t="s">
        <v>92</v>
      </c>
      <c r="B229" s="104" t="str">
        <f>"OrderReleaseKey"</f>
        <v>OrderReleaseKey</v>
      </c>
      <c r="C229" s="104" t="str">
        <f t="shared" si="215"/>
        <v/>
      </c>
      <c r="D229" s="104" t="str">
        <f t="shared" si="209"/>
        <v>string</v>
      </c>
      <c r="E229" s="105" t="str">
        <f>"24"</f>
        <v>24</v>
      </c>
      <c r="F229" s="104" t="s">
        <v>83</v>
      </c>
      <c r="G229" s="103" t="str">
        <f t="shared" si="203"/>
        <v>O</v>
      </c>
      <c r="H229" s="103" t="str">
        <f t="shared" ref="H229:J229" si="216">""</f>
        <v/>
      </c>
      <c r="I229" s="104" t="str">
        <f t="shared" si="216"/>
        <v/>
      </c>
      <c r="J229" s="104" t="str">
        <f t="shared" si="216"/>
        <v/>
      </c>
      <c r="K229" s="104"/>
      <c r="L229" s="105"/>
      <c r="M229" s="104"/>
      <c r="N229" s="104"/>
      <c r="O229" s="104"/>
      <c r="P229" s="104"/>
      <c r="Q229" s="104"/>
      <c r="R229" s="104"/>
      <c r="S229" s="104"/>
      <c r="T229" s="107"/>
      <c r="U229" s="107"/>
    </row>
    <row r="230" hidden="1">
      <c r="A230" s="117" t="s">
        <v>92</v>
      </c>
      <c r="B230" s="104" t="str">
        <f>"PrimeLineNo"</f>
        <v>PrimeLineNo</v>
      </c>
      <c r="C230" s="104" t="str">
        <f>"yfs_order_line.prime_line_no"</f>
        <v>yfs_order_line.prime_line_no</v>
      </c>
      <c r="D230" s="104" t="str">
        <f t="shared" ref="D230:D232" si="217">"nonNegativeInteger"</f>
        <v>nonNegativeInteger</v>
      </c>
      <c r="E230" s="103" t="str">
        <f t="shared" ref="E230:E232" si="218">"5"</f>
        <v>5</v>
      </c>
      <c r="F230" s="233" t="s">
        <v>506</v>
      </c>
      <c r="G230" s="103" t="str">
        <f t="shared" si="203"/>
        <v>O</v>
      </c>
      <c r="H230" s="103" t="str">
        <f>"0 "</f>
        <v>0 </v>
      </c>
      <c r="I230" s="104" t="str">
        <f>""</f>
        <v/>
      </c>
      <c r="J230" s="104" t="str">
        <f>"1"</f>
        <v>1</v>
      </c>
      <c r="K230" s="104"/>
      <c r="L230" s="224" t="s">
        <v>92</v>
      </c>
      <c r="M230" s="218" t="s">
        <v>125</v>
      </c>
      <c r="N230" s="218"/>
      <c r="O230" s="218" t="s">
        <v>125</v>
      </c>
      <c r="P230" s="218" t="s">
        <v>125</v>
      </c>
      <c r="Q230" s="218" t="s">
        <v>125</v>
      </c>
      <c r="R230" s="119"/>
      <c r="S230" s="119"/>
      <c r="T230" s="186"/>
      <c r="U230" s="186"/>
    </row>
    <row r="231" ht="15.75" hidden="1" customHeight="1">
      <c r="A231" s="103" t="s">
        <v>92</v>
      </c>
      <c r="B231" s="104" t="str">
        <f>"ReleaseNo"</f>
        <v>ReleaseNo</v>
      </c>
      <c r="C231" s="104" t="str">
        <f>""</f>
        <v/>
      </c>
      <c r="D231" s="104" t="str">
        <f t="shared" si="217"/>
        <v>nonNegativeInteger</v>
      </c>
      <c r="E231" s="105" t="str">
        <f t="shared" si="218"/>
        <v>5</v>
      </c>
      <c r="F231" s="104" t="s">
        <v>83</v>
      </c>
      <c r="G231" s="103" t="str">
        <f t="shared" si="203"/>
        <v>O</v>
      </c>
      <c r="H231" s="103" t="str">
        <f t="shared" ref="H231:J231" si="219">""</f>
        <v/>
      </c>
      <c r="I231" s="104" t="str">
        <f t="shared" si="219"/>
        <v/>
      </c>
      <c r="J231" s="104" t="str">
        <f t="shared" si="219"/>
        <v/>
      </c>
      <c r="K231" s="104"/>
      <c r="L231" s="105"/>
      <c r="M231" s="104"/>
      <c r="N231" s="104"/>
      <c r="O231" s="104"/>
      <c r="P231" s="104"/>
      <c r="Q231" s="104"/>
      <c r="R231" s="104"/>
      <c r="S231" s="104"/>
      <c r="T231" s="107"/>
      <c r="U231" s="107"/>
    </row>
    <row r="232" hidden="1">
      <c r="A232" s="117" t="s">
        <v>92</v>
      </c>
      <c r="B232" s="104" t="str">
        <f>"SubLineNo"</f>
        <v>SubLineNo</v>
      </c>
      <c r="C232" s="104" t="str">
        <f>"yfs_order_line.sub_line_no"</f>
        <v>yfs_order_line.sub_line_no</v>
      </c>
      <c r="D232" s="104" t="str">
        <f t="shared" si="217"/>
        <v>nonNegativeInteger</v>
      </c>
      <c r="E232" s="103" t="str">
        <f t="shared" si="218"/>
        <v>5</v>
      </c>
      <c r="F232" s="233" t="s">
        <v>507</v>
      </c>
      <c r="G232" s="103" t="str">
        <f t="shared" si="203"/>
        <v>O</v>
      </c>
      <c r="H232" s="103" t="str">
        <f>"0 "</f>
        <v>0 </v>
      </c>
      <c r="I232" s="104" t="str">
        <f>""</f>
        <v/>
      </c>
      <c r="J232" s="104" t="str">
        <f>"1"</f>
        <v>1</v>
      </c>
      <c r="K232" s="104"/>
      <c r="L232" s="224" t="s">
        <v>92</v>
      </c>
      <c r="M232" s="222" t="s">
        <v>125</v>
      </c>
      <c r="N232" s="222"/>
      <c r="O232" s="222" t="s">
        <v>125</v>
      </c>
      <c r="P232" s="222" t="s">
        <v>125</v>
      </c>
      <c r="Q232" s="222" t="s">
        <v>125</v>
      </c>
      <c r="R232" s="119"/>
      <c r="S232" s="119"/>
      <c r="T232" s="186"/>
      <c r="U232" s="186"/>
    </row>
    <row r="233" ht="15.75" hidden="1" customHeight="1">
      <c r="A233" s="103" t="s">
        <v>92</v>
      </c>
      <c r="B233" s="170" t="str">
        <f>"/Order/OrderLines/OrderLine/ChainedFrom/@"</f>
        <v>/Order/OrderLines/OrderLine/ChainedFrom/@</v>
      </c>
      <c r="C233" s="170"/>
      <c r="D233" s="170"/>
      <c r="E233" s="170"/>
      <c r="F233" s="170"/>
      <c r="G233" s="196" t="str">
        <f t="shared" si="203"/>
        <v>O</v>
      </c>
      <c r="H233" s="170"/>
      <c r="I233" s="170"/>
      <c r="J233" s="170"/>
      <c r="K233" s="170"/>
      <c r="L233" s="170"/>
      <c r="M233" s="170"/>
      <c r="N233" s="170"/>
      <c r="O233" s="170"/>
      <c r="P233" s="170"/>
      <c r="Q233" s="170"/>
      <c r="R233" s="170"/>
      <c r="S233" s="170"/>
      <c r="T233" s="197"/>
      <c r="U233" s="197"/>
    </row>
    <row r="234" ht="15.75" hidden="1" customHeight="1">
      <c r="A234" s="103" t="s">
        <v>92</v>
      </c>
      <c r="B234" s="104" t="str">
        <f>"DocumentType"</f>
        <v>DocumentType</v>
      </c>
      <c r="C234" s="104" t="str">
        <f>"yfs_order_header.document_type"</f>
        <v>yfs_order_header.document_type</v>
      </c>
      <c r="D234" s="104" t="str">
        <f t="shared" ref="D234:D238" si="220">"string"</f>
        <v>string</v>
      </c>
      <c r="E234" s="105" t="str">
        <f>"40"</f>
        <v>40</v>
      </c>
      <c r="F234" s="104" t="s">
        <v>508</v>
      </c>
      <c r="G234" s="103" t="str">
        <f t="shared" si="203"/>
        <v>O</v>
      </c>
      <c r="H234" s="103" t="str">
        <f>"space"</f>
        <v>space</v>
      </c>
      <c r="I234" s="104" t="str">
        <f>""</f>
        <v/>
      </c>
      <c r="J234" s="104" t="str">
        <f>"0001"</f>
        <v>0001</v>
      </c>
      <c r="K234" s="104"/>
      <c r="L234" s="105"/>
      <c r="M234" s="104"/>
      <c r="N234" s="104"/>
      <c r="O234" s="104"/>
      <c r="P234" s="104"/>
      <c r="Q234" s="104"/>
      <c r="R234" s="104"/>
      <c r="S234" s="104"/>
      <c r="T234" s="107"/>
      <c r="U234" s="107"/>
    </row>
    <row r="235" ht="15.75" hidden="1" customHeight="1">
      <c r="A235" s="103" t="s">
        <v>92</v>
      </c>
      <c r="B235" s="104" t="str">
        <f>"EnterpriseCode"</f>
        <v>EnterpriseCode</v>
      </c>
      <c r="C235" s="104" t="str">
        <f>""</f>
        <v/>
      </c>
      <c r="D235" s="104" t="str">
        <f t="shared" si="220"/>
        <v>string</v>
      </c>
      <c r="E235" s="105" t="str">
        <f t="shared" ref="E235:E237" si="222">"24"</f>
        <v>24</v>
      </c>
      <c r="F235" s="104" t="s">
        <v>509</v>
      </c>
      <c r="G235" s="103" t="str">
        <f t="shared" si="203"/>
        <v>O</v>
      </c>
      <c r="H235" s="103" t="str">
        <f t="shared" ref="H235:J235" si="221">""</f>
        <v/>
      </c>
      <c r="I235" s="104" t="str">
        <f t="shared" si="221"/>
        <v/>
      </c>
      <c r="J235" s="104" t="str">
        <f t="shared" si="221"/>
        <v/>
      </c>
      <c r="K235" s="104"/>
      <c r="L235" s="105"/>
      <c r="M235" s="104"/>
      <c r="N235" s="104"/>
      <c r="O235" s="104"/>
      <c r="P235" s="104"/>
      <c r="Q235" s="104"/>
      <c r="R235" s="104"/>
      <c r="S235" s="104"/>
      <c r="T235" s="107"/>
      <c r="U235" s="107"/>
    </row>
    <row r="236" ht="15.75" hidden="1" customHeight="1">
      <c r="A236" s="103" t="s">
        <v>92</v>
      </c>
      <c r="B236" s="104" t="str">
        <f>"OrderHeaderKey"</f>
        <v>OrderHeaderKey</v>
      </c>
      <c r="C236" s="104" t="str">
        <f>"yfs_order_line.order_header_key"</f>
        <v>yfs_order_line.order_header_key</v>
      </c>
      <c r="D236" s="104" t="str">
        <f t="shared" si="220"/>
        <v>string</v>
      </c>
      <c r="E236" s="105" t="str">
        <f t="shared" si="222"/>
        <v>24</v>
      </c>
      <c r="F236" s="104" t="s">
        <v>503</v>
      </c>
      <c r="G236" s="103" t="str">
        <f t="shared" si="203"/>
        <v>O</v>
      </c>
      <c r="H236" s="103" t="str">
        <f t="shared" ref="H236:H237" si="223">"space"</f>
        <v>space</v>
      </c>
      <c r="I236" s="104" t="str">
        <f t="shared" ref="I236:I237" si="224">""</f>
        <v/>
      </c>
      <c r="J236" s="104" t="str">
        <f>"2010050314595402753"</f>
        <v>2010050314595402753</v>
      </c>
      <c r="K236" s="104"/>
      <c r="L236" s="105"/>
      <c r="M236" s="104"/>
      <c r="N236" s="104"/>
      <c r="O236" s="104"/>
      <c r="P236" s="104"/>
      <c r="Q236" s="104"/>
      <c r="R236" s="104"/>
      <c r="S236" s="104"/>
      <c r="T236" s="107"/>
      <c r="U236" s="107"/>
    </row>
    <row r="237" ht="15.75" hidden="1" customHeight="1">
      <c r="A237" s="103" t="s">
        <v>92</v>
      </c>
      <c r="B237" s="104" t="str">
        <f>"OrderLineKey"</f>
        <v>OrderLineKey</v>
      </c>
      <c r="C237" s="104" t="str">
        <f>"yfs_order_line.order_line_key"</f>
        <v>yfs_order_line.order_line_key</v>
      </c>
      <c r="D237" s="104" t="str">
        <f t="shared" si="220"/>
        <v>string</v>
      </c>
      <c r="E237" s="105" t="str">
        <f t="shared" si="222"/>
        <v>24</v>
      </c>
      <c r="F237" s="104" t="s">
        <v>504</v>
      </c>
      <c r="G237" s="103" t="str">
        <f t="shared" si="203"/>
        <v>O</v>
      </c>
      <c r="H237" s="103" t="str">
        <f t="shared" si="223"/>
        <v>space</v>
      </c>
      <c r="I237" s="104" t="str">
        <f t="shared" si="224"/>
        <v/>
      </c>
      <c r="J237" s="104" t="str">
        <f>"2010050314595404020"</f>
        <v>2010050314595404020</v>
      </c>
      <c r="K237" s="104"/>
      <c r="L237" s="105"/>
      <c r="M237" s="104"/>
      <c r="N237" s="104"/>
      <c r="O237" s="104"/>
      <c r="P237" s="104"/>
      <c r="Q237" s="104"/>
      <c r="R237" s="104"/>
      <c r="S237" s="104"/>
      <c r="T237" s="107"/>
      <c r="U237" s="107"/>
    </row>
    <row r="238" ht="15.75" hidden="1" customHeight="1">
      <c r="A238" s="103" t="s">
        <v>92</v>
      </c>
      <c r="B238" s="104" t="str">
        <f>"OrderNo"</f>
        <v>OrderNo</v>
      </c>
      <c r="C238" s="104" t="str">
        <f>""</f>
        <v/>
      </c>
      <c r="D238" s="104" t="str">
        <f t="shared" si="220"/>
        <v>string</v>
      </c>
      <c r="E238" s="105" t="str">
        <f>"40"</f>
        <v>40</v>
      </c>
      <c r="F238" s="104" t="s">
        <v>510</v>
      </c>
      <c r="G238" s="103" t="str">
        <f t="shared" si="203"/>
        <v>O</v>
      </c>
      <c r="H238" s="103" t="str">
        <f t="shared" ref="H238:J238" si="225">""</f>
        <v/>
      </c>
      <c r="I238" s="104" t="str">
        <f t="shared" si="225"/>
        <v/>
      </c>
      <c r="J238" s="104" t="str">
        <f t="shared" si="225"/>
        <v/>
      </c>
      <c r="K238" s="104"/>
      <c r="L238" s="105"/>
      <c r="M238" s="104"/>
      <c r="N238" s="104"/>
      <c r="O238" s="104"/>
      <c r="P238" s="104"/>
      <c r="Q238" s="104"/>
      <c r="R238" s="104"/>
      <c r="S238" s="104"/>
      <c r="T238" s="107"/>
      <c r="U238" s="107"/>
    </row>
    <row r="239" ht="15.75" hidden="1" customHeight="1">
      <c r="A239" s="103" t="s">
        <v>92</v>
      </c>
      <c r="B239" s="104" t="str">
        <f>"PrimeLineNo"</f>
        <v>PrimeLineNo</v>
      </c>
      <c r="C239" s="104" t="str">
        <f>"yfs_order_line.prime_line_no"</f>
        <v>yfs_order_line.prime_line_no</v>
      </c>
      <c r="D239" s="104" t="str">
        <f t="shared" ref="D239:D240" si="226">"nonNegativeInteger"</f>
        <v>nonNegativeInteger</v>
      </c>
      <c r="E239" s="105" t="str">
        <f t="shared" ref="E239:E240" si="227">"5"</f>
        <v>5</v>
      </c>
      <c r="F239" s="104" t="s">
        <v>511</v>
      </c>
      <c r="G239" s="103" t="str">
        <f t="shared" si="203"/>
        <v>O</v>
      </c>
      <c r="H239" s="103" t="str">
        <f t="shared" ref="H239:H240" si="228">"0 "</f>
        <v>0 </v>
      </c>
      <c r="I239" s="104" t="str">
        <f t="shared" ref="I239:I240" si="229">""</f>
        <v/>
      </c>
      <c r="J239" s="104" t="str">
        <f t="shared" ref="J239:J240" si="230">"1"</f>
        <v>1</v>
      </c>
      <c r="K239" s="104"/>
      <c r="L239" s="105"/>
      <c r="M239" s="104"/>
      <c r="N239" s="104"/>
      <c r="O239" s="104"/>
      <c r="P239" s="104"/>
      <c r="Q239" s="104"/>
      <c r="R239" s="104"/>
      <c r="S239" s="104"/>
      <c r="T239" s="107"/>
      <c r="U239" s="107"/>
    </row>
    <row r="240" ht="15.75" hidden="1" customHeight="1">
      <c r="A240" s="103" t="s">
        <v>92</v>
      </c>
      <c r="B240" s="104" t="str">
        <f>"SubLineNo"</f>
        <v>SubLineNo</v>
      </c>
      <c r="C240" s="104" t="str">
        <f>"yfs_order_line.sub_line_no"</f>
        <v>yfs_order_line.sub_line_no</v>
      </c>
      <c r="D240" s="104" t="str">
        <f t="shared" si="226"/>
        <v>nonNegativeInteger</v>
      </c>
      <c r="E240" s="105" t="str">
        <f t="shared" si="227"/>
        <v>5</v>
      </c>
      <c r="F240" s="104" t="s">
        <v>512</v>
      </c>
      <c r="G240" s="103" t="str">
        <f t="shared" si="203"/>
        <v>O</v>
      </c>
      <c r="H240" s="103" t="str">
        <f t="shared" si="228"/>
        <v>0 </v>
      </c>
      <c r="I240" s="104" t="str">
        <f t="shared" si="229"/>
        <v/>
      </c>
      <c r="J240" s="104" t="str">
        <f t="shared" si="230"/>
        <v>1</v>
      </c>
      <c r="K240" s="104"/>
      <c r="L240" s="105"/>
      <c r="M240" s="104"/>
      <c r="N240" s="104"/>
      <c r="O240" s="104"/>
      <c r="P240" s="104"/>
      <c r="Q240" s="104"/>
      <c r="R240" s="104"/>
      <c r="S240" s="104"/>
      <c r="T240" s="107"/>
      <c r="U240" s="107"/>
    </row>
    <row r="241" ht="15.75" hidden="1" customHeight="1">
      <c r="A241" s="103" t="s">
        <v>92</v>
      </c>
      <c r="B241" s="170" t="str">
        <f>"/Order/OrderLines/OrderLine/OrderLineOptions"</f>
        <v>/Order/OrderLines/OrderLine/OrderLineOptions</v>
      </c>
      <c r="C241" s="170"/>
      <c r="D241" s="170"/>
      <c r="E241" s="170"/>
      <c r="F241" s="170"/>
      <c r="G241" s="196" t="str">
        <f t="shared" si="203"/>
        <v>O</v>
      </c>
      <c r="H241" s="170"/>
      <c r="I241" s="170"/>
      <c r="J241" s="170"/>
      <c r="K241" s="170"/>
      <c r="L241" s="170"/>
      <c r="M241" s="170"/>
      <c r="N241" s="170"/>
      <c r="O241" s="170"/>
      <c r="P241" s="170"/>
      <c r="Q241" s="170"/>
      <c r="R241" s="170"/>
      <c r="S241" s="170"/>
      <c r="T241" s="197"/>
      <c r="U241" s="197"/>
    </row>
    <row r="242" ht="15.75" hidden="1" customHeight="1">
      <c r="A242" s="103" t="s">
        <v>92</v>
      </c>
      <c r="B242" s="170" t="str">
        <f>"/Order/OrderLines/OrderLine/OrderLineOptions/OrderLineOption/@"</f>
        <v>/Order/OrderLines/OrderLine/OrderLineOptions/OrderLineOption/@</v>
      </c>
      <c r="C242" s="170"/>
      <c r="D242" s="170"/>
      <c r="E242" s="170"/>
      <c r="F242" s="170"/>
      <c r="G242" s="196" t="str">
        <f t="shared" si="203"/>
        <v>O</v>
      </c>
      <c r="H242" s="170"/>
      <c r="I242" s="170"/>
      <c r="J242" s="170"/>
      <c r="K242" s="170"/>
      <c r="L242" s="170"/>
      <c r="M242" s="170"/>
      <c r="N242" s="170"/>
      <c r="O242" s="170"/>
      <c r="P242" s="170"/>
      <c r="Q242" s="170"/>
      <c r="R242" s="170"/>
      <c r="S242" s="170"/>
      <c r="T242" s="197"/>
      <c r="U242" s="197"/>
    </row>
    <row r="243" ht="15.75" hidden="1" customHeight="1">
      <c r="A243" s="103" t="s">
        <v>92</v>
      </c>
      <c r="B243" s="104" t="str">
        <f>"IsPriceLocked"</f>
        <v>IsPriceLocked</v>
      </c>
      <c r="C243" s="104" t="str">
        <f>"yfs_order_line_option.is_price_locked"</f>
        <v>yfs_order_line_option.is_price_locked</v>
      </c>
      <c r="D243" s="104" t="str">
        <f>"string"</f>
        <v>string</v>
      </c>
      <c r="E243" s="105" t="str">
        <f>"1"</f>
        <v>1</v>
      </c>
      <c r="F243" s="104" t="s">
        <v>513</v>
      </c>
      <c r="G243" s="103" t="str">
        <f t="shared" si="203"/>
        <v>O</v>
      </c>
      <c r="H243" s="103" t="str">
        <f t="shared" ref="H243:J243" si="231">""</f>
        <v/>
      </c>
      <c r="I243" s="104" t="str">
        <f t="shared" si="231"/>
        <v/>
      </c>
      <c r="J243" s="104" t="str">
        <f t="shared" si="231"/>
        <v/>
      </c>
      <c r="K243" s="104"/>
      <c r="L243" s="105"/>
      <c r="M243" s="104"/>
      <c r="N243" s="104"/>
      <c r="O243" s="104"/>
      <c r="P243" s="104"/>
      <c r="Q243" s="104"/>
      <c r="R243" s="104"/>
      <c r="S243" s="104"/>
      <c r="T243" s="107"/>
      <c r="U243" s="107"/>
    </row>
    <row r="244" ht="15.75" hidden="1" customHeight="1">
      <c r="A244" s="103" t="s">
        <v>92</v>
      </c>
      <c r="B244" s="104" t="str">
        <f>"OptionDescription"</f>
        <v>OptionDescription</v>
      </c>
      <c r="C244" s="104" t="str">
        <f>"yfs_order_line_option.option_description"</f>
        <v>yfs_order_line_option.option_description</v>
      </c>
      <c r="D244" s="104" t="str">
        <f>"UNKNOWN"</f>
        <v>UNKNOWN</v>
      </c>
      <c r="E244" s="105" t="str">
        <f>""</f>
        <v/>
      </c>
      <c r="F244" s="104" t="s">
        <v>514</v>
      </c>
      <c r="G244" s="103" t="str">
        <f t="shared" si="203"/>
        <v>O</v>
      </c>
      <c r="H244" s="103" t="str">
        <f t="shared" ref="H244:H247" si="233">"space"</f>
        <v>space</v>
      </c>
      <c r="I244" s="104" t="str">
        <f t="shared" ref="I244:J244" si="232">""</f>
        <v/>
      </c>
      <c r="J244" s="104" t="str">
        <f t="shared" si="232"/>
        <v/>
      </c>
      <c r="K244" s="104"/>
      <c r="L244" s="105"/>
      <c r="M244" s="104"/>
      <c r="N244" s="104"/>
      <c r="O244" s="104"/>
      <c r="P244" s="104"/>
      <c r="Q244" s="104"/>
      <c r="R244" s="104"/>
      <c r="S244" s="104"/>
      <c r="T244" s="107"/>
      <c r="U244" s="107"/>
    </row>
    <row r="245" ht="15.75" hidden="1" customHeight="1">
      <c r="A245" s="103" t="s">
        <v>92</v>
      </c>
      <c r="B245" s="104" t="str">
        <f>"OptionItemID"</f>
        <v>OptionItemID</v>
      </c>
      <c r="C245" s="104" t="str">
        <f>"yfs_order_line_option.option_item_id"</f>
        <v>yfs_order_line_option.option_item_id</v>
      </c>
      <c r="D245" s="104" t="str">
        <f t="shared" ref="D245:D247" si="234">"string"</f>
        <v>string</v>
      </c>
      <c r="E245" s="105" t="str">
        <f t="shared" ref="E245:E247" si="235">"40"</f>
        <v>40</v>
      </c>
      <c r="F245" s="104" t="s">
        <v>515</v>
      </c>
      <c r="G245" s="103" t="str">
        <f>"M"</f>
        <v>M</v>
      </c>
      <c r="H245" s="103" t="str">
        <f t="shared" si="233"/>
        <v>space</v>
      </c>
      <c r="I245" s="104" t="str">
        <f t="shared" ref="I245:I248" si="236">""</f>
        <v/>
      </c>
      <c r="J245" s="104" t="str">
        <f>"13027"</f>
        <v>13027</v>
      </c>
      <c r="K245" s="104"/>
      <c r="L245" s="105"/>
      <c r="M245" s="104"/>
      <c r="N245" s="104"/>
      <c r="O245" s="104"/>
      <c r="P245" s="104"/>
      <c r="Q245" s="104"/>
      <c r="R245" s="104"/>
      <c r="S245" s="104"/>
      <c r="T245" s="107"/>
      <c r="U245" s="107"/>
    </row>
    <row r="246" ht="15.75" hidden="1" customHeight="1">
      <c r="A246" s="103" t="s">
        <v>92</v>
      </c>
      <c r="B246" s="104" t="str">
        <f>"OptionUOM"</f>
        <v>OptionUOM</v>
      </c>
      <c r="C246" s="104" t="str">
        <f>"yfs_order_line_option.option_uom"</f>
        <v>yfs_order_line_option.option_uom</v>
      </c>
      <c r="D246" s="104" t="str">
        <f t="shared" si="234"/>
        <v>string</v>
      </c>
      <c r="E246" s="105" t="str">
        <f t="shared" si="235"/>
        <v>40</v>
      </c>
      <c r="F246" s="104" t="s">
        <v>516</v>
      </c>
      <c r="G246" s="103" t="str">
        <f t="shared" ref="G246:G257" si="237">"O"</f>
        <v>O</v>
      </c>
      <c r="H246" s="103" t="str">
        <f t="shared" si="233"/>
        <v>space</v>
      </c>
      <c r="I246" s="104" t="str">
        <f t="shared" si="236"/>
        <v/>
      </c>
      <c r="J246" s="104" t="str">
        <f t="shared" ref="J246:J247" si="238">"LCU"</f>
        <v>LCU</v>
      </c>
      <c r="K246" s="104"/>
      <c r="L246" s="105"/>
      <c r="M246" s="104"/>
      <c r="N246" s="104"/>
      <c r="O246" s="104"/>
      <c r="P246" s="104"/>
      <c r="Q246" s="104"/>
      <c r="R246" s="104"/>
      <c r="S246" s="104"/>
      <c r="T246" s="107"/>
      <c r="U246" s="107"/>
    </row>
    <row r="247" ht="15.75" hidden="1" customHeight="1">
      <c r="A247" s="103" t="s">
        <v>92</v>
      </c>
      <c r="B247" s="104" t="str">
        <f>"PricingUOM"</f>
        <v>PricingUOM</v>
      </c>
      <c r="C247" s="104" t="str">
        <f>"yfs_order_line_option.pricing_uom"</f>
        <v>yfs_order_line_option.pricing_uom</v>
      </c>
      <c r="D247" s="104" t="str">
        <f t="shared" si="234"/>
        <v>string</v>
      </c>
      <c r="E247" s="105" t="str">
        <f t="shared" si="235"/>
        <v>40</v>
      </c>
      <c r="F247" s="104" t="s">
        <v>517</v>
      </c>
      <c r="G247" s="103" t="str">
        <f t="shared" si="237"/>
        <v>O</v>
      </c>
      <c r="H247" s="103" t="str">
        <f t="shared" si="233"/>
        <v>space</v>
      </c>
      <c r="I247" s="104" t="str">
        <f t="shared" si="236"/>
        <v/>
      </c>
      <c r="J247" s="104" t="str">
        <f t="shared" si="238"/>
        <v>LCU</v>
      </c>
      <c r="K247" s="104"/>
      <c r="L247" s="105"/>
      <c r="M247" s="104"/>
      <c r="N247" s="104"/>
      <c r="O247" s="104"/>
      <c r="P247" s="104"/>
      <c r="Q247" s="104"/>
      <c r="R247" s="104"/>
      <c r="S247" s="104"/>
      <c r="T247" s="107"/>
      <c r="U247" s="107"/>
    </row>
    <row r="248" ht="15.75" hidden="1" customHeight="1">
      <c r="A248" s="103" t="s">
        <v>92</v>
      </c>
      <c r="B248" s="104" t="str">
        <f>"UnitPrice"</f>
        <v>UnitPrice</v>
      </c>
      <c r="C248" s="104" t="str">
        <f>"yfs_order_line_option.unit_price"</f>
        <v>yfs_order_line_option.unit_price</v>
      </c>
      <c r="D248" s="104" t="str">
        <f>"decimal"</f>
        <v>decimal</v>
      </c>
      <c r="E248" s="105" t="str">
        <f>"19,6"</f>
        <v>19,6</v>
      </c>
      <c r="F248" s="104" t="s">
        <v>518</v>
      </c>
      <c r="G248" s="103" t="str">
        <f t="shared" si="237"/>
        <v>O</v>
      </c>
      <c r="H248" s="103" t="str">
        <f>"0"</f>
        <v>0</v>
      </c>
      <c r="I248" s="104" t="str">
        <f t="shared" si="236"/>
        <v/>
      </c>
      <c r="J248" s="104" t="str">
        <f>""</f>
        <v/>
      </c>
      <c r="K248" s="104"/>
      <c r="L248" s="105"/>
      <c r="M248" s="104"/>
      <c r="N248" s="104"/>
      <c r="O248" s="104"/>
      <c r="P248" s="104"/>
      <c r="Q248" s="104"/>
      <c r="R248" s="104"/>
      <c r="S248" s="104"/>
      <c r="T248" s="107"/>
      <c r="U248" s="107"/>
    </row>
    <row r="249" ht="15.75" hidden="1" customHeight="1">
      <c r="A249" s="103" t="s">
        <v>92</v>
      </c>
      <c r="B249" s="170" t="str">
        <f>"/Order/OrderLines/OrderLine/OrderLineOptions/OrderLineOption/CustomAttributes"</f>
        <v>/Order/OrderLines/OrderLine/OrderLineOptions/OrderLineOption/CustomAttributes</v>
      </c>
      <c r="C249" s="170"/>
      <c r="D249" s="170"/>
      <c r="E249" s="170"/>
      <c r="F249" s="170"/>
      <c r="G249" s="196" t="str">
        <f t="shared" si="237"/>
        <v>O</v>
      </c>
      <c r="H249" s="170"/>
      <c r="I249" s="170"/>
      <c r="J249" s="170"/>
      <c r="K249" s="170"/>
      <c r="L249" s="170"/>
      <c r="M249" s="170"/>
      <c r="N249" s="170"/>
      <c r="O249" s="170"/>
      <c r="P249" s="170"/>
      <c r="Q249" s="170"/>
      <c r="R249" s="170"/>
      <c r="S249" s="170"/>
      <c r="T249" s="197"/>
      <c r="U249" s="197"/>
    </row>
    <row r="250" ht="15.75" hidden="1" customHeight="1">
      <c r="A250" s="103" t="s">
        <v>92</v>
      </c>
      <c r="B250" s="170" t="str">
        <f>"/Order/OrderLines/OrderLine/OrderLineSourcingControls"</f>
        <v>/Order/OrderLines/OrderLine/OrderLineSourcingControls</v>
      </c>
      <c r="C250" s="170"/>
      <c r="D250" s="170"/>
      <c r="E250" s="170"/>
      <c r="F250" s="170"/>
      <c r="G250" s="196" t="str">
        <f t="shared" si="237"/>
        <v>O</v>
      </c>
      <c r="H250" s="170"/>
      <c r="I250" s="170"/>
      <c r="J250" s="170"/>
      <c r="K250" s="170"/>
      <c r="L250" s="170"/>
      <c r="M250" s="170"/>
      <c r="N250" s="170"/>
      <c r="O250" s="170"/>
      <c r="P250" s="170"/>
      <c r="Q250" s="170"/>
      <c r="R250" s="170"/>
      <c r="S250" s="170"/>
      <c r="T250" s="197"/>
      <c r="U250" s="197"/>
    </row>
    <row r="251" ht="15.75" hidden="1" customHeight="1">
      <c r="A251" s="103" t="s">
        <v>92</v>
      </c>
      <c r="B251" s="170" t="str">
        <f>"/Order/OrderLines/OrderLine/OrderLineSourcingControls/OrderLineSourcingCntrl/@"</f>
        <v>/Order/OrderLines/OrderLine/OrderLineSourcingControls/OrderLineSourcingCntrl/@</v>
      </c>
      <c r="C251" s="170"/>
      <c r="D251" s="170"/>
      <c r="E251" s="170"/>
      <c r="F251" s="170"/>
      <c r="G251" s="196" t="str">
        <f t="shared" si="237"/>
        <v>O</v>
      </c>
      <c r="H251" s="170"/>
      <c r="I251" s="170"/>
      <c r="J251" s="170"/>
      <c r="K251" s="170"/>
      <c r="L251" s="170"/>
      <c r="M251" s="170"/>
      <c r="N251" s="170"/>
      <c r="O251" s="170"/>
      <c r="P251" s="170"/>
      <c r="Q251" s="170"/>
      <c r="R251" s="170"/>
      <c r="S251" s="170"/>
      <c r="T251" s="197"/>
      <c r="U251" s="197"/>
    </row>
    <row r="252" ht="15.75" hidden="1" customHeight="1">
      <c r="A252" s="103" t="s">
        <v>92</v>
      </c>
      <c r="B252" s="104" t="str">
        <f>"InventoryCheckCode"</f>
        <v>InventoryCheckCode</v>
      </c>
      <c r="C252" s="104" t="str">
        <f>"yfs_order_line_src_cntrl.inv_check_code"</f>
        <v>yfs_order_line_src_cntrl.inv_check_code</v>
      </c>
      <c r="D252" s="104" t="str">
        <f t="shared" ref="D252:D257" si="239">"string"</f>
        <v>string</v>
      </c>
      <c r="E252" s="105" t="str">
        <f t="shared" ref="E252:E253" si="240">"24"</f>
        <v>24</v>
      </c>
      <c r="F252" s="104" t="s">
        <v>519</v>
      </c>
      <c r="G252" s="103" t="str">
        <f t="shared" si="237"/>
        <v>O</v>
      </c>
      <c r="H252" s="103" t="str">
        <f>"null"</f>
        <v>null</v>
      </c>
      <c r="I252" s="104" t="str">
        <f>"NOINV, INFINV, ,  "</f>
        <v>NOINV, INFINV, ,  </v>
      </c>
      <c r="J252" s="104" t="str">
        <f>""</f>
        <v/>
      </c>
      <c r="K252" s="104"/>
      <c r="L252" s="105"/>
      <c r="M252" s="104"/>
      <c r="N252" s="104"/>
      <c r="O252" s="104"/>
      <c r="P252" s="104"/>
      <c r="Q252" s="104"/>
      <c r="R252" s="104"/>
      <c r="S252" s="104"/>
      <c r="T252" s="107"/>
      <c r="U252" s="107"/>
    </row>
    <row r="253" ht="15.75" hidden="1" customHeight="1">
      <c r="A253" s="103" t="s">
        <v>92</v>
      </c>
      <c r="B253" s="104" t="str">
        <f>"Node"</f>
        <v>Node</v>
      </c>
      <c r="C253" s="104" t="str">
        <f>"yfs_order_line_src_cntrl.node_key"</f>
        <v>yfs_order_line_src_cntrl.node_key</v>
      </c>
      <c r="D253" s="104" t="str">
        <f t="shared" si="239"/>
        <v>string</v>
      </c>
      <c r="E253" s="105" t="str">
        <f t="shared" si="240"/>
        <v>24</v>
      </c>
      <c r="F253" s="104" t="s">
        <v>520</v>
      </c>
      <c r="G253" s="103" t="str">
        <f t="shared" si="237"/>
        <v>O</v>
      </c>
      <c r="H253" s="103" t="str">
        <f t="shared" ref="H253:H254" si="241">"space"</f>
        <v>space</v>
      </c>
      <c r="I253" s="104" t="str">
        <f t="shared" ref="I253:I254" si="242">""</f>
        <v/>
      </c>
      <c r="J253" s="104" t="str">
        <f>"2010050314595406573"</f>
        <v>2010050314595406573</v>
      </c>
      <c r="K253" s="104"/>
      <c r="L253" s="105"/>
      <c r="M253" s="104"/>
      <c r="N253" s="104"/>
      <c r="O253" s="104"/>
      <c r="P253" s="104"/>
      <c r="Q253" s="104"/>
      <c r="R253" s="104"/>
      <c r="S253" s="104"/>
      <c r="T253" s="107"/>
      <c r="U253" s="107"/>
    </row>
    <row r="254" ht="15.75" hidden="1" customHeight="1">
      <c r="A254" s="103" t="s">
        <v>92</v>
      </c>
      <c r="B254" s="104" t="str">
        <f>"ReasonText"</f>
        <v>ReasonText</v>
      </c>
      <c r="C254" s="104" t="str">
        <f>"yfs_order_line_src_cntrl.reason_text"</f>
        <v>yfs_order_line_src_cntrl.reason_text</v>
      </c>
      <c r="D254" s="104" t="str">
        <f t="shared" si="239"/>
        <v>string</v>
      </c>
      <c r="E254" s="105" t="str">
        <f>"255"</f>
        <v>255</v>
      </c>
      <c r="F254" s="104" t="s">
        <v>521</v>
      </c>
      <c r="G254" s="103" t="str">
        <f t="shared" si="237"/>
        <v>O</v>
      </c>
      <c r="H254" s="103" t="str">
        <f t="shared" si="241"/>
        <v>space</v>
      </c>
      <c r="I254" s="104" t="str">
        <f t="shared" si="242"/>
        <v/>
      </c>
      <c r="J254" s="104" t="str">
        <f t="shared" ref="J254:J257" si="243">""</f>
        <v/>
      </c>
      <c r="K254" s="104"/>
      <c r="L254" s="105"/>
      <c r="M254" s="104"/>
      <c r="N254" s="104"/>
      <c r="O254" s="104"/>
      <c r="P254" s="104"/>
      <c r="Q254" s="104"/>
      <c r="R254" s="104"/>
      <c r="S254" s="104"/>
      <c r="T254" s="107"/>
      <c r="U254" s="107"/>
    </row>
    <row r="255" ht="15.75" hidden="1" customHeight="1">
      <c r="A255" s="103" t="s">
        <v>92</v>
      </c>
      <c r="B255" s="104" t="str">
        <f>"SuppressNodeCapacity"</f>
        <v>SuppressNodeCapacity</v>
      </c>
      <c r="C255" s="104" t="str">
        <f>"yfs_order_line_src_cntrl.suppress_node_capacity"</f>
        <v>yfs_order_line_src_cntrl.suppress_node_capacity</v>
      </c>
      <c r="D255" s="104" t="str">
        <f t="shared" si="239"/>
        <v>string</v>
      </c>
      <c r="E255" s="105" t="str">
        <f t="shared" ref="E255:E257" si="244">"1"</f>
        <v>1</v>
      </c>
      <c r="F255" s="104" t="s">
        <v>522</v>
      </c>
      <c r="G255" s="103" t="str">
        <f t="shared" si="237"/>
        <v>O</v>
      </c>
      <c r="H255" s="103" t="str">
        <f>""</f>
        <v/>
      </c>
      <c r="I255" s="104" t="str">
        <f>"N, Y, "</f>
        <v>N, Y, </v>
      </c>
      <c r="J255" s="104" t="str">
        <f t="shared" si="243"/>
        <v/>
      </c>
      <c r="K255" s="104"/>
      <c r="L255" s="105"/>
      <c r="M255" s="104"/>
      <c r="N255" s="104"/>
      <c r="O255" s="104"/>
      <c r="P255" s="104"/>
      <c r="Q255" s="104"/>
      <c r="R255" s="104"/>
      <c r="S255" s="104"/>
      <c r="T255" s="107"/>
      <c r="U255" s="107"/>
    </row>
    <row r="256" ht="15.75" hidden="1" customHeight="1">
      <c r="A256" s="103" t="s">
        <v>92</v>
      </c>
      <c r="B256" s="104" t="str">
        <f>"SuppressProcurement"</f>
        <v>SuppressProcurement</v>
      </c>
      <c r="C256" s="104" t="str">
        <f>"yfs_order_line_src_cntrl.suppress_procurement"</f>
        <v>yfs_order_line_src_cntrl.suppress_procurement</v>
      </c>
      <c r="D256" s="104" t="str">
        <f t="shared" si="239"/>
        <v>string</v>
      </c>
      <c r="E256" s="105" t="str">
        <f t="shared" si="244"/>
        <v>1</v>
      </c>
      <c r="F256" s="104" t="s">
        <v>523</v>
      </c>
      <c r="G256" s="103" t="str">
        <f t="shared" si="237"/>
        <v>O</v>
      </c>
      <c r="H256" s="103" t="str">
        <f t="shared" ref="H256:H257" si="245">"N"</f>
        <v>N</v>
      </c>
      <c r="I256" s="104" t="str">
        <f t="shared" ref="I256:I257" si="246">"Y, N"</f>
        <v>Y, N</v>
      </c>
      <c r="J256" s="104" t="str">
        <f t="shared" si="243"/>
        <v/>
      </c>
      <c r="K256" s="104"/>
      <c r="L256" s="105"/>
      <c r="M256" s="104"/>
      <c r="N256" s="104"/>
      <c r="O256" s="104"/>
      <c r="P256" s="104"/>
      <c r="Q256" s="104"/>
      <c r="R256" s="104"/>
      <c r="S256" s="104"/>
      <c r="T256" s="107"/>
      <c r="U256" s="107"/>
    </row>
    <row r="257" ht="15.75" hidden="1" customHeight="1">
      <c r="A257" s="103" t="s">
        <v>92</v>
      </c>
      <c r="B257" s="104" t="str">
        <f>"SuppressSourcing"</f>
        <v>SuppressSourcing</v>
      </c>
      <c r="C257" s="104" t="str">
        <f>"yfs_order_line_src_cntrl.suppress_sourcing"</f>
        <v>yfs_order_line_src_cntrl.suppress_sourcing</v>
      </c>
      <c r="D257" s="104" t="str">
        <f t="shared" si="239"/>
        <v>string</v>
      </c>
      <c r="E257" s="105" t="str">
        <f t="shared" si="244"/>
        <v>1</v>
      </c>
      <c r="F257" s="104" t="s">
        <v>524</v>
      </c>
      <c r="G257" s="103" t="str">
        <f t="shared" si="237"/>
        <v>O</v>
      </c>
      <c r="H257" s="103" t="str">
        <f t="shared" si="245"/>
        <v>N</v>
      </c>
      <c r="I257" s="104" t="str">
        <f t="shared" si="246"/>
        <v>Y, N</v>
      </c>
      <c r="J257" s="104" t="str">
        <f t="shared" si="243"/>
        <v/>
      </c>
      <c r="K257" s="104"/>
      <c r="L257" s="105"/>
      <c r="M257" s="104"/>
      <c r="N257" s="104"/>
      <c r="O257" s="104"/>
      <c r="P257" s="104"/>
      <c r="Q257" s="104"/>
      <c r="R257" s="104"/>
      <c r="S257" s="104"/>
      <c r="T257" s="107"/>
      <c r="U257" s="107"/>
    </row>
    <row r="258">
      <c r="A258" s="111" t="s">
        <v>66</v>
      </c>
      <c r="B258" s="243" t="s">
        <v>525</v>
      </c>
      <c r="C258" s="243" t="s">
        <v>526</v>
      </c>
      <c r="D258" s="243" t="s">
        <v>131</v>
      </c>
      <c r="E258" s="244">
        <v>40.0</v>
      </c>
      <c r="F258" s="245" t="s">
        <v>527</v>
      </c>
      <c r="G258" s="244" t="s">
        <v>134</v>
      </c>
      <c r="H258" s="111"/>
      <c r="I258" s="113" t="s">
        <v>528</v>
      </c>
      <c r="J258" s="109"/>
      <c r="K258" s="109"/>
      <c r="L258" s="112"/>
      <c r="M258" s="245" t="s">
        <v>529</v>
      </c>
      <c r="N258" s="245" t="s">
        <v>529</v>
      </c>
      <c r="O258" s="245" t="s">
        <v>529</v>
      </c>
      <c r="P258" s="245" t="s">
        <v>529</v>
      </c>
      <c r="Q258" s="113"/>
      <c r="R258" s="110"/>
      <c r="S258" s="113"/>
      <c r="T258" s="113"/>
      <c r="U258" s="113"/>
    </row>
    <row r="259" ht="15.75" customHeight="1">
      <c r="A259" s="97" t="s">
        <v>66</v>
      </c>
      <c r="B259" s="96" t="s">
        <v>530</v>
      </c>
      <c r="C259" s="96"/>
      <c r="D259" s="96"/>
      <c r="E259" s="97"/>
      <c r="F259" s="98"/>
      <c r="G259" s="99" t="s">
        <v>77</v>
      </c>
      <c r="H259" s="97"/>
      <c r="I259" s="96"/>
      <c r="J259" s="96"/>
      <c r="K259" s="96"/>
      <c r="L259" s="100" t="s">
        <v>92</v>
      </c>
      <c r="M259" s="99"/>
      <c r="N259" s="99"/>
      <c r="O259" s="99"/>
      <c r="P259" s="99"/>
      <c r="Q259" s="99"/>
      <c r="R259" s="99"/>
      <c r="S259" s="99"/>
      <c r="T259" s="99"/>
      <c r="U259" s="99"/>
    </row>
    <row r="260" ht="15.75" hidden="1" customHeight="1">
      <c r="A260" s="103"/>
      <c r="B260" s="104" t="str">
        <f>"AlternateItemID"</f>
        <v>AlternateItemID</v>
      </c>
      <c r="C260" s="104" t="str">
        <f>"yfs_order_line.alternate_item_id"</f>
        <v>yfs_order_line.alternate_item_id</v>
      </c>
      <c r="D260" s="104" t="str">
        <f t="shared" ref="D260:D268" si="247">"string"</f>
        <v>string</v>
      </c>
      <c r="E260" s="105" t="str">
        <f>"40"</f>
        <v>40</v>
      </c>
      <c r="F260" s="104" t="s">
        <v>531</v>
      </c>
      <c r="G260" s="103" t="str">
        <f t="shared" ref="G260:G268" si="248">"O"</f>
        <v>O</v>
      </c>
      <c r="H260" s="103" t="str">
        <f t="shared" ref="H260:H261" si="249">"null"</f>
        <v>null</v>
      </c>
      <c r="I260" s="104" t="str">
        <f>""</f>
        <v/>
      </c>
      <c r="J260" s="104" t="str">
        <f>"13027"</f>
        <v>13027</v>
      </c>
      <c r="K260" s="104"/>
      <c r="L260" s="105"/>
      <c r="M260" s="104"/>
      <c r="N260" s="104"/>
      <c r="O260" s="104"/>
      <c r="P260" s="104"/>
      <c r="Q260" s="104"/>
      <c r="R260" s="104"/>
      <c r="S260" s="104"/>
      <c r="T260" s="107"/>
      <c r="U260" s="107"/>
    </row>
    <row r="261" ht="15.75" hidden="1" customHeight="1">
      <c r="A261" s="103"/>
      <c r="B261" s="104" t="str">
        <f>"BundleFulfillmentMode"</f>
        <v>BundleFulfillmentMode</v>
      </c>
      <c r="C261" s="104" t="str">
        <f>"yfs_order_line.bundle_fulfillment_mode"</f>
        <v>yfs_order_line.bundle_fulfillment_mode</v>
      </c>
      <c r="D261" s="104" t="str">
        <f t="shared" si="247"/>
        <v>string</v>
      </c>
      <c r="E261" s="105" t="str">
        <f>"2"</f>
        <v>2</v>
      </c>
      <c r="F261" s="104" t="s">
        <v>532</v>
      </c>
      <c r="G261" s="103" t="str">
        <f t="shared" si="248"/>
        <v>O</v>
      </c>
      <c r="H261" s="103" t="str">
        <f t="shared" si="249"/>
        <v>null</v>
      </c>
      <c r="I261" s="104" t="str">
        <f>", 00, 01, 02"</f>
        <v>, 00, 01, 02</v>
      </c>
      <c r="J261" s="104" t="str">
        <f>""</f>
        <v/>
      </c>
      <c r="K261" s="104"/>
      <c r="L261" s="105"/>
      <c r="M261" s="104"/>
      <c r="N261" s="104"/>
      <c r="O261" s="104"/>
      <c r="P261" s="104"/>
      <c r="Q261" s="104"/>
      <c r="R261" s="104"/>
      <c r="S261" s="104"/>
      <c r="T261" s="107"/>
      <c r="U261" s="107"/>
    </row>
    <row r="262" ht="15.75" hidden="1" customHeight="1">
      <c r="A262" s="103"/>
      <c r="B262" s="104" t="str">
        <f>"CostCurrency"</f>
        <v>CostCurrency</v>
      </c>
      <c r="C262" s="104" t="str">
        <f>"yfs_order_line.cost_currency"</f>
        <v>yfs_order_line.cost_currency</v>
      </c>
      <c r="D262" s="104" t="str">
        <f t="shared" si="247"/>
        <v>string</v>
      </c>
      <c r="E262" s="105" t="str">
        <f>"20"</f>
        <v>20</v>
      </c>
      <c r="F262" s="118" t="s">
        <v>533</v>
      </c>
      <c r="G262" s="103" t="str">
        <f t="shared" si="248"/>
        <v>O</v>
      </c>
      <c r="H262" s="103" t="str">
        <f t="shared" ref="H262:H268" si="250">"space"</f>
        <v>space</v>
      </c>
      <c r="I262" s="104" t="str">
        <f t="shared" ref="I262:I268" si="251">""</f>
        <v/>
      </c>
      <c r="J262" s="104" t="str">
        <f>"USD"</f>
        <v>USD</v>
      </c>
      <c r="K262" s="104"/>
      <c r="L262" s="105"/>
      <c r="M262" s="104"/>
      <c r="N262" s="104"/>
      <c r="O262" s="104"/>
      <c r="P262" s="104"/>
      <c r="Q262" s="104"/>
      <c r="R262" s="104"/>
      <c r="S262" s="104"/>
      <c r="T262" s="107"/>
      <c r="U262" s="107"/>
    </row>
    <row r="263" ht="15.75" hidden="1" customHeight="1">
      <c r="A263" s="103"/>
      <c r="B263" s="104" t="str">
        <f>"CountryOfOrigin"</f>
        <v>CountryOfOrigin</v>
      </c>
      <c r="C263" s="104" t="str">
        <f>"yfs_item.country_of_origin"</f>
        <v>yfs_item.country_of_origin</v>
      </c>
      <c r="D263" s="104" t="str">
        <f t="shared" si="247"/>
        <v>string</v>
      </c>
      <c r="E263" s="105" t="str">
        <f t="shared" ref="E263:E264" si="252">"40"</f>
        <v>40</v>
      </c>
      <c r="F263" s="118" t="s">
        <v>515</v>
      </c>
      <c r="G263" s="103" t="str">
        <f t="shared" si="248"/>
        <v>O</v>
      </c>
      <c r="H263" s="103" t="str">
        <f t="shared" si="250"/>
        <v>space</v>
      </c>
      <c r="I263" s="104" t="str">
        <f t="shared" si="251"/>
        <v/>
      </c>
      <c r="J263" s="104" t="str">
        <f t="shared" ref="J263:J268" si="253">""</f>
        <v/>
      </c>
      <c r="K263" s="104"/>
      <c r="L263" s="105"/>
      <c r="M263" s="104"/>
      <c r="N263" s="104"/>
      <c r="O263" s="104"/>
      <c r="P263" s="104"/>
      <c r="Q263" s="104"/>
      <c r="R263" s="104"/>
      <c r="S263" s="104"/>
      <c r="T263" s="107"/>
      <c r="U263" s="107"/>
    </row>
    <row r="264" ht="15.75" hidden="1" customHeight="1">
      <c r="A264" s="103"/>
      <c r="B264" s="104" t="str">
        <f>"CustomerItem"</f>
        <v>CustomerItem</v>
      </c>
      <c r="C264" s="104" t="str">
        <f>"yfs_order_line.customer_item"</f>
        <v>yfs_order_line.customer_item</v>
      </c>
      <c r="D264" s="104" t="str">
        <f t="shared" si="247"/>
        <v>string</v>
      </c>
      <c r="E264" s="105" t="str">
        <f t="shared" si="252"/>
        <v>40</v>
      </c>
      <c r="F264" s="118" t="s">
        <v>534</v>
      </c>
      <c r="G264" s="103" t="str">
        <f t="shared" si="248"/>
        <v>O</v>
      </c>
      <c r="H264" s="103" t="str">
        <f t="shared" si="250"/>
        <v>space</v>
      </c>
      <c r="I264" s="104" t="str">
        <f t="shared" si="251"/>
        <v/>
      </c>
      <c r="J264" s="104" t="str">
        <f t="shared" si="253"/>
        <v/>
      </c>
      <c r="K264" s="104"/>
      <c r="L264" s="105"/>
      <c r="M264" s="104"/>
      <c r="N264" s="104"/>
      <c r="O264" s="104"/>
      <c r="P264" s="104"/>
      <c r="Q264" s="104"/>
      <c r="R264" s="104"/>
      <c r="S264" s="104"/>
      <c r="T264" s="107"/>
      <c r="U264" s="107"/>
    </row>
    <row r="265" ht="15.75" hidden="1" customHeight="1">
      <c r="A265" s="103"/>
      <c r="B265" s="104" t="str">
        <f>"CustomerItemDesc"</f>
        <v>CustomerItemDesc</v>
      </c>
      <c r="C265" s="104" t="str">
        <f>"yfs_order_line.customer_item_description"</f>
        <v>yfs_order_line.customer_item_description</v>
      </c>
      <c r="D265" s="104" t="str">
        <f t="shared" si="247"/>
        <v>string</v>
      </c>
      <c r="E265" s="105" t="str">
        <f>"500"</f>
        <v>500</v>
      </c>
      <c r="F265" s="118" t="s">
        <v>535</v>
      </c>
      <c r="G265" s="103" t="str">
        <f t="shared" si="248"/>
        <v>O</v>
      </c>
      <c r="H265" s="103" t="str">
        <f t="shared" si="250"/>
        <v>space</v>
      </c>
      <c r="I265" s="104" t="str">
        <f t="shared" si="251"/>
        <v/>
      </c>
      <c r="J265" s="104" t="str">
        <f t="shared" si="253"/>
        <v/>
      </c>
      <c r="K265" s="104"/>
      <c r="L265" s="105"/>
      <c r="M265" s="104"/>
      <c r="N265" s="104"/>
      <c r="O265" s="104"/>
      <c r="P265" s="104"/>
      <c r="Q265" s="104"/>
      <c r="R265" s="104"/>
      <c r="S265" s="104"/>
      <c r="T265" s="107"/>
      <c r="U265" s="107"/>
    </row>
    <row r="266" ht="15.75" hidden="1" customHeight="1">
      <c r="A266" s="103"/>
      <c r="B266" s="104" t="str">
        <f>"ECCNNo"</f>
        <v>ECCNNo</v>
      </c>
      <c r="C266" s="104" t="str">
        <f>"yfs_order_line.eccn_no"</f>
        <v>yfs_order_line.eccn_no</v>
      </c>
      <c r="D266" s="104" t="str">
        <f t="shared" si="247"/>
        <v>string</v>
      </c>
      <c r="E266" s="105" t="str">
        <f t="shared" ref="E266:E268" si="254">"40"</f>
        <v>40</v>
      </c>
      <c r="F266" s="104" t="s">
        <v>536</v>
      </c>
      <c r="G266" s="103" t="str">
        <f t="shared" si="248"/>
        <v>O</v>
      </c>
      <c r="H266" s="103" t="str">
        <f t="shared" si="250"/>
        <v>space</v>
      </c>
      <c r="I266" s="104" t="str">
        <f t="shared" si="251"/>
        <v/>
      </c>
      <c r="J266" s="104" t="str">
        <f t="shared" si="253"/>
        <v/>
      </c>
      <c r="K266" s="104"/>
      <c r="L266" s="105"/>
      <c r="M266" s="104"/>
      <c r="N266" s="104"/>
      <c r="O266" s="104"/>
      <c r="P266" s="104"/>
      <c r="Q266" s="104"/>
      <c r="R266" s="104"/>
      <c r="S266" s="104"/>
      <c r="T266" s="107"/>
      <c r="U266" s="107"/>
    </row>
    <row r="267" ht="15.75" hidden="1" customHeight="1">
      <c r="A267" s="103"/>
      <c r="B267" s="104" t="str">
        <f>"HarmonizedCode"</f>
        <v>HarmonizedCode</v>
      </c>
      <c r="C267" s="104" t="str">
        <f>"yfs_order_line.harmonized_code"</f>
        <v>yfs_order_line.harmonized_code</v>
      </c>
      <c r="D267" s="104" t="str">
        <f t="shared" si="247"/>
        <v>string</v>
      </c>
      <c r="E267" s="105" t="str">
        <f t="shared" si="254"/>
        <v>40</v>
      </c>
      <c r="F267" s="104" t="s">
        <v>537</v>
      </c>
      <c r="G267" s="103" t="str">
        <f t="shared" si="248"/>
        <v>O</v>
      </c>
      <c r="H267" s="103" t="str">
        <f t="shared" si="250"/>
        <v>space</v>
      </c>
      <c r="I267" s="104" t="str">
        <f t="shared" si="251"/>
        <v/>
      </c>
      <c r="J267" s="104" t="str">
        <f t="shared" si="253"/>
        <v/>
      </c>
      <c r="K267" s="104"/>
      <c r="L267" s="105"/>
      <c r="M267" s="104"/>
      <c r="N267" s="104"/>
      <c r="O267" s="104"/>
      <c r="P267" s="104"/>
      <c r="Q267" s="104"/>
      <c r="R267" s="104"/>
      <c r="S267" s="104"/>
      <c r="T267" s="107"/>
      <c r="U267" s="107"/>
    </row>
    <row r="268" ht="15.75" hidden="1" customHeight="1">
      <c r="A268" s="103"/>
      <c r="B268" s="104" t="str">
        <f>"ISBN"</f>
        <v>ISBN</v>
      </c>
      <c r="C268" s="104" t="str">
        <f>"yfs_order_line.isbn"</f>
        <v>yfs_order_line.isbn</v>
      </c>
      <c r="D268" s="104" t="str">
        <f t="shared" si="247"/>
        <v>string</v>
      </c>
      <c r="E268" s="105" t="str">
        <f t="shared" si="254"/>
        <v>40</v>
      </c>
      <c r="F268" s="104" t="s">
        <v>538</v>
      </c>
      <c r="G268" s="103" t="str">
        <f t="shared" si="248"/>
        <v>O</v>
      </c>
      <c r="H268" s="103" t="str">
        <f t="shared" si="250"/>
        <v>space</v>
      </c>
      <c r="I268" s="104" t="str">
        <f t="shared" si="251"/>
        <v/>
      </c>
      <c r="J268" s="104" t="str">
        <f t="shared" si="253"/>
        <v/>
      </c>
      <c r="K268" s="104"/>
      <c r="L268" s="105"/>
      <c r="M268" s="104"/>
      <c r="N268" s="104"/>
      <c r="O268" s="104"/>
      <c r="P268" s="104"/>
      <c r="Q268" s="104"/>
      <c r="R268" s="104"/>
      <c r="S268" s="104"/>
      <c r="T268" s="107"/>
      <c r="U268" s="107"/>
    </row>
    <row r="269">
      <c r="A269" s="108" t="s">
        <v>66</v>
      </c>
      <c r="B269" s="109" t="s">
        <v>539</v>
      </c>
      <c r="C269" s="113" t="s">
        <v>540</v>
      </c>
      <c r="D269" s="109" t="s">
        <v>472</v>
      </c>
      <c r="E269" s="108">
        <v>40.0</v>
      </c>
      <c r="F269" s="131" t="s">
        <v>541</v>
      </c>
      <c r="G269" s="108" t="s">
        <v>77</v>
      </c>
      <c r="H269" s="108"/>
      <c r="I269" s="109"/>
      <c r="J269" s="109"/>
      <c r="K269" s="109" t="s">
        <v>542</v>
      </c>
      <c r="L269" s="112" t="s">
        <v>92</v>
      </c>
      <c r="M269" s="109" t="s">
        <v>539</v>
      </c>
      <c r="N269" s="109" t="s">
        <v>539</v>
      </c>
      <c r="O269" s="109" t="s">
        <v>539</v>
      </c>
      <c r="P269" s="109" t="s">
        <v>539</v>
      </c>
      <c r="Q269" s="109" t="s">
        <v>539</v>
      </c>
      <c r="R269" s="109"/>
      <c r="S269" s="109"/>
      <c r="T269" s="113" t="s">
        <v>543</v>
      </c>
      <c r="U269" s="109"/>
    </row>
    <row r="270">
      <c r="A270" s="108" t="s">
        <v>66</v>
      </c>
      <c r="B270" s="109" t="s">
        <v>544</v>
      </c>
      <c r="C270" s="113" t="s">
        <v>545</v>
      </c>
      <c r="D270" s="109" t="s">
        <v>131</v>
      </c>
      <c r="E270" s="108">
        <v>40.0</v>
      </c>
      <c r="F270" s="131" t="s">
        <v>546</v>
      </c>
      <c r="G270" s="108" t="s">
        <v>77</v>
      </c>
      <c r="H270" s="108"/>
      <c r="I270" s="109"/>
      <c r="J270" s="109"/>
      <c r="K270" s="109" t="s">
        <v>542</v>
      </c>
      <c r="L270" s="112" t="s">
        <v>92</v>
      </c>
      <c r="M270" s="109" t="s">
        <v>544</v>
      </c>
      <c r="N270" s="109" t="s">
        <v>544</v>
      </c>
      <c r="O270" s="109" t="s">
        <v>544</v>
      </c>
      <c r="P270" s="109" t="s">
        <v>544</v>
      </c>
      <c r="Q270" s="109" t="s">
        <v>544</v>
      </c>
      <c r="R270" s="109"/>
      <c r="S270" s="109"/>
      <c r="T270" s="113" t="s">
        <v>547</v>
      </c>
      <c r="U270" s="113" t="s">
        <v>548</v>
      </c>
    </row>
    <row r="271" ht="31.5" hidden="1" customHeight="1">
      <c r="A271" s="103" t="s">
        <v>92</v>
      </c>
      <c r="B271" s="104" t="s">
        <v>549</v>
      </c>
      <c r="C271" s="104"/>
      <c r="D271" s="104" t="s">
        <v>131</v>
      </c>
      <c r="E271" s="103">
        <v>40.0</v>
      </c>
      <c r="F271" s="183" t="s">
        <v>550</v>
      </c>
      <c r="G271" s="103" t="s">
        <v>77</v>
      </c>
      <c r="H271" s="103"/>
      <c r="I271" s="104"/>
      <c r="J271" s="104"/>
      <c r="K271" s="104" t="s">
        <v>542</v>
      </c>
      <c r="L271" s="103"/>
      <c r="M271" s="246" t="s">
        <v>549</v>
      </c>
      <c r="N271" s="246"/>
      <c r="O271" s="246" t="s">
        <v>551</v>
      </c>
      <c r="P271" s="246" t="s">
        <v>549</v>
      </c>
      <c r="Q271" s="247" t="s">
        <v>125</v>
      </c>
      <c r="R271" s="119"/>
      <c r="S271" s="119"/>
      <c r="T271" s="186"/>
      <c r="U271" s="186"/>
    </row>
    <row r="272" ht="15.75" hidden="1" customHeight="1">
      <c r="A272" s="248" t="s">
        <v>92</v>
      </c>
      <c r="B272" s="249" t="s">
        <v>552</v>
      </c>
      <c r="C272" s="104" t="s">
        <v>553</v>
      </c>
      <c r="D272" s="104" t="s">
        <v>131</v>
      </c>
      <c r="E272" s="103">
        <v>40.0</v>
      </c>
      <c r="F272" s="183" t="s">
        <v>554</v>
      </c>
      <c r="G272" s="103" t="s">
        <v>77</v>
      </c>
      <c r="H272" s="103"/>
      <c r="I272" s="104"/>
      <c r="J272" s="104"/>
      <c r="K272" s="104"/>
      <c r="L272" s="103"/>
      <c r="M272" s="104" t="s">
        <v>552</v>
      </c>
      <c r="N272" s="104"/>
      <c r="O272" s="104" t="s">
        <v>552</v>
      </c>
      <c r="P272" s="104" t="s">
        <v>552</v>
      </c>
      <c r="Q272" s="104"/>
      <c r="R272" s="119"/>
      <c r="S272" s="119"/>
      <c r="T272" s="186"/>
      <c r="U272" s="186"/>
    </row>
    <row r="273" ht="15.75" hidden="1" customHeight="1">
      <c r="A273" s="248" t="s">
        <v>92</v>
      </c>
      <c r="B273" s="249" t="s">
        <v>555</v>
      </c>
      <c r="C273" s="104" t="s">
        <v>553</v>
      </c>
      <c r="D273" s="104" t="s">
        <v>131</v>
      </c>
      <c r="E273" s="103">
        <v>40.0</v>
      </c>
      <c r="F273" s="183" t="s">
        <v>556</v>
      </c>
      <c r="G273" s="103" t="s">
        <v>77</v>
      </c>
      <c r="H273" s="103"/>
      <c r="I273" s="104"/>
      <c r="J273" s="104"/>
      <c r="K273" s="104"/>
      <c r="L273" s="103"/>
      <c r="M273" s="104" t="s">
        <v>555</v>
      </c>
      <c r="N273" s="104"/>
      <c r="O273" s="104" t="s">
        <v>555</v>
      </c>
      <c r="P273" s="104" t="s">
        <v>555</v>
      </c>
      <c r="Q273" s="104"/>
      <c r="R273" s="119"/>
      <c r="S273" s="119"/>
      <c r="T273" s="186"/>
      <c r="U273" s="186"/>
    </row>
    <row r="274" ht="15.75" hidden="1" customHeight="1">
      <c r="A274" s="248" t="s">
        <v>92</v>
      </c>
      <c r="B274" s="249" t="s">
        <v>557</v>
      </c>
      <c r="C274" s="104" t="s">
        <v>553</v>
      </c>
      <c r="D274" s="104" t="s">
        <v>131</v>
      </c>
      <c r="E274" s="103">
        <v>40.0</v>
      </c>
      <c r="F274" s="183" t="s">
        <v>558</v>
      </c>
      <c r="G274" s="103" t="s">
        <v>77</v>
      </c>
      <c r="H274" s="103"/>
      <c r="I274" s="104"/>
      <c r="J274" s="104"/>
      <c r="K274" s="104"/>
      <c r="L274" s="103"/>
      <c r="M274" s="104" t="s">
        <v>557</v>
      </c>
      <c r="N274" s="104"/>
      <c r="O274" s="104" t="s">
        <v>557</v>
      </c>
      <c r="P274" s="104" t="s">
        <v>557</v>
      </c>
      <c r="Q274" s="104"/>
      <c r="R274" s="119"/>
      <c r="S274" s="119"/>
      <c r="T274" s="186"/>
      <c r="U274" s="186"/>
    </row>
    <row r="275" ht="15.75" hidden="1" customHeight="1">
      <c r="A275" s="248" t="s">
        <v>92</v>
      </c>
      <c r="B275" s="249" t="s">
        <v>559</v>
      </c>
      <c r="C275" s="104" t="s">
        <v>553</v>
      </c>
      <c r="D275" s="104" t="s">
        <v>131</v>
      </c>
      <c r="E275" s="103">
        <v>40.0</v>
      </c>
      <c r="F275" s="183" t="s">
        <v>560</v>
      </c>
      <c r="G275" s="103" t="s">
        <v>77</v>
      </c>
      <c r="H275" s="103"/>
      <c r="I275" s="104"/>
      <c r="J275" s="104"/>
      <c r="K275" s="104"/>
      <c r="L275" s="103"/>
      <c r="M275" s="104" t="s">
        <v>559</v>
      </c>
      <c r="N275" s="104"/>
      <c r="O275" s="104" t="s">
        <v>559</v>
      </c>
      <c r="P275" s="104" t="s">
        <v>559</v>
      </c>
      <c r="Q275" s="104"/>
      <c r="R275" s="119"/>
      <c r="S275" s="119"/>
      <c r="T275" s="186"/>
      <c r="U275" s="186"/>
    </row>
    <row r="276" ht="15.75" hidden="1" customHeight="1">
      <c r="A276" s="248" t="s">
        <v>92</v>
      </c>
      <c r="B276" s="249" t="s">
        <v>561</v>
      </c>
      <c r="C276" s="104" t="s">
        <v>553</v>
      </c>
      <c r="D276" s="104" t="s">
        <v>131</v>
      </c>
      <c r="E276" s="103">
        <v>40.0</v>
      </c>
      <c r="F276" s="183" t="s">
        <v>562</v>
      </c>
      <c r="G276" s="103" t="s">
        <v>77</v>
      </c>
      <c r="H276" s="103"/>
      <c r="I276" s="104"/>
      <c r="J276" s="104"/>
      <c r="K276" s="104"/>
      <c r="L276" s="103"/>
      <c r="M276" s="104" t="s">
        <v>561</v>
      </c>
      <c r="N276" s="104"/>
      <c r="O276" s="104" t="s">
        <v>561</v>
      </c>
      <c r="P276" s="104" t="s">
        <v>561</v>
      </c>
      <c r="Q276" s="104"/>
      <c r="R276" s="119"/>
      <c r="S276" s="119"/>
      <c r="T276" s="186"/>
      <c r="U276" s="186"/>
    </row>
    <row r="277" ht="15.75" hidden="1" customHeight="1">
      <c r="A277" s="248" t="s">
        <v>92</v>
      </c>
      <c r="B277" s="249" t="s">
        <v>563</v>
      </c>
      <c r="C277" s="104" t="s">
        <v>553</v>
      </c>
      <c r="D277" s="104" t="s">
        <v>131</v>
      </c>
      <c r="E277" s="103">
        <v>40.0</v>
      </c>
      <c r="F277" s="183" t="s">
        <v>564</v>
      </c>
      <c r="G277" s="103" t="s">
        <v>77</v>
      </c>
      <c r="H277" s="103"/>
      <c r="I277" s="104"/>
      <c r="J277" s="104"/>
      <c r="K277" s="104"/>
      <c r="L277" s="103"/>
      <c r="M277" s="104" t="s">
        <v>563</v>
      </c>
      <c r="N277" s="104"/>
      <c r="O277" s="104" t="s">
        <v>563</v>
      </c>
      <c r="P277" s="104" t="s">
        <v>563</v>
      </c>
      <c r="Q277" s="104"/>
      <c r="R277" s="119"/>
      <c r="S277" s="119"/>
      <c r="T277" s="186"/>
      <c r="U277" s="186"/>
    </row>
    <row r="278" ht="15.75" hidden="1" customHeight="1">
      <c r="A278" s="248" t="s">
        <v>92</v>
      </c>
      <c r="B278" s="249" t="s">
        <v>565</v>
      </c>
      <c r="C278" s="104" t="s">
        <v>553</v>
      </c>
      <c r="D278" s="104" t="s">
        <v>131</v>
      </c>
      <c r="E278" s="103">
        <v>40.0</v>
      </c>
      <c r="F278" s="183" t="s">
        <v>566</v>
      </c>
      <c r="G278" s="103" t="s">
        <v>77</v>
      </c>
      <c r="H278" s="103"/>
      <c r="I278" s="104"/>
      <c r="J278" s="104"/>
      <c r="K278" s="104"/>
      <c r="L278" s="103"/>
      <c r="M278" s="104" t="s">
        <v>565</v>
      </c>
      <c r="N278" s="104"/>
      <c r="O278" s="104" t="s">
        <v>565</v>
      </c>
      <c r="P278" s="104" t="s">
        <v>565</v>
      </c>
      <c r="Q278" s="104"/>
      <c r="R278" s="119"/>
      <c r="S278" s="119"/>
      <c r="T278" s="186"/>
      <c r="U278" s="186"/>
    </row>
    <row r="279">
      <c r="A279" s="250" t="s">
        <v>66</v>
      </c>
      <c r="B279" s="251" t="s">
        <v>567</v>
      </c>
      <c r="C279" s="251" t="s">
        <v>568</v>
      </c>
      <c r="D279" s="252" t="s">
        <v>131</v>
      </c>
      <c r="E279" s="250">
        <v>1.0</v>
      </c>
      <c r="F279" s="253" t="s">
        <v>569</v>
      </c>
      <c r="G279" s="250" t="s">
        <v>77</v>
      </c>
      <c r="H279" s="250"/>
      <c r="I279" s="109"/>
      <c r="J279" s="109"/>
      <c r="K279" s="109"/>
      <c r="L279" s="112" t="s">
        <v>92</v>
      </c>
      <c r="M279" s="254" t="s">
        <v>570</v>
      </c>
      <c r="N279" s="254" t="s">
        <v>570</v>
      </c>
      <c r="O279" s="254" t="s">
        <v>570</v>
      </c>
      <c r="P279" s="254" t="s">
        <v>570</v>
      </c>
      <c r="Q279" s="254" t="s">
        <v>570</v>
      </c>
      <c r="R279" s="254"/>
      <c r="S279" s="254"/>
      <c r="T279" s="254"/>
      <c r="U279" s="254"/>
    </row>
    <row r="280">
      <c r="A280" s="255" t="s">
        <v>66</v>
      </c>
      <c r="B280" s="252" t="s">
        <v>571</v>
      </c>
      <c r="C280" s="251" t="s">
        <v>572</v>
      </c>
      <c r="D280" s="252" t="s">
        <v>472</v>
      </c>
      <c r="E280" s="250">
        <v>1.0</v>
      </c>
      <c r="F280" s="253" t="s">
        <v>573</v>
      </c>
      <c r="G280" s="250" t="s">
        <v>77</v>
      </c>
      <c r="H280" s="250"/>
      <c r="I280" s="109"/>
      <c r="J280" s="109"/>
      <c r="K280" s="109"/>
      <c r="L280" s="112" t="s">
        <v>92</v>
      </c>
      <c r="M280" s="254" t="s">
        <v>574</v>
      </c>
      <c r="N280" s="254" t="s">
        <v>574</v>
      </c>
      <c r="O280" s="254" t="s">
        <v>574</v>
      </c>
      <c r="P280" s="254" t="s">
        <v>574</v>
      </c>
      <c r="Q280" s="253" t="s">
        <v>125</v>
      </c>
      <c r="R280" s="254"/>
      <c r="S280" s="254"/>
      <c r="T280" s="254"/>
      <c r="U280" s="254"/>
    </row>
    <row r="281" hidden="1">
      <c r="A281" s="256" t="s">
        <v>92</v>
      </c>
      <c r="B281" s="257" t="s">
        <v>575</v>
      </c>
      <c r="C281" s="257"/>
      <c r="D281" s="257" t="s">
        <v>472</v>
      </c>
      <c r="E281" s="258">
        <v>1.0</v>
      </c>
      <c r="F281" s="259" t="s">
        <v>576</v>
      </c>
      <c r="G281" s="258" t="s">
        <v>77</v>
      </c>
      <c r="H281" s="258"/>
      <c r="I281" s="104"/>
      <c r="J281" s="104"/>
      <c r="K281" s="104"/>
      <c r="L281" s="260" t="s">
        <v>92</v>
      </c>
      <c r="M281" s="261" t="s">
        <v>577</v>
      </c>
      <c r="N281" s="261"/>
      <c r="O281" s="261" t="s">
        <v>577</v>
      </c>
      <c r="P281" s="261" t="s">
        <v>577</v>
      </c>
      <c r="Q281" s="261" t="s">
        <v>577</v>
      </c>
      <c r="R281" s="119"/>
      <c r="S281" s="119"/>
      <c r="T281" s="186"/>
      <c r="U281" s="186"/>
    </row>
    <row r="282" hidden="1">
      <c r="A282" s="256" t="s">
        <v>92</v>
      </c>
      <c r="B282" s="257" t="s">
        <v>578</v>
      </c>
      <c r="C282" s="257"/>
      <c r="D282" s="257" t="s">
        <v>472</v>
      </c>
      <c r="E282" s="258">
        <v>40.0</v>
      </c>
      <c r="F282" s="259" t="s">
        <v>579</v>
      </c>
      <c r="G282" s="258" t="s">
        <v>77</v>
      </c>
      <c r="H282" s="258"/>
      <c r="I282" s="104"/>
      <c r="J282" s="104"/>
      <c r="K282" s="104"/>
      <c r="L282" s="260" t="s">
        <v>92</v>
      </c>
      <c r="M282" s="262" t="s">
        <v>580</v>
      </c>
      <c r="N282" s="262"/>
      <c r="O282" s="262" t="s">
        <v>580</v>
      </c>
      <c r="P282" s="262" t="s">
        <v>580</v>
      </c>
      <c r="Q282" s="262" t="s">
        <v>580</v>
      </c>
      <c r="R282" s="119"/>
      <c r="S282" s="119"/>
      <c r="T282" s="186"/>
      <c r="U282" s="186"/>
    </row>
    <row r="283">
      <c r="A283" s="255" t="s">
        <v>66</v>
      </c>
      <c r="B283" s="251" t="s">
        <v>581</v>
      </c>
      <c r="C283" s="251" t="s">
        <v>582</v>
      </c>
      <c r="D283" s="251" t="s">
        <v>472</v>
      </c>
      <c r="E283" s="255">
        <v>1.0</v>
      </c>
      <c r="F283" s="253" t="s">
        <v>583</v>
      </c>
      <c r="G283" s="250"/>
      <c r="H283" s="250"/>
      <c r="I283" s="109"/>
      <c r="J283" s="109"/>
      <c r="K283" s="109"/>
      <c r="L283" s="112" t="s">
        <v>92</v>
      </c>
      <c r="M283" s="254" t="s">
        <v>584</v>
      </c>
      <c r="N283" s="254" t="s">
        <v>584</v>
      </c>
      <c r="O283" s="254" t="s">
        <v>584</v>
      </c>
      <c r="P283" s="254" t="s">
        <v>584</v>
      </c>
      <c r="Q283" s="253" t="s">
        <v>125</v>
      </c>
      <c r="R283" s="253"/>
      <c r="S283" s="253"/>
      <c r="T283" s="253"/>
      <c r="U283" s="253"/>
    </row>
    <row r="284" hidden="1">
      <c r="A284" s="256" t="s">
        <v>92</v>
      </c>
      <c r="B284" s="257" t="s">
        <v>585</v>
      </c>
      <c r="C284" s="257"/>
      <c r="D284" s="257" t="s">
        <v>586</v>
      </c>
      <c r="E284" s="258" t="s">
        <v>587</v>
      </c>
      <c r="F284" s="262"/>
      <c r="G284" s="258" t="s">
        <v>77</v>
      </c>
      <c r="H284" s="258"/>
      <c r="I284" s="104"/>
      <c r="J284" s="104"/>
      <c r="K284" s="104"/>
      <c r="L284" s="260" t="s">
        <v>92</v>
      </c>
      <c r="M284" s="262" t="s">
        <v>125</v>
      </c>
      <c r="N284" s="262"/>
      <c r="O284" s="262" t="s">
        <v>125</v>
      </c>
      <c r="P284" s="262" t="s">
        <v>125</v>
      </c>
      <c r="Q284" s="262" t="s">
        <v>125</v>
      </c>
      <c r="R284" s="119"/>
      <c r="S284" s="119"/>
      <c r="T284" s="186"/>
      <c r="U284" s="186"/>
    </row>
    <row r="285" hidden="1">
      <c r="A285" s="256" t="s">
        <v>92</v>
      </c>
      <c r="B285" s="257" t="s">
        <v>588</v>
      </c>
      <c r="C285" s="257"/>
      <c r="D285" s="257" t="s">
        <v>472</v>
      </c>
      <c r="E285" s="258">
        <v>40.0</v>
      </c>
      <c r="F285" s="259" t="s">
        <v>589</v>
      </c>
      <c r="G285" s="258" t="s">
        <v>77</v>
      </c>
      <c r="H285" s="258"/>
      <c r="I285" s="104"/>
      <c r="J285" s="104"/>
      <c r="K285" s="104"/>
      <c r="L285" s="260" t="s">
        <v>92</v>
      </c>
      <c r="M285" s="262" t="s">
        <v>125</v>
      </c>
      <c r="N285" s="262"/>
      <c r="O285" s="262" t="s">
        <v>125</v>
      </c>
      <c r="P285" s="262" t="s">
        <v>125</v>
      </c>
      <c r="Q285" s="262" t="s">
        <v>125</v>
      </c>
      <c r="R285" s="119"/>
      <c r="S285" s="119"/>
      <c r="T285" s="186"/>
      <c r="U285" s="186"/>
    </row>
    <row r="286" hidden="1">
      <c r="A286" s="256" t="s">
        <v>92</v>
      </c>
      <c r="B286" s="257" t="s">
        <v>590</v>
      </c>
      <c r="C286" s="257"/>
      <c r="D286" s="257" t="s">
        <v>472</v>
      </c>
      <c r="E286" s="258">
        <v>40.0</v>
      </c>
      <c r="F286" s="259" t="s">
        <v>589</v>
      </c>
      <c r="G286" s="258" t="s">
        <v>77</v>
      </c>
      <c r="H286" s="258"/>
      <c r="I286" s="104"/>
      <c r="J286" s="104"/>
      <c r="K286" s="104"/>
      <c r="L286" s="260" t="s">
        <v>92</v>
      </c>
      <c r="M286" s="262" t="s">
        <v>125</v>
      </c>
      <c r="N286" s="262"/>
      <c r="O286" s="262" t="s">
        <v>125</v>
      </c>
      <c r="P286" s="262" t="s">
        <v>125</v>
      </c>
      <c r="Q286" s="262" t="s">
        <v>125</v>
      </c>
      <c r="R286" s="119"/>
      <c r="S286" s="119"/>
      <c r="T286" s="186"/>
      <c r="U286" s="186"/>
    </row>
    <row r="287">
      <c r="A287" s="250" t="s">
        <v>66</v>
      </c>
      <c r="B287" s="109" t="s">
        <v>591</v>
      </c>
      <c r="C287" s="109" t="s">
        <v>592</v>
      </c>
      <c r="D287" s="109" t="s">
        <v>131</v>
      </c>
      <c r="E287" s="108">
        <v>40.0</v>
      </c>
      <c r="F287" s="153" t="s">
        <v>593</v>
      </c>
      <c r="G287" s="250" t="s">
        <v>77</v>
      </c>
      <c r="H287" s="250"/>
      <c r="I287" s="109"/>
      <c r="J287" s="109"/>
      <c r="K287" s="109"/>
      <c r="L287" s="112" t="s">
        <v>92</v>
      </c>
      <c r="M287" s="253" t="s">
        <v>594</v>
      </c>
      <c r="N287" s="253" t="s">
        <v>594</v>
      </c>
      <c r="O287" s="253" t="s">
        <v>594</v>
      </c>
      <c r="P287" s="253" t="s">
        <v>594</v>
      </c>
      <c r="Q287" s="253" t="s">
        <v>125</v>
      </c>
      <c r="R287" s="253"/>
      <c r="S287" s="253"/>
      <c r="T287" s="253"/>
      <c r="U287" s="253"/>
    </row>
    <row r="288">
      <c r="A288" s="250" t="s">
        <v>66</v>
      </c>
      <c r="B288" s="113" t="s">
        <v>595</v>
      </c>
      <c r="C288" s="113" t="s">
        <v>596</v>
      </c>
      <c r="D288" s="113" t="s">
        <v>586</v>
      </c>
      <c r="E288" s="255" t="s">
        <v>597</v>
      </c>
      <c r="F288" s="153" t="s">
        <v>598</v>
      </c>
      <c r="G288" s="255" t="s">
        <v>134</v>
      </c>
      <c r="H288" s="250"/>
      <c r="I288" s="109"/>
      <c r="J288" s="109"/>
      <c r="K288" s="109"/>
      <c r="L288" s="112" t="s">
        <v>92</v>
      </c>
      <c r="M288" s="113" t="s">
        <v>599</v>
      </c>
      <c r="N288" s="113" t="s">
        <v>599</v>
      </c>
      <c r="O288" s="110" t="s">
        <v>600</v>
      </c>
      <c r="P288" s="113" t="s">
        <v>599</v>
      </c>
      <c r="Q288" s="113" t="s">
        <v>599</v>
      </c>
      <c r="R288" s="263" t="s">
        <v>601</v>
      </c>
      <c r="S288" s="113" t="s">
        <v>236</v>
      </c>
      <c r="T288" s="113" t="s">
        <v>602</v>
      </c>
      <c r="U288" s="113"/>
    </row>
    <row r="289">
      <c r="A289" s="250" t="s">
        <v>66</v>
      </c>
      <c r="B289" s="113" t="s">
        <v>603</v>
      </c>
      <c r="C289" s="113" t="s">
        <v>604</v>
      </c>
      <c r="D289" s="113" t="s">
        <v>586</v>
      </c>
      <c r="E289" s="255" t="s">
        <v>605</v>
      </c>
      <c r="F289" s="153" t="s">
        <v>606</v>
      </c>
      <c r="G289" s="255" t="s">
        <v>134</v>
      </c>
      <c r="H289" s="250"/>
      <c r="I289" s="109"/>
      <c r="J289" s="109"/>
      <c r="K289" s="109"/>
      <c r="L289" s="112" t="s">
        <v>92</v>
      </c>
      <c r="M289" s="113" t="s">
        <v>607</v>
      </c>
      <c r="N289" s="113" t="s">
        <v>607</v>
      </c>
      <c r="O289" s="110" t="s">
        <v>608</v>
      </c>
      <c r="P289" s="113" t="s">
        <v>607</v>
      </c>
      <c r="Q289" s="113" t="s">
        <v>607</v>
      </c>
      <c r="R289" s="263" t="s">
        <v>609</v>
      </c>
      <c r="S289" s="113" t="s">
        <v>236</v>
      </c>
      <c r="T289" s="113"/>
      <c r="U289" s="113"/>
    </row>
    <row r="290" hidden="1">
      <c r="A290" s="256" t="s">
        <v>92</v>
      </c>
      <c r="B290" s="104" t="s">
        <v>610</v>
      </c>
      <c r="C290" s="104"/>
      <c r="D290" s="104" t="s">
        <v>131</v>
      </c>
      <c r="E290" s="103">
        <v>1.0</v>
      </c>
      <c r="F290" s="216" t="s">
        <v>611</v>
      </c>
      <c r="G290" s="258" t="s">
        <v>77</v>
      </c>
      <c r="H290" s="258"/>
      <c r="I290" s="104"/>
      <c r="J290" s="104"/>
      <c r="K290" s="104"/>
      <c r="L290" s="224" t="s">
        <v>92</v>
      </c>
      <c r="M290" s="262" t="s">
        <v>125</v>
      </c>
      <c r="N290" s="262"/>
      <c r="O290" s="262" t="s">
        <v>125</v>
      </c>
      <c r="P290" s="262" t="s">
        <v>125</v>
      </c>
      <c r="Q290" s="262" t="s">
        <v>125</v>
      </c>
      <c r="R290" s="119"/>
      <c r="S290" s="119"/>
      <c r="T290" s="186"/>
      <c r="U290" s="186"/>
    </row>
    <row r="291" hidden="1">
      <c r="A291" s="256" t="s">
        <v>92</v>
      </c>
      <c r="B291" s="104" t="s">
        <v>612</v>
      </c>
      <c r="C291" s="104"/>
      <c r="D291" s="104" t="s">
        <v>586</v>
      </c>
      <c r="E291" s="103"/>
      <c r="F291" s="216" t="s">
        <v>613</v>
      </c>
      <c r="G291" s="258" t="s">
        <v>77</v>
      </c>
      <c r="H291" s="258"/>
      <c r="I291" s="104"/>
      <c r="J291" s="104"/>
      <c r="K291" s="104"/>
      <c r="L291" s="224" t="s">
        <v>92</v>
      </c>
      <c r="M291" s="262" t="s">
        <v>125</v>
      </c>
      <c r="N291" s="262"/>
      <c r="O291" s="262" t="s">
        <v>125</v>
      </c>
      <c r="P291" s="262" t="s">
        <v>125</v>
      </c>
      <c r="Q291" s="262" t="s">
        <v>125</v>
      </c>
      <c r="R291" s="119"/>
      <c r="S291" s="119"/>
      <c r="T291" s="186"/>
      <c r="U291" s="186"/>
    </row>
    <row r="292" hidden="1">
      <c r="A292" s="256" t="s">
        <v>92</v>
      </c>
      <c r="B292" s="264" t="s">
        <v>614</v>
      </c>
      <c r="C292" s="104"/>
      <c r="D292" s="104" t="s">
        <v>131</v>
      </c>
      <c r="E292" s="103">
        <v>1.0</v>
      </c>
      <c r="F292" s="216" t="s">
        <v>615</v>
      </c>
      <c r="G292" s="258" t="s">
        <v>77</v>
      </c>
      <c r="H292" s="258"/>
      <c r="I292" s="104"/>
      <c r="J292" s="104"/>
      <c r="K292" s="104"/>
      <c r="L292" s="224" t="s">
        <v>92</v>
      </c>
      <c r="M292" s="262" t="s">
        <v>125</v>
      </c>
      <c r="N292" s="262"/>
      <c r="O292" s="262" t="s">
        <v>125</v>
      </c>
      <c r="P292" s="262" t="s">
        <v>125</v>
      </c>
      <c r="Q292" s="262" t="s">
        <v>125</v>
      </c>
      <c r="R292" s="119"/>
      <c r="S292" s="119"/>
      <c r="T292" s="186"/>
      <c r="U292" s="186"/>
    </row>
    <row r="293" hidden="1">
      <c r="A293" s="256" t="s">
        <v>92</v>
      </c>
      <c r="B293" s="104" t="s">
        <v>616</v>
      </c>
      <c r="C293" s="104"/>
      <c r="D293" s="104" t="s">
        <v>131</v>
      </c>
      <c r="E293" s="103">
        <v>4.0</v>
      </c>
      <c r="F293" s="216" t="s">
        <v>617</v>
      </c>
      <c r="G293" s="258" t="s">
        <v>77</v>
      </c>
      <c r="H293" s="258"/>
      <c r="I293" s="104"/>
      <c r="J293" s="104"/>
      <c r="K293" s="104"/>
      <c r="L293" s="224" t="s">
        <v>92</v>
      </c>
      <c r="M293" s="262" t="s">
        <v>125</v>
      </c>
      <c r="N293" s="262"/>
      <c r="O293" s="262" t="s">
        <v>125</v>
      </c>
      <c r="P293" s="262" t="s">
        <v>125</v>
      </c>
      <c r="Q293" s="262" t="s">
        <v>125</v>
      </c>
      <c r="R293" s="119"/>
      <c r="S293" s="119"/>
      <c r="T293" s="186"/>
      <c r="U293" s="186"/>
    </row>
    <row r="294" ht="15.75" hidden="1" customHeight="1">
      <c r="A294" s="103"/>
      <c r="B294" s="104"/>
      <c r="C294" s="104"/>
      <c r="D294" s="104"/>
      <c r="E294" s="103"/>
      <c r="F294" s="118"/>
      <c r="G294" s="119"/>
      <c r="H294" s="103"/>
      <c r="I294" s="104"/>
      <c r="J294" s="104"/>
      <c r="K294" s="104"/>
      <c r="L294" s="103"/>
      <c r="M294" s="104"/>
      <c r="N294" s="104"/>
      <c r="O294" s="104"/>
      <c r="P294" s="104"/>
      <c r="Q294" s="104"/>
      <c r="R294" s="104"/>
      <c r="S294" s="104"/>
      <c r="T294" s="107"/>
      <c r="U294" s="107"/>
    </row>
    <row r="295">
      <c r="A295" s="265" t="s">
        <v>66</v>
      </c>
      <c r="B295" s="243" t="s">
        <v>618</v>
      </c>
      <c r="C295" s="243" t="s">
        <v>619</v>
      </c>
      <c r="D295" s="243" t="s">
        <v>472</v>
      </c>
      <c r="E295" s="243">
        <v>1.0</v>
      </c>
      <c r="F295" s="245" t="s">
        <v>620</v>
      </c>
      <c r="G295" s="243" t="s">
        <v>77</v>
      </c>
      <c r="H295" s="266"/>
      <c r="I295" s="267" t="s">
        <v>621</v>
      </c>
      <c r="J295" s="268"/>
      <c r="K295" s="268"/>
      <c r="L295" s="112"/>
      <c r="M295" s="245" t="s">
        <v>622</v>
      </c>
      <c r="N295" s="245" t="s">
        <v>622</v>
      </c>
      <c r="O295" s="245" t="s">
        <v>622</v>
      </c>
      <c r="P295" s="245" t="s">
        <v>623</v>
      </c>
      <c r="Q295" s="113" t="s">
        <v>125</v>
      </c>
      <c r="R295" s="263"/>
      <c r="S295" s="113"/>
      <c r="T295" s="161"/>
      <c r="U295" s="161"/>
    </row>
    <row r="296" ht="87.75" customHeight="1">
      <c r="A296" s="243" t="s">
        <v>66</v>
      </c>
      <c r="B296" s="243" t="s">
        <v>624</v>
      </c>
      <c r="C296" s="243" t="s">
        <v>625</v>
      </c>
      <c r="D296" s="243" t="s">
        <v>626</v>
      </c>
      <c r="E296" s="243">
        <v>20.0</v>
      </c>
      <c r="F296" s="245" t="s">
        <v>627</v>
      </c>
      <c r="G296" s="243" t="s">
        <v>134</v>
      </c>
      <c r="H296" s="266"/>
      <c r="I296" s="268"/>
      <c r="J296" s="268"/>
      <c r="K296" s="268"/>
      <c r="L296" s="112"/>
      <c r="M296" s="245" t="s">
        <v>628</v>
      </c>
      <c r="N296" s="245" t="s">
        <v>628</v>
      </c>
      <c r="O296" s="245" t="s">
        <v>628</v>
      </c>
      <c r="P296" s="245" t="s">
        <v>628</v>
      </c>
      <c r="Q296" s="113" t="s">
        <v>125</v>
      </c>
      <c r="R296" s="263"/>
      <c r="S296" s="113"/>
      <c r="T296" s="161"/>
      <c r="U296" s="161"/>
    </row>
    <row r="297" ht="35.25" customHeight="1">
      <c r="A297" s="250" t="s">
        <v>66</v>
      </c>
      <c r="B297" s="269" t="s">
        <v>629</v>
      </c>
      <c r="C297" s="268"/>
      <c r="D297" s="268"/>
      <c r="E297" s="266"/>
      <c r="F297" s="270"/>
      <c r="G297" s="271"/>
      <c r="H297" s="266"/>
      <c r="I297" s="268"/>
      <c r="J297" s="268"/>
      <c r="K297" s="268"/>
      <c r="L297" s="112"/>
      <c r="M297" s="113" t="s">
        <v>125</v>
      </c>
      <c r="N297" s="113" t="s">
        <v>630</v>
      </c>
      <c r="O297" s="113" t="s">
        <v>125</v>
      </c>
      <c r="P297" s="113" t="s">
        <v>125</v>
      </c>
      <c r="Q297" s="113" t="s">
        <v>125</v>
      </c>
      <c r="R297" s="263" t="s">
        <v>631</v>
      </c>
      <c r="S297" s="113" t="s">
        <v>632</v>
      </c>
      <c r="T297" s="113"/>
      <c r="U297" s="113"/>
    </row>
    <row r="298">
      <c r="A298" s="111" t="s">
        <v>66</v>
      </c>
      <c r="B298" s="155" t="s">
        <v>633</v>
      </c>
      <c r="C298" s="113"/>
      <c r="D298" s="113" t="s">
        <v>472</v>
      </c>
      <c r="E298" s="111">
        <v>40.0</v>
      </c>
      <c r="F298" s="223" t="s">
        <v>634</v>
      </c>
      <c r="G298" s="136" t="s">
        <v>134</v>
      </c>
      <c r="H298" s="108"/>
      <c r="I298" s="109"/>
      <c r="J298" s="109"/>
      <c r="K298" s="109"/>
      <c r="L298" s="112"/>
      <c r="M298" s="113" t="s">
        <v>125</v>
      </c>
      <c r="N298" s="113" t="s">
        <v>125</v>
      </c>
      <c r="O298" s="113" t="s">
        <v>125</v>
      </c>
      <c r="P298" s="113" t="s">
        <v>125</v>
      </c>
      <c r="Q298" s="113" t="s">
        <v>125</v>
      </c>
      <c r="R298" s="113" t="s">
        <v>125</v>
      </c>
      <c r="S298" s="110"/>
      <c r="T298" s="113" t="s">
        <v>635</v>
      </c>
      <c r="U298" s="113"/>
    </row>
    <row r="299">
      <c r="A299" s="111" t="s">
        <v>66</v>
      </c>
      <c r="B299" s="155" t="s">
        <v>636</v>
      </c>
      <c r="C299" s="113"/>
      <c r="D299" s="113" t="s">
        <v>472</v>
      </c>
      <c r="E299" s="111">
        <v>40.0</v>
      </c>
      <c r="F299" s="223" t="s">
        <v>637</v>
      </c>
      <c r="G299" s="136" t="s">
        <v>134</v>
      </c>
      <c r="H299" s="108"/>
      <c r="I299" s="109"/>
      <c r="J299" s="109"/>
      <c r="K299" s="109"/>
      <c r="L299" s="112"/>
      <c r="M299" s="113" t="s">
        <v>125</v>
      </c>
      <c r="N299" s="113" t="s">
        <v>125</v>
      </c>
      <c r="O299" s="113" t="s">
        <v>125</v>
      </c>
      <c r="P299" s="113" t="s">
        <v>125</v>
      </c>
      <c r="Q299" s="113" t="s">
        <v>125</v>
      </c>
      <c r="R299" s="113" t="s">
        <v>125</v>
      </c>
      <c r="S299" s="110"/>
      <c r="T299" s="113" t="s">
        <v>638</v>
      </c>
      <c r="U299" s="113"/>
    </row>
    <row r="300">
      <c r="A300" s="111" t="s">
        <v>66</v>
      </c>
      <c r="B300" s="155" t="s">
        <v>639</v>
      </c>
      <c r="C300" s="113"/>
      <c r="D300" s="113" t="s">
        <v>472</v>
      </c>
      <c r="E300" s="111">
        <v>40.0</v>
      </c>
      <c r="F300" s="223"/>
      <c r="G300" s="136"/>
      <c r="H300" s="108"/>
      <c r="I300" s="109"/>
      <c r="J300" s="109"/>
      <c r="K300" s="109"/>
      <c r="L300" s="112"/>
      <c r="M300" s="113" t="s">
        <v>125</v>
      </c>
      <c r="N300" s="113" t="s">
        <v>125</v>
      </c>
      <c r="O300" s="113" t="s">
        <v>125</v>
      </c>
      <c r="P300" s="113" t="s">
        <v>125</v>
      </c>
      <c r="Q300" s="113" t="s">
        <v>125</v>
      </c>
      <c r="R300" s="113" t="s">
        <v>125</v>
      </c>
      <c r="S300" s="110"/>
      <c r="T300" s="113" t="s">
        <v>640</v>
      </c>
      <c r="U300" s="113"/>
    </row>
    <row r="301">
      <c r="A301" s="111" t="s">
        <v>66</v>
      </c>
      <c r="B301" s="155" t="s">
        <v>641</v>
      </c>
      <c r="C301" s="113"/>
      <c r="D301" s="113"/>
      <c r="E301" s="111"/>
      <c r="F301" s="223"/>
      <c r="G301" s="136"/>
      <c r="H301" s="108"/>
      <c r="I301" s="109"/>
      <c r="J301" s="109"/>
      <c r="K301" s="109"/>
      <c r="L301" s="112"/>
      <c r="M301" s="113" t="s">
        <v>125</v>
      </c>
      <c r="N301" s="113" t="s">
        <v>125</v>
      </c>
      <c r="O301" s="113" t="s">
        <v>125</v>
      </c>
      <c r="P301" s="113" t="s">
        <v>125</v>
      </c>
      <c r="Q301" s="113" t="s">
        <v>125</v>
      </c>
      <c r="R301" s="113" t="s">
        <v>125</v>
      </c>
      <c r="S301" s="110"/>
      <c r="T301" s="113"/>
      <c r="U301" s="113"/>
    </row>
    <row r="302" ht="15.75" customHeight="1">
      <c r="A302" s="97" t="s">
        <v>66</v>
      </c>
      <c r="B302" s="96" t="str">
        <f>"/Order/OrderLines/OrderLine/Item/@"</f>
        <v>/Order/OrderLines/OrderLine/Item/@</v>
      </c>
      <c r="C302" s="96"/>
      <c r="D302" s="96"/>
      <c r="E302" s="97"/>
      <c r="F302" s="98"/>
      <c r="G302" s="99" t="s">
        <v>134</v>
      </c>
      <c r="H302" s="97"/>
      <c r="I302" s="96"/>
      <c r="J302" s="96"/>
      <c r="K302" s="96"/>
      <c r="L302" s="100" t="s">
        <v>66</v>
      </c>
      <c r="M302" s="99"/>
      <c r="N302" s="99"/>
      <c r="O302" s="99"/>
      <c r="P302" s="99"/>
      <c r="Q302" s="99"/>
      <c r="R302" s="99"/>
      <c r="S302" s="99"/>
      <c r="T302" s="99"/>
      <c r="U302" s="99"/>
    </row>
    <row r="303" ht="15.75" customHeight="1">
      <c r="A303" s="108" t="s">
        <v>66</v>
      </c>
      <c r="B303" s="109" t="str">
        <f>"ItemDesc"</f>
        <v>ItemDesc</v>
      </c>
      <c r="C303" s="109" t="str">
        <f>"yfs_order_line.item_description"</f>
        <v>yfs_order_line.item_description</v>
      </c>
      <c r="D303" s="109" t="str">
        <f t="shared" ref="D303:D305" si="257">"string"</f>
        <v>string</v>
      </c>
      <c r="E303" s="108" t="str">
        <f>"500"</f>
        <v>500</v>
      </c>
      <c r="F303" s="131" t="s">
        <v>642</v>
      </c>
      <c r="G303" s="112" t="s">
        <v>134</v>
      </c>
      <c r="H303" s="108" t="str">
        <f t="shared" ref="H303:I303" si="255">""</f>
        <v/>
      </c>
      <c r="I303" s="109" t="str">
        <f t="shared" si="255"/>
        <v/>
      </c>
      <c r="J303" s="109" t="str">
        <f>"Kwikset Venetian Bronze Cove Hall/Closet Knob"</f>
        <v>Kwikset Venetian Bronze Cove Hall/Closet Knob</v>
      </c>
      <c r="K303" s="109" t="s">
        <v>643</v>
      </c>
      <c r="L303" s="112" t="s">
        <v>66</v>
      </c>
      <c r="M303" s="132" t="str">
        <f t="shared" ref="M303:Q303" si="256">"ItemDesc"</f>
        <v>ItemDesc</v>
      </c>
      <c r="N303" s="132" t="str">
        <f t="shared" si="256"/>
        <v>ItemDesc</v>
      </c>
      <c r="O303" s="132" t="str">
        <f t="shared" si="256"/>
        <v>ItemDesc</v>
      </c>
      <c r="P303" s="132" t="str">
        <f t="shared" si="256"/>
        <v>ItemDesc</v>
      </c>
      <c r="Q303" s="132" t="str">
        <f t="shared" si="256"/>
        <v>ItemDesc</v>
      </c>
      <c r="R303" s="132"/>
      <c r="S303" s="132"/>
      <c r="T303" s="133" t="s">
        <v>644</v>
      </c>
      <c r="U303" s="132"/>
    </row>
    <row r="304" ht="72.0" customHeight="1">
      <c r="A304" s="108" t="s">
        <v>66</v>
      </c>
      <c r="B304" s="109" t="str">
        <f>"ItemID"</f>
        <v>ItemID</v>
      </c>
      <c r="C304" s="109" t="str">
        <f>"yfs_order_line.item_id"</f>
        <v>yfs_order_line.item_id</v>
      </c>
      <c r="D304" s="109" t="str">
        <f t="shared" si="257"/>
        <v>string</v>
      </c>
      <c r="E304" s="108" t="str">
        <f>"40"</f>
        <v>40</v>
      </c>
      <c r="F304" s="131" t="s">
        <v>645</v>
      </c>
      <c r="G304" s="112" t="s">
        <v>134</v>
      </c>
      <c r="H304" s="108" t="str">
        <f t="shared" ref="H304:I304" si="258">""</f>
        <v/>
      </c>
      <c r="I304" s="109" t="str">
        <f t="shared" si="258"/>
        <v/>
      </c>
      <c r="J304" s="109" t="s">
        <v>646</v>
      </c>
      <c r="K304" s="109" t="s">
        <v>120</v>
      </c>
      <c r="L304" s="112" t="s">
        <v>66</v>
      </c>
      <c r="M304" s="127" t="s">
        <v>282</v>
      </c>
      <c r="N304" s="127" t="s">
        <v>282</v>
      </c>
      <c r="O304" s="164" t="s">
        <v>647</v>
      </c>
      <c r="P304" s="127" t="s">
        <v>282</v>
      </c>
      <c r="Q304" s="127" t="s">
        <v>282</v>
      </c>
      <c r="R304" s="127" t="s">
        <v>648</v>
      </c>
      <c r="S304" s="127" t="s">
        <v>236</v>
      </c>
      <c r="T304" s="127" t="s">
        <v>649</v>
      </c>
      <c r="U304" s="127"/>
    </row>
    <row r="305" ht="15.75" hidden="1" customHeight="1">
      <c r="A305" s="103" t="s">
        <v>92</v>
      </c>
      <c r="B305" s="104" t="str">
        <f>"ItemShortDesc"</f>
        <v>ItemShortDesc</v>
      </c>
      <c r="C305" s="104" t="str">
        <f>"yfs_order_line.item_short_description"</f>
        <v>yfs_order_line.item_short_description</v>
      </c>
      <c r="D305" s="104" t="str">
        <f t="shared" si="257"/>
        <v>string</v>
      </c>
      <c r="E305" s="105" t="str">
        <f>"200"</f>
        <v>200</v>
      </c>
      <c r="F305" s="118" t="s">
        <v>650</v>
      </c>
      <c r="G305" s="103" t="str">
        <f t="shared" ref="G305:G313" si="259">"O"</f>
        <v>O</v>
      </c>
      <c r="H305" s="103" t="str">
        <f>"space"</f>
        <v>space</v>
      </c>
      <c r="I305" s="104" t="str">
        <f t="shared" ref="I305:I313" si="260">""</f>
        <v/>
      </c>
      <c r="J305" s="104" t="str">
        <f>"Kwikset Venetian Bronze Cove Hall/Closet Knob"</f>
        <v>Kwikset Venetian Bronze Cove Hall/Closet Knob</v>
      </c>
      <c r="K305" s="104" t="s">
        <v>651</v>
      </c>
      <c r="L305" s="105"/>
      <c r="M305" s="104"/>
      <c r="N305" s="104"/>
      <c r="O305" s="104"/>
      <c r="P305" s="104"/>
      <c r="Q305" s="104"/>
      <c r="R305" s="104"/>
      <c r="S305" s="104"/>
      <c r="T305" s="107"/>
      <c r="U305" s="107"/>
    </row>
    <row r="306" ht="15.75" hidden="1" customHeight="1">
      <c r="A306" s="103"/>
      <c r="B306" s="104" t="str">
        <f>"ItemWeight"</f>
        <v>ItemWeight</v>
      </c>
      <c r="C306" s="104" t="str">
        <f>"yfs_order_line.item_weight"</f>
        <v>yfs_order_line.item_weight</v>
      </c>
      <c r="D306" s="104" t="str">
        <f>"decimal"</f>
        <v>decimal</v>
      </c>
      <c r="E306" s="105" t="str">
        <f>"14,4"</f>
        <v>14,4</v>
      </c>
      <c r="F306" s="104" t="s">
        <v>652</v>
      </c>
      <c r="G306" s="103" t="str">
        <f t="shared" si="259"/>
        <v>O</v>
      </c>
      <c r="H306" s="103" t="str">
        <f>"0 "</f>
        <v>0 </v>
      </c>
      <c r="I306" s="104" t="str">
        <f t="shared" si="260"/>
        <v/>
      </c>
      <c r="J306" s="104" t="str">
        <f>""</f>
        <v/>
      </c>
      <c r="K306" s="104"/>
      <c r="L306" s="105"/>
      <c r="M306" s="104"/>
      <c r="N306" s="104"/>
      <c r="O306" s="104"/>
      <c r="P306" s="104"/>
      <c r="Q306" s="104"/>
      <c r="R306" s="104"/>
      <c r="S306" s="104"/>
      <c r="T306" s="107"/>
      <c r="U306" s="107"/>
    </row>
    <row r="307" ht="15.75" hidden="1" customHeight="1">
      <c r="A307" s="103"/>
      <c r="B307" s="104" t="str">
        <f>"ItemWeightUOM"</f>
        <v>ItemWeightUOM</v>
      </c>
      <c r="C307" s="104" t="str">
        <f>"yfs_order_line.item_weight_uom"</f>
        <v>yfs_order_line.item_weight_uom</v>
      </c>
      <c r="D307" s="104" t="str">
        <f t="shared" ref="D307:D320" si="261">"string"</f>
        <v>string</v>
      </c>
      <c r="E307" s="105" t="str">
        <f>"40"</f>
        <v>40</v>
      </c>
      <c r="F307" s="104" t="s">
        <v>653</v>
      </c>
      <c r="G307" s="103" t="str">
        <f t="shared" si="259"/>
        <v>O</v>
      </c>
      <c r="H307" s="103" t="str">
        <f t="shared" ref="H307:H313" si="262">"space"</f>
        <v>space</v>
      </c>
      <c r="I307" s="104" t="str">
        <f t="shared" si="260"/>
        <v/>
      </c>
      <c r="J307" s="104" t="str">
        <f>"LB"</f>
        <v>LB</v>
      </c>
      <c r="K307" s="104"/>
      <c r="L307" s="105"/>
      <c r="M307" s="104"/>
      <c r="N307" s="104"/>
      <c r="O307" s="104"/>
      <c r="P307" s="104"/>
      <c r="Q307" s="104"/>
      <c r="R307" s="104"/>
      <c r="S307" s="104"/>
      <c r="T307" s="107"/>
      <c r="U307" s="107"/>
    </row>
    <row r="308" ht="15.75" hidden="1" customHeight="1">
      <c r="A308" s="103"/>
      <c r="B308" s="104" t="str">
        <f>"ManufacturerItem"</f>
        <v>ManufacturerItem</v>
      </c>
      <c r="C308" s="104" t="str">
        <f>"yfs_order_line.manufacturer_item"</f>
        <v>yfs_order_line.manufacturer_item</v>
      </c>
      <c r="D308" s="104" t="str">
        <f t="shared" si="261"/>
        <v>string</v>
      </c>
      <c r="E308" s="105" t="str">
        <f>"100"</f>
        <v>100</v>
      </c>
      <c r="F308" s="104" t="s">
        <v>654</v>
      </c>
      <c r="G308" s="103" t="str">
        <f t="shared" si="259"/>
        <v>O</v>
      </c>
      <c r="H308" s="103" t="str">
        <f t="shared" si="262"/>
        <v>space</v>
      </c>
      <c r="I308" s="104" t="str">
        <f t="shared" si="260"/>
        <v/>
      </c>
      <c r="J308" s="104" t="str">
        <f t="shared" ref="J308:J313" si="263">""</f>
        <v/>
      </c>
      <c r="K308" s="104"/>
      <c r="L308" s="105"/>
      <c r="M308" s="104"/>
      <c r="N308" s="104"/>
      <c r="O308" s="104"/>
      <c r="P308" s="104"/>
      <c r="Q308" s="104"/>
      <c r="R308" s="104"/>
      <c r="S308" s="104"/>
      <c r="T308" s="107"/>
      <c r="U308" s="107"/>
    </row>
    <row r="309" ht="15.75" hidden="1" customHeight="1">
      <c r="A309" s="103"/>
      <c r="B309" s="104" t="str">
        <f>"ManufacturerItemDesc"</f>
        <v>ManufacturerItemDesc</v>
      </c>
      <c r="C309" s="104" t="str">
        <f>"yfs_order_line.manufacturer_item_desc"</f>
        <v>yfs_order_line.manufacturer_item_desc</v>
      </c>
      <c r="D309" s="104" t="str">
        <f t="shared" si="261"/>
        <v>string</v>
      </c>
      <c r="E309" s="105" t="str">
        <f>"254"</f>
        <v>254</v>
      </c>
      <c r="F309" s="104" t="s">
        <v>655</v>
      </c>
      <c r="G309" s="103" t="str">
        <f t="shared" si="259"/>
        <v>O</v>
      </c>
      <c r="H309" s="103" t="str">
        <f t="shared" si="262"/>
        <v>space</v>
      </c>
      <c r="I309" s="104" t="str">
        <f t="shared" si="260"/>
        <v/>
      </c>
      <c r="J309" s="104" t="str">
        <f t="shared" si="263"/>
        <v/>
      </c>
      <c r="K309" s="104"/>
      <c r="L309" s="105"/>
      <c r="M309" s="104"/>
      <c r="N309" s="104"/>
      <c r="O309" s="104"/>
      <c r="P309" s="104"/>
      <c r="Q309" s="104"/>
      <c r="R309" s="104"/>
      <c r="S309" s="104"/>
      <c r="T309" s="107"/>
      <c r="U309" s="107"/>
    </row>
    <row r="310" ht="15.75" hidden="1" customHeight="1">
      <c r="A310" s="103"/>
      <c r="B310" s="104" t="str">
        <f>"ManufacturerName"</f>
        <v>ManufacturerName</v>
      </c>
      <c r="C310" s="104" t="str">
        <f>"yfs_order_line.manufacturer_name"</f>
        <v>yfs_order_line.manufacturer_name</v>
      </c>
      <c r="D310" s="104" t="str">
        <f t="shared" si="261"/>
        <v>string</v>
      </c>
      <c r="E310" s="105" t="str">
        <f>"50"</f>
        <v>50</v>
      </c>
      <c r="F310" s="104" t="s">
        <v>656</v>
      </c>
      <c r="G310" s="103" t="str">
        <f t="shared" si="259"/>
        <v>O</v>
      </c>
      <c r="H310" s="103" t="str">
        <f t="shared" si="262"/>
        <v>space</v>
      </c>
      <c r="I310" s="104" t="str">
        <f t="shared" si="260"/>
        <v/>
      </c>
      <c r="J310" s="104" t="str">
        <f t="shared" si="263"/>
        <v/>
      </c>
      <c r="K310" s="104"/>
      <c r="L310" s="105"/>
      <c r="M310" s="104"/>
      <c r="N310" s="104"/>
      <c r="O310" s="104"/>
      <c r="P310" s="104"/>
      <c r="Q310" s="104"/>
      <c r="R310" s="104"/>
      <c r="S310" s="104"/>
      <c r="T310" s="107"/>
      <c r="U310" s="107"/>
    </row>
    <row r="311" ht="15.75" hidden="1" customHeight="1">
      <c r="A311" s="103"/>
      <c r="B311" s="104" t="str">
        <f>"NMFCClass"</f>
        <v>NMFCClass</v>
      </c>
      <c r="C311" s="104" t="str">
        <f>"yfs_order_line.nmfc_class"</f>
        <v>yfs_order_line.nmfc_class</v>
      </c>
      <c r="D311" s="104" t="str">
        <f t="shared" si="261"/>
        <v>string</v>
      </c>
      <c r="E311" s="105" t="str">
        <f>"100"</f>
        <v>100</v>
      </c>
      <c r="F311" s="104" t="s">
        <v>657</v>
      </c>
      <c r="G311" s="103" t="str">
        <f t="shared" si="259"/>
        <v>O</v>
      </c>
      <c r="H311" s="103" t="str">
        <f t="shared" si="262"/>
        <v>space</v>
      </c>
      <c r="I311" s="104" t="str">
        <f t="shared" si="260"/>
        <v/>
      </c>
      <c r="J311" s="104" t="str">
        <f t="shared" si="263"/>
        <v/>
      </c>
      <c r="K311" s="104"/>
      <c r="L311" s="105"/>
      <c r="M311" s="104"/>
      <c r="N311" s="104"/>
      <c r="O311" s="104"/>
      <c r="P311" s="104"/>
      <c r="Q311" s="104"/>
      <c r="R311" s="104"/>
      <c r="S311" s="104"/>
      <c r="T311" s="107"/>
      <c r="U311" s="107"/>
    </row>
    <row r="312" ht="15.75" hidden="1" customHeight="1">
      <c r="A312" s="103"/>
      <c r="B312" s="104" t="str">
        <f>"NMFCCode"</f>
        <v>NMFCCode</v>
      </c>
      <c r="C312" s="104" t="str">
        <f>"yfs_order_line.nmfc_code"</f>
        <v>yfs_order_line.nmfc_code</v>
      </c>
      <c r="D312" s="104" t="str">
        <f t="shared" si="261"/>
        <v>string</v>
      </c>
      <c r="E312" s="105" t="str">
        <f>"40"</f>
        <v>40</v>
      </c>
      <c r="F312" s="104" t="s">
        <v>657</v>
      </c>
      <c r="G312" s="103" t="str">
        <f t="shared" si="259"/>
        <v>O</v>
      </c>
      <c r="H312" s="103" t="str">
        <f t="shared" si="262"/>
        <v>space</v>
      </c>
      <c r="I312" s="104" t="str">
        <f t="shared" si="260"/>
        <v/>
      </c>
      <c r="J312" s="104" t="str">
        <f t="shared" si="263"/>
        <v/>
      </c>
      <c r="K312" s="104"/>
      <c r="L312" s="105"/>
      <c r="M312" s="104"/>
      <c r="N312" s="104"/>
      <c r="O312" s="104"/>
      <c r="P312" s="104"/>
      <c r="Q312" s="104"/>
      <c r="R312" s="104"/>
      <c r="S312" s="104"/>
      <c r="T312" s="107"/>
      <c r="U312" s="107"/>
    </row>
    <row r="313" ht="15.75" hidden="1" customHeight="1">
      <c r="A313" s="103"/>
      <c r="B313" s="104" t="str">
        <f>"NMFCDescription"</f>
        <v>NMFCDescription</v>
      </c>
      <c r="C313" s="104" t="str">
        <f>"yfs_order_line.nmfc_description"</f>
        <v>yfs_order_line.nmfc_description</v>
      </c>
      <c r="D313" s="104" t="str">
        <f t="shared" si="261"/>
        <v>string</v>
      </c>
      <c r="E313" s="105" t="str">
        <f>"100"</f>
        <v>100</v>
      </c>
      <c r="F313" s="104" t="s">
        <v>658</v>
      </c>
      <c r="G313" s="103" t="str">
        <f t="shared" si="259"/>
        <v>O</v>
      </c>
      <c r="H313" s="103" t="str">
        <f t="shared" si="262"/>
        <v>space</v>
      </c>
      <c r="I313" s="104" t="str">
        <f t="shared" si="260"/>
        <v/>
      </c>
      <c r="J313" s="104" t="str">
        <f t="shared" si="263"/>
        <v/>
      </c>
      <c r="K313" s="104"/>
      <c r="L313" s="105"/>
      <c r="M313" s="104"/>
      <c r="N313" s="104"/>
      <c r="O313" s="104"/>
      <c r="P313" s="104"/>
      <c r="Q313" s="104"/>
      <c r="R313" s="104"/>
      <c r="S313" s="104"/>
      <c r="T313" s="107"/>
      <c r="U313" s="107"/>
    </row>
    <row r="314" hidden="1">
      <c r="A314" s="117" t="s">
        <v>92</v>
      </c>
      <c r="B314" s="104" t="str">
        <f>"ProductClass"</f>
        <v>ProductClass</v>
      </c>
      <c r="C314" s="104" t="str">
        <f>"yfs_order_line.product_class"</f>
        <v>yfs_order_line.product_class</v>
      </c>
      <c r="D314" s="104" t="str">
        <f t="shared" si="261"/>
        <v>string</v>
      </c>
      <c r="E314" s="103" t="str">
        <f>"10"</f>
        <v>10</v>
      </c>
      <c r="F314" s="233" t="s">
        <v>659</v>
      </c>
      <c r="G314" s="224" t="s">
        <v>77</v>
      </c>
      <c r="H314" s="103" t="str">
        <f t="shared" ref="H314:I314" si="264">""</f>
        <v/>
      </c>
      <c r="I314" s="104" t="str">
        <f t="shared" si="264"/>
        <v/>
      </c>
      <c r="J314" s="104" t="str">
        <f>"GOOD"</f>
        <v>GOOD</v>
      </c>
      <c r="K314" s="104" t="s">
        <v>660</v>
      </c>
      <c r="L314" s="224" t="s">
        <v>92</v>
      </c>
      <c r="M314" s="242" t="s">
        <v>661</v>
      </c>
      <c r="N314" s="242"/>
      <c r="O314" s="242" t="s">
        <v>661</v>
      </c>
      <c r="P314" s="242" t="s">
        <v>661</v>
      </c>
      <c r="Q314" s="242" t="s">
        <v>661</v>
      </c>
      <c r="R314" s="119" t="s">
        <v>662</v>
      </c>
      <c r="S314" s="119"/>
      <c r="T314" s="186"/>
      <c r="U314" s="186"/>
    </row>
    <row r="315" ht="15.75" hidden="1" customHeight="1">
      <c r="A315" s="103"/>
      <c r="B315" s="104" t="str">
        <f>"ProductLine"</f>
        <v>ProductLine</v>
      </c>
      <c r="C315" s="104" t="str">
        <f>"yfs_order_line.product_line"</f>
        <v>yfs_order_line.product_line</v>
      </c>
      <c r="D315" s="104" t="str">
        <f t="shared" si="261"/>
        <v>string</v>
      </c>
      <c r="E315" s="105" t="str">
        <f>"100"</f>
        <v>100</v>
      </c>
      <c r="F315" s="118" t="s">
        <v>663</v>
      </c>
      <c r="G315" s="103" t="str">
        <f t="shared" ref="G315:G321" si="266">"O"</f>
        <v>O</v>
      </c>
      <c r="H315" s="103" t="str">
        <f t="shared" ref="H315:H320" si="267">"space"</f>
        <v>space</v>
      </c>
      <c r="I315" s="104" t="str">
        <f t="shared" ref="I315:J315" si="265">""</f>
        <v/>
      </c>
      <c r="J315" s="104" t="str">
        <f t="shared" si="265"/>
        <v/>
      </c>
      <c r="K315" s="104"/>
      <c r="L315" s="105"/>
      <c r="M315" s="104"/>
      <c r="N315" s="104"/>
      <c r="O315" s="104"/>
      <c r="P315" s="104"/>
      <c r="Q315" s="104"/>
      <c r="R315" s="104"/>
      <c r="S315" s="104"/>
      <c r="T315" s="107"/>
      <c r="U315" s="107"/>
    </row>
    <row r="316" ht="15.75" hidden="1" customHeight="1">
      <c r="A316" s="103"/>
      <c r="B316" s="104" t="str">
        <f>"ScheduleBCode"</f>
        <v>ScheduleBCode</v>
      </c>
      <c r="C316" s="104" t="str">
        <f>"yfs_order_line.schedule_b_code"</f>
        <v>yfs_order_line.schedule_b_code</v>
      </c>
      <c r="D316" s="104" t="str">
        <f t="shared" si="261"/>
        <v>string</v>
      </c>
      <c r="E316" s="105" t="str">
        <f t="shared" ref="E316:E317" si="269">"40"</f>
        <v>40</v>
      </c>
      <c r="F316" s="104" t="s">
        <v>664</v>
      </c>
      <c r="G316" s="103" t="str">
        <f t="shared" si="266"/>
        <v>O</v>
      </c>
      <c r="H316" s="103" t="str">
        <f t="shared" si="267"/>
        <v>space</v>
      </c>
      <c r="I316" s="104" t="str">
        <f t="shared" ref="I316:J316" si="268">""</f>
        <v/>
      </c>
      <c r="J316" s="104" t="str">
        <f t="shared" si="268"/>
        <v/>
      </c>
      <c r="K316" s="104"/>
      <c r="L316" s="105"/>
      <c r="M316" s="104"/>
      <c r="N316" s="104"/>
      <c r="O316" s="104"/>
      <c r="P316" s="104"/>
      <c r="Q316" s="104"/>
      <c r="R316" s="104"/>
      <c r="S316" s="104"/>
      <c r="T316" s="107"/>
      <c r="U316" s="107"/>
    </row>
    <row r="317" ht="15.75" hidden="1" customHeight="1">
      <c r="A317" s="103"/>
      <c r="B317" s="104" t="str">
        <f>"SupplierItem"</f>
        <v>SupplierItem</v>
      </c>
      <c r="C317" s="104" t="str">
        <f>"yfs_order_line.supplier_item"</f>
        <v>yfs_order_line.supplier_item</v>
      </c>
      <c r="D317" s="104" t="str">
        <f t="shared" si="261"/>
        <v>string</v>
      </c>
      <c r="E317" s="105" t="str">
        <f t="shared" si="269"/>
        <v>40</v>
      </c>
      <c r="F317" s="104" t="s">
        <v>665</v>
      </c>
      <c r="G317" s="103" t="str">
        <f t="shared" si="266"/>
        <v>O</v>
      </c>
      <c r="H317" s="103" t="str">
        <f t="shared" si="267"/>
        <v>space</v>
      </c>
      <c r="I317" s="104" t="str">
        <f t="shared" ref="I317:J317" si="270">""</f>
        <v/>
      </c>
      <c r="J317" s="104" t="str">
        <f t="shared" si="270"/>
        <v/>
      </c>
      <c r="K317" s="104"/>
      <c r="L317" s="105"/>
      <c r="M317" s="104"/>
      <c r="N317" s="104"/>
      <c r="O317" s="104"/>
      <c r="P317" s="104"/>
      <c r="Q317" s="104"/>
      <c r="R317" s="104"/>
      <c r="S317" s="104"/>
      <c r="T317" s="107"/>
      <c r="U317" s="107"/>
    </row>
    <row r="318" ht="15.75" hidden="1" customHeight="1">
      <c r="A318" s="103"/>
      <c r="B318" s="104" t="str">
        <f>"SupplierItemDesc"</f>
        <v>SupplierItemDesc</v>
      </c>
      <c r="C318" s="104" t="str">
        <f>"yfs_order_line.supplier_item_description"</f>
        <v>yfs_order_line.supplier_item_description</v>
      </c>
      <c r="D318" s="104" t="str">
        <f t="shared" si="261"/>
        <v>string</v>
      </c>
      <c r="E318" s="105" t="str">
        <f>"200"</f>
        <v>200</v>
      </c>
      <c r="F318" s="104" t="s">
        <v>666</v>
      </c>
      <c r="G318" s="103" t="str">
        <f t="shared" si="266"/>
        <v>O</v>
      </c>
      <c r="H318" s="103" t="str">
        <f t="shared" si="267"/>
        <v>space</v>
      </c>
      <c r="I318" s="104" t="str">
        <f t="shared" ref="I318:J318" si="271">""</f>
        <v/>
      </c>
      <c r="J318" s="104" t="str">
        <f t="shared" si="271"/>
        <v/>
      </c>
      <c r="K318" s="104"/>
      <c r="L318" s="105"/>
      <c r="M318" s="104"/>
      <c r="N318" s="104"/>
      <c r="O318" s="104"/>
      <c r="P318" s="104"/>
      <c r="Q318" s="104"/>
      <c r="R318" s="104"/>
      <c r="S318" s="104"/>
      <c r="T318" s="107"/>
      <c r="U318" s="107"/>
    </row>
    <row r="319" ht="15.75" hidden="1" customHeight="1">
      <c r="A319" s="103" t="s">
        <v>92</v>
      </c>
      <c r="B319" s="104" t="str">
        <f>"TaxProductCode"</f>
        <v>TaxProductCode</v>
      </c>
      <c r="C319" s="104" t="str">
        <f>"yfs_order_line.tax_product_code"</f>
        <v>yfs_order_line.tax_product_code</v>
      </c>
      <c r="D319" s="104" t="str">
        <f t="shared" si="261"/>
        <v>string</v>
      </c>
      <c r="E319" s="105" t="str">
        <f t="shared" ref="E319:E320" si="273">"40"</f>
        <v>40</v>
      </c>
      <c r="F319" s="104" t="s">
        <v>667</v>
      </c>
      <c r="G319" s="103" t="str">
        <f t="shared" si="266"/>
        <v>O</v>
      </c>
      <c r="H319" s="103" t="str">
        <f t="shared" si="267"/>
        <v>space</v>
      </c>
      <c r="I319" s="104" t="str">
        <f t="shared" ref="I319:J319" si="272">""</f>
        <v/>
      </c>
      <c r="J319" s="104" t="str">
        <f t="shared" si="272"/>
        <v/>
      </c>
      <c r="K319" s="104" t="s">
        <v>668</v>
      </c>
      <c r="L319" s="105"/>
      <c r="M319" s="104"/>
      <c r="N319" s="104"/>
      <c r="O319" s="104"/>
      <c r="P319" s="104"/>
      <c r="Q319" s="104"/>
      <c r="R319" s="104"/>
      <c r="S319" s="104"/>
      <c r="T319" s="107"/>
      <c r="U319" s="107"/>
    </row>
    <row r="320" ht="15.75" hidden="1" customHeight="1">
      <c r="A320" s="103"/>
      <c r="B320" s="104" t="str">
        <f>"UPCCode"</f>
        <v>UPCCode</v>
      </c>
      <c r="C320" s="104" t="str">
        <f>"yfs_order_line.upc_code"</f>
        <v>yfs_order_line.upc_code</v>
      </c>
      <c r="D320" s="104" t="str">
        <f t="shared" si="261"/>
        <v>string</v>
      </c>
      <c r="E320" s="105" t="str">
        <f t="shared" si="273"/>
        <v>40</v>
      </c>
      <c r="F320" s="104" t="s">
        <v>669</v>
      </c>
      <c r="G320" s="103" t="str">
        <f t="shared" si="266"/>
        <v>O</v>
      </c>
      <c r="H320" s="103" t="str">
        <f t="shared" si="267"/>
        <v>space</v>
      </c>
      <c r="I320" s="104" t="str">
        <f t="shared" ref="I320:J320" si="274">""</f>
        <v/>
      </c>
      <c r="J320" s="104" t="str">
        <f t="shared" si="274"/>
        <v/>
      </c>
      <c r="K320" s="104"/>
      <c r="L320" s="105"/>
      <c r="M320" s="104"/>
      <c r="N320" s="104"/>
      <c r="O320" s="104"/>
      <c r="P320" s="104"/>
      <c r="Q320" s="104"/>
      <c r="R320" s="104"/>
      <c r="S320" s="104"/>
      <c r="T320" s="107"/>
      <c r="U320" s="107"/>
    </row>
    <row r="321" ht="15.75" hidden="1" customHeight="1">
      <c r="A321" s="103"/>
      <c r="B321" s="104" t="str">
        <f>"UnitCost"</f>
        <v>UnitCost</v>
      </c>
      <c r="C321" s="104" t="str">
        <f>"yfs_order_line.unit_cost"</f>
        <v>yfs_order_line.unit_cost</v>
      </c>
      <c r="D321" s="104" t="str">
        <f>"decimal"</f>
        <v>decimal</v>
      </c>
      <c r="E321" s="105" t="str">
        <f>"19,6"</f>
        <v>19,6</v>
      </c>
      <c r="F321" s="118" t="s">
        <v>670</v>
      </c>
      <c r="G321" s="103" t="str">
        <f t="shared" si="266"/>
        <v>O</v>
      </c>
      <c r="H321" s="103" t="str">
        <f>"0 "</f>
        <v>0 </v>
      </c>
      <c r="I321" s="104" t="str">
        <f>""</f>
        <v/>
      </c>
      <c r="J321" s="104" t="str">
        <f>"13.72"</f>
        <v>13.72</v>
      </c>
      <c r="K321" s="104"/>
      <c r="L321" s="105"/>
      <c r="M321" s="104"/>
      <c r="N321" s="104"/>
      <c r="O321" s="104"/>
      <c r="P321" s="104"/>
      <c r="Q321" s="104"/>
      <c r="R321" s="104"/>
      <c r="S321" s="104"/>
      <c r="T321" s="107"/>
      <c r="U321" s="107"/>
    </row>
    <row r="322">
      <c r="A322" s="108" t="s">
        <v>66</v>
      </c>
      <c r="B322" s="109" t="s">
        <v>671</v>
      </c>
      <c r="C322" s="109" t="s">
        <v>672</v>
      </c>
      <c r="D322" s="109" t="s">
        <v>131</v>
      </c>
      <c r="E322" s="108">
        <v>40.0</v>
      </c>
      <c r="F322" s="131" t="s">
        <v>673</v>
      </c>
      <c r="G322" s="108" t="s">
        <v>77</v>
      </c>
      <c r="H322" s="108"/>
      <c r="I322" s="109"/>
      <c r="J322" s="109" t="s">
        <v>674</v>
      </c>
      <c r="K322" s="109"/>
      <c r="L322" s="112" t="s">
        <v>92</v>
      </c>
      <c r="M322" s="133" t="s">
        <v>675</v>
      </c>
      <c r="N322" s="133" t="s">
        <v>675</v>
      </c>
      <c r="O322" s="133" t="s">
        <v>675</v>
      </c>
      <c r="P322" s="127" t="s">
        <v>675</v>
      </c>
      <c r="Q322" s="133" t="s">
        <v>675</v>
      </c>
      <c r="R322" s="133" t="s">
        <v>676</v>
      </c>
      <c r="S322" s="133" t="s">
        <v>236</v>
      </c>
      <c r="T322" s="133"/>
      <c r="U322" s="133"/>
    </row>
    <row r="323">
      <c r="A323" s="108" t="s">
        <v>66</v>
      </c>
      <c r="B323" s="109" t="str">
        <f>"UnitOfMeasure"</f>
        <v>UnitOfMeasure</v>
      </c>
      <c r="C323" s="109" t="str">
        <f>"yfs_order_line.uom"</f>
        <v>yfs_order_line.uom</v>
      </c>
      <c r="D323" s="109" t="str">
        <f>"string"</f>
        <v>string</v>
      </c>
      <c r="E323" s="108" t="str">
        <f>"40"</f>
        <v>40</v>
      </c>
      <c r="F323" s="131" t="s">
        <v>677</v>
      </c>
      <c r="G323" s="112" t="s">
        <v>134</v>
      </c>
      <c r="H323" s="108"/>
      <c r="I323" s="109" t="str">
        <f>""</f>
        <v/>
      </c>
      <c r="J323" s="113" t="s">
        <v>678</v>
      </c>
      <c r="K323" s="109" t="s">
        <v>679</v>
      </c>
      <c r="L323" s="112" t="s">
        <v>66</v>
      </c>
      <c r="M323" s="164" t="s">
        <v>680</v>
      </c>
      <c r="N323" s="164" t="s">
        <v>680</v>
      </c>
      <c r="O323" s="164" t="s">
        <v>680</v>
      </c>
      <c r="P323" s="127" t="s">
        <v>680</v>
      </c>
      <c r="Q323" s="164" t="s">
        <v>680</v>
      </c>
      <c r="R323" s="164"/>
      <c r="S323" s="164"/>
      <c r="T323" s="164"/>
      <c r="U323" s="164"/>
    </row>
    <row r="324" hidden="1">
      <c r="A324" s="117" t="s">
        <v>92</v>
      </c>
      <c r="B324" s="104" t="s">
        <v>681</v>
      </c>
      <c r="C324" s="104"/>
      <c r="D324" s="104" t="s">
        <v>131</v>
      </c>
      <c r="E324" s="103">
        <v>40.0</v>
      </c>
      <c r="F324" s="272" t="s">
        <v>682</v>
      </c>
      <c r="G324" s="119" t="s">
        <v>77</v>
      </c>
      <c r="H324" s="103"/>
      <c r="I324" s="104"/>
      <c r="J324" s="104"/>
      <c r="K324" s="104"/>
      <c r="L324" s="119" t="s">
        <v>92</v>
      </c>
      <c r="M324" s="155" t="s">
        <v>683</v>
      </c>
      <c r="N324" s="155"/>
      <c r="O324" s="155" t="s">
        <v>683</v>
      </c>
      <c r="P324" s="155" t="s">
        <v>683</v>
      </c>
      <c r="Q324" s="155" t="s">
        <v>683</v>
      </c>
      <c r="R324" s="104"/>
      <c r="S324" s="104"/>
      <c r="T324" s="107"/>
      <c r="U324" s="107"/>
    </row>
    <row r="325" hidden="1">
      <c r="A325" s="236" t="s">
        <v>92</v>
      </c>
      <c r="B325" s="237" t="str">
        <f>"/Order/OrderLines/OrderLine/PersonInfoShipTo/@"</f>
        <v>/Order/OrderLines/OrderLine/PersonInfoShipTo/@</v>
      </c>
      <c r="C325" s="170"/>
      <c r="D325" s="170"/>
      <c r="E325" s="196"/>
      <c r="F325" s="238"/>
      <c r="G325" s="240" t="s">
        <v>77</v>
      </c>
      <c r="H325" s="196"/>
      <c r="I325" s="170"/>
      <c r="J325" s="170"/>
      <c r="K325" s="170"/>
      <c r="L325" s="239" t="s">
        <v>92</v>
      </c>
      <c r="M325" s="240" t="s">
        <v>125</v>
      </c>
      <c r="N325" s="240"/>
      <c r="O325" s="240" t="s">
        <v>125</v>
      </c>
      <c r="P325" s="240" t="s">
        <v>125</v>
      </c>
      <c r="Q325" s="240" t="s">
        <v>125</v>
      </c>
      <c r="R325" s="239"/>
      <c r="S325" s="239"/>
      <c r="T325" s="241"/>
      <c r="U325" s="241"/>
    </row>
    <row r="326" ht="15.75" hidden="1" customHeight="1">
      <c r="A326" s="103"/>
      <c r="B326" s="104" t="str">
        <f>"AddressID"</f>
        <v>AddressID</v>
      </c>
      <c r="C326" s="104" t="str">
        <f>"yfs_person_info.address_id"</f>
        <v>yfs_person_info.address_id</v>
      </c>
      <c r="D326" s="104" t="str">
        <f t="shared" ref="D326:D338" si="276">"string"</f>
        <v>string</v>
      </c>
      <c r="E326" s="105" t="str">
        <f>"256"</f>
        <v>256</v>
      </c>
      <c r="F326" s="104" t="s">
        <v>684</v>
      </c>
      <c r="G326" s="103" t="str">
        <f>"O"</f>
        <v>O</v>
      </c>
      <c r="H326" s="103" t="str">
        <f>"null"</f>
        <v>null</v>
      </c>
      <c r="I326" s="104" t="str">
        <f t="shared" ref="I326:J326" si="275">""</f>
        <v/>
      </c>
      <c r="J326" s="104" t="str">
        <f t="shared" si="275"/>
        <v/>
      </c>
      <c r="K326" s="104"/>
      <c r="L326" s="105"/>
      <c r="M326" s="104"/>
      <c r="N326" s="104"/>
      <c r="O326" s="104"/>
      <c r="P326" s="104"/>
      <c r="Q326" s="104"/>
      <c r="R326" s="104"/>
      <c r="S326" s="104"/>
      <c r="T326" s="107"/>
      <c r="U326" s="107"/>
    </row>
    <row r="327" hidden="1">
      <c r="A327" s="117" t="s">
        <v>92</v>
      </c>
      <c r="B327" s="104" t="str">
        <f>"AddressLine1"</f>
        <v>AddressLine1</v>
      </c>
      <c r="C327" s="104" t="str">
        <f>"yfs_person_info.address_line1"</f>
        <v>yfs_person_info.address_line1</v>
      </c>
      <c r="D327" s="104" t="str">
        <f t="shared" si="276"/>
        <v>string</v>
      </c>
      <c r="E327" s="103" t="str">
        <f t="shared" ref="E327:E332" si="278">"70"</f>
        <v>70</v>
      </c>
      <c r="F327" s="233" t="s">
        <v>685</v>
      </c>
      <c r="G327" s="224" t="s">
        <v>77</v>
      </c>
      <c r="H327" s="103" t="str">
        <f t="shared" ref="H327:I327" si="277">""</f>
        <v/>
      </c>
      <c r="I327" s="104" t="str">
        <f t="shared" si="277"/>
        <v/>
      </c>
      <c r="J327" s="104" t="str">
        <f>"1 Main Street"</f>
        <v>1 Main Street</v>
      </c>
      <c r="K327" s="104" t="s">
        <v>686</v>
      </c>
      <c r="L327" s="224" t="s">
        <v>92</v>
      </c>
      <c r="M327" s="242" t="s">
        <v>125</v>
      </c>
      <c r="N327" s="242"/>
      <c r="O327" s="242" t="s">
        <v>125</v>
      </c>
      <c r="P327" s="242" t="s">
        <v>125</v>
      </c>
      <c r="Q327" s="242" t="s">
        <v>125</v>
      </c>
      <c r="R327" s="246" t="s">
        <v>687</v>
      </c>
      <c r="S327" s="246"/>
      <c r="T327" s="273"/>
      <c r="U327" s="273"/>
    </row>
    <row r="328" ht="15.75" hidden="1" customHeight="1">
      <c r="A328" s="117" t="s">
        <v>92</v>
      </c>
      <c r="B328" s="104" t="str">
        <f>"AddressLine2"</f>
        <v>AddressLine2</v>
      </c>
      <c r="C328" s="104" t="str">
        <f>"yfs_person_info.address_line2"</f>
        <v>yfs_person_info.address_line2</v>
      </c>
      <c r="D328" s="104" t="str">
        <f t="shared" si="276"/>
        <v>string</v>
      </c>
      <c r="E328" s="103" t="str">
        <f t="shared" si="278"/>
        <v>70</v>
      </c>
      <c r="F328" s="233" t="s">
        <v>688</v>
      </c>
      <c r="G328" s="224" t="s">
        <v>77</v>
      </c>
      <c r="H328" s="103" t="str">
        <f t="shared" ref="H328:I328" si="279">""</f>
        <v/>
      </c>
      <c r="I328" s="104" t="str">
        <f t="shared" si="279"/>
        <v/>
      </c>
      <c r="J328" s="104" t="str">
        <f>"Unit A2"</f>
        <v>Unit A2</v>
      </c>
      <c r="K328" s="104" t="s">
        <v>689</v>
      </c>
      <c r="L328" s="224" t="s">
        <v>92</v>
      </c>
      <c r="M328" s="242" t="s">
        <v>125</v>
      </c>
      <c r="N328" s="242"/>
      <c r="O328" s="242" t="s">
        <v>125</v>
      </c>
      <c r="P328" s="242" t="s">
        <v>125</v>
      </c>
      <c r="Q328" s="242" t="s">
        <v>125</v>
      </c>
      <c r="R328" s="246" t="s">
        <v>690</v>
      </c>
      <c r="S328" s="246"/>
      <c r="T328" s="273"/>
      <c r="U328" s="273"/>
    </row>
    <row r="329" hidden="1">
      <c r="A329" s="117" t="s">
        <v>92</v>
      </c>
      <c r="B329" s="104" t="str">
        <f>"AddressLine3"</f>
        <v>AddressLine3</v>
      </c>
      <c r="C329" s="104" t="str">
        <f>"yfs_person_info.address_line3"</f>
        <v>yfs_person_info.address_line3</v>
      </c>
      <c r="D329" s="104" t="str">
        <f t="shared" si="276"/>
        <v>string</v>
      </c>
      <c r="E329" s="103" t="str">
        <f t="shared" si="278"/>
        <v>70</v>
      </c>
      <c r="F329" s="233" t="s">
        <v>691</v>
      </c>
      <c r="G329" s="224" t="s">
        <v>77</v>
      </c>
      <c r="H329" s="103" t="str">
        <f t="shared" ref="H329:J329" si="280">""</f>
        <v/>
      </c>
      <c r="I329" s="104" t="str">
        <f t="shared" si="280"/>
        <v/>
      </c>
      <c r="J329" s="104" t="str">
        <f t="shared" si="280"/>
        <v/>
      </c>
      <c r="K329" s="104" t="s">
        <v>689</v>
      </c>
      <c r="L329" s="224" t="s">
        <v>92</v>
      </c>
      <c r="M329" s="242" t="s">
        <v>125</v>
      </c>
      <c r="N329" s="242"/>
      <c r="O329" s="242" t="s">
        <v>125</v>
      </c>
      <c r="P329" s="242" t="s">
        <v>125</v>
      </c>
      <c r="Q329" s="242" t="s">
        <v>125</v>
      </c>
      <c r="R329" s="246" t="s">
        <v>692</v>
      </c>
      <c r="S329" s="246"/>
      <c r="T329" s="273"/>
      <c r="U329" s="273"/>
    </row>
    <row r="330" ht="15.75" hidden="1" customHeight="1">
      <c r="A330" s="103" t="s">
        <v>92</v>
      </c>
      <c r="B330" s="104" t="str">
        <f>"AddressLine4"</f>
        <v>AddressLine4</v>
      </c>
      <c r="C330" s="104" t="str">
        <f>"yfs_person_info.address_line4"</f>
        <v>yfs_person_info.address_line4</v>
      </c>
      <c r="D330" s="104" t="str">
        <f t="shared" si="276"/>
        <v>string</v>
      </c>
      <c r="E330" s="105" t="str">
        <f t="shared" si="278"/>
        <v>70</v>
      </c>
      <c r="F330" s="104" t="s">
        <v>693</v>
      </c>
      <c r="G330" s="103" t="str">
        <f t="shared" ref="G330:G334" si="282">"O"</f>
        <v>O</v>
      </c>
      <c r="H330" s="103" t="str">
        <f t="shared" ref="H330:H334" si="283">"space"</f>
        <v>space</v>
      </c>
      <c r="I330" s="104" t="str">
        <f t="shared" ref="I330:J330" si="281">""</f>
        <v/>
      </c>
      <c r="J330" s="104" t="str">
        <f t="shared" si="281"/>
        <v/>
      </c>
      <c r="K330" s="104"/>
      <c r="L330" s="105"/>
      <c r="M330" s="104"/>
      <c r="N330" s="104"/>
      <c r="O330" s="104"/>
      <c r="P330" s="104"/>
      <c r="Q330" s="104"/>
      <c r="R330" s="104"/>
      <c r="S330" s="104"/>
      <c r="T330" s="107"/>
      <c r="U330" s="107"/>
    </row>
    <row r="331" ht="15.75" hidden="1" customHeight="1">
      <c r="A331" s="103" t="s">
        <v>92</v>
      </c>
      <c r="B331" s="104" t="str">
        <f>"AddressLine5"</f>
        <v>AddressLine5</v>
      </c>
      <c r="C331" s="104" t="str">
        <f>"yfs_person_info.address_line5"</f>
        <v>yfs_person_info.address_line5</v>
      </c>
      <c r="D331" s="104" t="str">
        <f t="shared" si="276"/>
        <v>string</v>
      </c>
      <c r="E331" s="105" t="str">
        <f t="shared" si="278"/>
        <v>70</v>
      </c>
      <c r="F331" s="104" t="s">
        <v>694</v>
      </c>
      <c r="G331" s="103" t="str">
        <f t="shared" si="282"/>
        <v>O</v>
      </c>
      <c r="H331" s="103" t="str">
        <f t="shared" si="283"/>
        <v>space</v>
      </c>
      <c r="I331" s="104" t="str">
        <f t="shared" ref="I331:J331" si="284">""</f>
        <v/>
      </c>
      <c r="J331" s="104" t="str">
        <f t="shared" si="284"/>
        <v/>
      </c>
      <c r="K331" s="104"/>
      <c r="L331" s="105"/>
      <c r="M331" s="104"/>
      <c r="N331" s="104"/>
      <c r="O331" s="104"/>
      <c r="P331" s="104"/>
      <c r="Q331" s="104"/>
      <c r="R331" s="104"/>
      <c r="S331" s="104"/>
      <c r="T331" s="107"/>
      <c r="U331" s="107"/>
    </row>
    <row r="332" ht="15.75" hidden="1" customHeight="1">
      <c r="A332" s="103" t="s">
        <v>92</v>
      </c>
      <c r="B332" s="104" t="str">
        <f>"AddressLine6"</f>
        <v>AddressLine6</v>
      </c>
      <c r="C332" s="104" t="str">
        <f>"yfs_person_info.address_line6"</f>
        <v>yfs_person_info.address_line6</v>
      </c>
      <c r="D332" s="104" t="str">
        <f t="shared" si="276"/>
        <v>string</v>
      </c>
      <c r="E332" s="105" t="str">
        <f t="shared" si="278"/>
        <v>70</v>
      </c>
      <c r="F332" s="104" t="s">
        <v>695</v>
      </c>
      <c r="G332" s="103" t="str">
        <f t="shared" si="282"/>
        <v>O</v>
      </c>
      <c r="H332" s="103" t="str">
        <f t="shared" si="283"/>
        <v>space</v>
      </c>
      <c r="I332" s="104" t="str">
        <f t="shared" ref="I332:J332" si="285">""</f>
        <v/>
      </c>
      <c r="J332" s="104" t="str">
        <f t="shared" si="285"/>
        <v/>
      </c>
      <c r="K332" s="104"/>
      <c r="L332" s="105"/>
      <c r="M332" s="104"/>
      <c r="N332" s="104"/>
      <c r="O332" s="104"/>
      <c r="P332" s="104"/>
      <c r="Q332" s="104"/>
      <c r="R332" s="104"/>
      <c r="S332" s="104"/>
      <c r="T332" s="107"/>
      <c r="U332" s="107"/>
    </row>
    <row r="333" ht="15.75" hidden="1" customHeight="1">
      <c r="A333" s="103" t="s">
        <v>92</v>
      </c>
      <c r="B333" s="104" t="str">
        <f>"AlternateEmailID"</f>
        <v>AlternateEmailID</v>
      </c>
      <c r="C333" s="104" t="str">
        <f>"yfs_person_info.alternate_emailid"</f>
        <v>yfs_person_info.alternate_emailid</v>
      </c>
      <c r="D333" s="104" t="str">
        <f t="shared" si="276"/>
        <v>string</v>
      </c>
      <c r="E333" s="105" t="str">
        <f>"150"</f>
        <v>150</v>
      </c>
      <c r="F333" s="104" t="s">
        <v>696</v>
      </c>
      <c r="G333" s="103" t="str">
        <f t="shared" si="282"/>
        <v>O</v>
      </c>
      <c r="H333" s="103" t="str">
        <f t="shared" si="283"/>
        <v>space</v>
      </c>
      <c r="I333" s="104" t="str">
        <f t="shared" ref="I333:I334" si="286">""</f>
        <v/>
      </c>
      <c r="J333" s="104" t="str">
        <f>"john.doe@workplace.com"</f>
        <v>john.doe@workplace.com</v>
      </c>
      <c r="K333" s="104"/>
      <c r="L333" s="105"/>
      <c r="M333" s="104"/>
      <c r="N333" s="104"/>
      <c r="O333" s="104"/>
      <c r="P333" s="104"/>
      <c r="Q333" s="104"/>
      <c r="R333" s="104"/>
      <c r="S333" s="104"/>
      <c r="T333" s="107"/>
      <c r="U333" s="107"/>
    </row>
    <row r="334" ht="15.75" hidden="1" customHeight="1">
      <c r="A334" s="103" t="s">
        <v>92</v>
      </c>
      <c r="B334" s="104" t="str">
        <f>"Beeper"</f>
        <v>Beeper</v>
      </c>
      <c r="C334" s="104" t="str">
        <f>"yfs_person_info.beeper"</f>
        <v>yfs_person_info.beeper</v>
      </c>
      <c r="D334" s="104" t="str">
        <f t="shared" si="276"/>
        <v>string</v>
      </c>
      <c r="E334" s="105" t="str">
        <f>"40"</f>
        <v>40</v>
      </c>
      <c r="F334" s="104" t="s">
        <v>697</v>
      </c>
      <c r="G334" s="103" t="str">
        <f t="shared" si="282"/>
        <v>O</v>
      </c>
      <c r="H334" s="103" t="str">
        <f t="shared" si="283"/>
        <v>space</v>
      </c>
      <c r="I334" s="104" t="str">
        <f t="shared" si="286"/>
        <v/>
      </c>
      <c r="J334" s="104" t="str">
        <f>""</f>
        <v/>
      </c>
      <c r="K334" s="104"/>
      <c r="L334" s="105"/>
      <c r="M334" s="104"/>
      <c r="N334" s="104"/>
      <c r="O334" s="104"/>
      <c r="P334" s="104"/>
      <c r="Q334" s="104"/>
      <c r="R334" s="104"/>
      <c r="S334" s="104"/>
      <c r="T334" s="107"/>
      <c r="U334" s="107"/>
    </row>
    <row r="335" hidden="1">
      <c r="A335" s="117" t="s">
        <v>92</v>
      </c>
      <c r="B335" s="86" t="s">
        <v>698</v>
      </c>
      <c r="C335" s="104" t="str">
        <f>"yfs_person_info.address_line4"</f>
        <v>yfs_person_info.address_line4</v>
      </c>
      <c r="D335" s="104" t="str">
        <f t="shared" si="276"/>
        <v>string</v>
      </c>
      <c r="E335" s="103" t="str">
        <f t="shared" ref="E335:E337" si="287">"70"</f>
        <v>70</v>
      </c>
      <c r="F335" s="233"/>
      <c r="G335" s="224" t="s">
        <v>77</v>
      </c>
      <c r="H335" s="103"/>
      <c r="I335" s="104"/>
      <c r="J335" s="104"/>
      <c r="K335" s="104"/>
      <c r="L335" s="224" t="s">
        <v>92</v>
      </c>
      <c r="M335" s="242" t="s">
        <v>125</v>
      </c>
      <c r="N335" s="242"/>
      <c r="O335" s="242" t="s">
        <v>125</v>
      </c>
      <c r="P335" s="242" t="s">
        <v>125</v>
      </c>
      <c r="Q335" s="242" t="s">
        <v>125</v>
      </c>
      <c r="R335" s="246" t="s">
        <v>699</v>
      </c>
      <c r="S335" s="246"/>
      <c r="T335" s="273"/>
      <c r="U335" s="273"/>
    </row>
    <row r="336" hidden="1">
      <c r="A336" s="117" t="s">
        <v>92</v>
      </c>
      <c r="B336" s="175" t="s">
        <v>700</v>
      </c>
      <c r="C336" s="104" t="str">
        <f>"yfs_person_info.address_line5"</f>
        <v>yfs_person_info.address_line5</v>
      </c>
      <c r="D336" s="104" t="str">
        <f t="shared" si="276"/>
        <v>string</v>
      </c>
      <c r="E336" s="103" t="str">
        <f t="shared" si="287"/>
        <v>70</v>
      </c>
      <c r="F336" s="233"/>
      <c r="G336" s="224" t="s">
        <v>77</v>
      </c>
      <c r="H336" s="103"/>
      <c r="I336" s="104"/>
      <c r="J336" s="104"/>
      <c r="K336" s="104"/>
      <c r="L336" s="224" t="s">
        <v>92</v>
      </c>
      <c r="M336" s="242" t="s">
        <v>125</v>
      </c>
      <c r="N336" s="242"/>
      <c r="O336" s="242" t="s">
        <v>125</v>
      </c>
      <c r="P336" s="242" t="s">
        <v>125</v>
      </c>
      <c r="Q336" s="242" t="s">
        <v>125</v>
      </c>
      <c r="R336" s="246" t="s">
        <v>701</v>
      </c>
      <c r="S336" s="246"/>
      <c r="T336" s="273"/>
      <c r="U336" s="273"/>
    </row>
    <row r="337" hidden="1">
      <c r="A337" s="117" t="s">
        <v>92</v>
      </c>
      <c r="B337" s="175" t="s">
        <v>702</v>
      </c>
      <c r="C337" s="104" t="str">
        <f>"yfs_person_info.address_line6"</f>
        <v>yfs_person_info.address_line6</v>
      </c>
      <c r="D337" s="104" t="str">
        <f t="shared" si="276"/>
        <v>string</v>
      </c>
      <c r="E337" s="103" t="str">
        <f t="shared" si="287"/>
        <v>70</v>
      </c>
      <c r="F337" s="233"/>
      <c r="G337" s="224" t="s">
        <v>77</v>
      </c>
      <c r="H337" s="103"/>
      <c r="I337" s="104"/>
      <c r="J337" s="104"/>
      <c r="K337" s="104"/>
      <c r="L337" s="224" t="s">
        <v>92</v>
      </c>
      <c r="M337" s="242" t="s">
        <v>125</v>
      </c>
      <c r="N337" s="242"/>
      <c r="O337" s="242" t="s">
        <v>125</v>
      </c>
      <c r="P337" s="242" t="s">
        <v>125</v>
      </c>
      <c r="Q337" s="242" t="s">
        <v>125</v>
      </c>
      <c r="R337" s="246" t="s">
        <v>703</v>
      </c>
      <c r="S337" s="246"/>
      <c r="T337" s="273"/>
      <c r="U337" s="273"/>
    </row>
    <row r="338" hidden="1">
      <c r="A338" s="117" t="s">
        <v>92</v>
      </c>
      <c r="B338" s="104" t="str">
        <f>"City"</f>
        <v>City</v>
      </c>
      <c r="C338" s="104" t="str">
        <f>"yfs_person_info.city"</f>
        <v>yfs_person_info.city</v>
      </c>
      <c r="D338" s="104" t="str">
        <f t="shared" si="276"/>
        <v>string</v>
      </c>
      <c r="E338" s="103" t="str">
        <f>"35"</f>
        <v>35</v>
      </c>
      <c r="F338" s="233" t="s">
        <v>704</v>
      </c>
      <c r="G338" s="224" t="s">
        <v>77</v>
      </c>
      <c r="H338" s="103" t="str">
        <f t="shared" ref="H338:I338" si="288">""</f>
        <v/>
      </c>
      <c r="I338" s="104" t="str">
        <f t="shared" si="288"/>
        <v/>
      </c>
      <c r="J338" s="104" t="str">
        <f>"Foxboro"</f>
        <v>Foxboro</v>
      </c>
      <c r="K338" s="104" t="s">
        <v>686</v>
      </c>
      <c r="L338" s="224" t="s">
        <v>92</v>
      </c>
      <c r="M338" s="242" t="s">
        <v>125</v>
      </c>
      <c r="N338" s="242"/>
      <c r="O338" s="242" t="s">
        <v>125</v>
      </c>
      <c r="P338" s="242" t="s">
        <v>125</v>
      </c>
      <c r="Q338" s="242" t="s">
        <v>125</v>
      </c>
      <c r="R338" s="246" t="s">
        <v>705</v>
      </c>
      <c r="S338" s="246"/>
      <c r="T338" s="273"/>
      <c r="U338" s="273"/>
    </row>
    <row r="339" ht="15.75" hidden="1" customHeight="1">
      <c r="A339" s="117" t="s">
        <v>92</v>
      </c>
      <c r="B339" s="104" t="str">
        <f>"Company"</f>
        <v>Company</v>
      </c>
      <c r="C339" s="104" t="str">
        <f>"yfs_person_info.company"</f>
        <v>yfs_person_info.company</v>
      </c>
      <c r="D339" s="104" t="s">
        <v>131</v>
      </c>
      <c r="E339" s="103">
        <v>100.0</v>
      </c>
      <c r="F339" s="233" t="s">
        <v>706</v>
      </c>
      <c r="G339" s="224" t="s">
        <v>77</v>
      </c>
      <c r="H339" s="103" t="str">
        <f t="shared" ref="H339:I339" si="289">""</f>
        <v/>
      </c>
      <c r="I339" s="104" t="str">
        <f t="shared" si="289"/>
        <v/>
      </c>
      <c r="J339" s="104" t="str">
        <f>"Things 'R Us"</f>
        <v>Things 'R Us</v>
      </c>
      <c r="K339" s="104" t="s">
        <v>707</v>
      </c>
      <c r="L339" s="224" t="s">
        <v>92</v>
      </c>
      <c r="M339" s="242" t="s">
        <v>125</v>
      </c>
      <c r="N339" s="242"/>
      <c r="O339" s="242" t="s">
        <v>125</v>
      </c>
      <c r="P339" s="242" t="s">
        <v>125</v>
      </c>
      <c r="Q339" s="242" t="s">
        <v>125</v>
      </c>
      <c r="R339" s="246" t="s">
        <v>662</v>
      </c>
      <c r="S339" s="246"/>
      <c r="T339" s="273"/>
      <c r="U339" s="273"/>
    </row>
    <row r="340" hidden="1">
      <c r="A340" s="117" t="s">
        <v>92</v>
      </c>
      <c r="B340" s="104" t="str">
        <f>"Country"</f>
        <v>Country</v>
      </c>
      <c r="C340" s="104" t="str">
        <f>"yfs_person_info.country"</f>
        <v>yfs_person_info.country</v>
      </c>
      <c r="D340" s="104" t="str">
        <f t="shared" ref="D340:D342" si="291">"string"</f>
        <v>string</v>
      </c>
      <c r="E340" s="103" t="str">
        <f t="shared" ref="E340:E342" si="292">"40"</f>
        <v>40</v>
      </c>
      <c r="F340" s="233" t="s">
        <v>708</v>
      </c>
      <c r="G340" s="224" t="s">
        <v>77</v>
      </c>
      <c r="H340" s="103" t="str">
        <f t="shared" ref="H340:I340" si="290">""</f>
        <v/>
      </c>
      <c r="I340" s="104" t="str">
        <f t="shared" si="290"/>
        <v/>
      </c>
      <c r="J340" s="104" t="s">
        <v>709</v>
      </c>
      <c r="K340" s="104" t="s">
        <v>710</v>
      </c>
      <c r="L340" s="224" t="s">
        <v>92</v>
      </c>
      <c r="M340" s="242" t="s">
        <v>125</v>
      </c>
      <c r="N340" s="242"/>
      <c r="O340" s="242" t="s">
        <v>125</v>
      </c>
      <c r="P340" s="242" t="s">
        <v>125</v>
      </c>
      <c r="Q340" s="242" t="s">
        <v>125</v>
      </c>
      <c r="R340" s="246" t="s">
        <v>711</v>
      </c>
      <c r="S340" s="246"/>
      <c r="T340" s="273"/>
      <c r="U340" s="273"/>
    </row>
    <row r="341" ht="15.75" hidden="1" customHeight="1">
      <c r="A341" s="103" t="s">
        <v>92</v>
      </c>
      <c r="B341" s="104" t="str">
        <f>"DayFaxNo"</f>
        <v>DayFaxNo</v>
      </c>
      <c r="C341" s="104" t="str">
        <f>"yfs_person_info.day_fax_no"</f>
        <v>yfs_person_info.day_fax_no</v>
      </c>
      <c r="D341" s="104" t="str">
        <f t="shared" si="291"/>
        <v>string</v>
      </c>
      <c r="E341" s="105" t="str">
        <f t="shared" si="292"/>
        <v>40</v>
      </c>
      <c r="F341" s="104" t="s">
        <v>712</v>
      </c>
      <c r="G341" s="103" t="str">
        <f>"O"</f>
        <v>O</v>
      </c>
      <c r="H341" s="103" t="str">
        <f>"space"</f>
        <v>space</v>
      </c>
      <c r="I341" s="104" t="str">
        <f t="shared" ref="I341:J341" si="293">""</f>
        <v/>
      </c>
      <c r="J341" s="104" t="str">
        <f t="shared" si="293"/>
        <v/>
      </c>
      <c r="K341" s="104"/>
      <c r="L341" s="105"/>
      <c r="M341" s="104"/>
      <c r="N341" s="104"/>
      <c r="O341" s="104"/>
      <c r="P341" s="104"/>
      <c r="Q341" s="104"/>
      <c r="R341" s="104"/>
      <c r="S341" s="104"/>
      <c r="T341" s="107"/>
      <c r="U341" s="107"/>
    </row>
    <row r="342" hidden="1">
      <c r="A342" s="103" t="s">
        <v>92</v>
      </c>
      <c r="B342" s="104" t="str">
        <f>"DayPhone"</f>
        <v>DayPhone</v>
      </c>
      <c r="C342" s="104" t="str">
        <f>"yfs_person_info.day_phone"</f>
        <v>yfs_person_info.day_phone</v>
      </c>
      <c r="D342" s="104" t="str">
        <f t="shared" si="291"/>
        <v>string</v>
      </c>
      <c r="E342" s="103" t="str">
        <f t="shared" si="292"/>
        <v>40</v>
      </c>
      <c r="F342" s="233" t="s">
        <v>713</v>
      </c>
      <c r="G342" s="119" t="s">
        <v>77</v>
      </c>
      <c r="H342" s="103" t="str">
        <f t="shared" ref="H342:I342" si="294">""</f>
        <v/>
      </c>
      <c r="I342" s="104" t="str">
        <f t="shared" si="294"/>
        <v/>
      </c>
      <c r="J342" s="104" t="str">
        <f>"(508) 555-1212"</f>
        <v>(508) 555-1212</v>
      </c>
      <c r="K342" s="104" t="s">
        <v>686</v>
      </c>
      <c r="L342" s="103"/>
      <c r="M342" s="246" t="s">
        <v>714</v>
      </c>
      <c r="N342" s="246"/>
      <c r="O342" s="246" t="s">
        <v>714</v>
      </c>
      <c r="P342" s="246" t="s">
        <v>714</v>
      </c>
      <c r="Q342" s="246" t="s">
        <v>714</v>
      </c>
      <c r="R342" s="246" t="s">
        <v>714</v>
      </c>
      <c r="S342" s="246"/>
      <c r="T342" s="273"/>
      <c r="U342" s="273"/>
    </row>
    <row r="343" ht="15.75" hidden="1" customHeight="1">
      <c r="A343" s="103" t="s">
        <v>92</v>
      </c>
      <c r="B343" s="104" t="str">
        <f>"Department"</f>
        <v>Department</v>
      </c>
      <c r="C343" s="104" t="str">
        <f>"yfs_person_info.department"</f>
        <v>yfs_person_info.department</v>
      </c>
      <c r="D343" s="104" t="str">
        <f>"UNKNOWN"</f>
        <v>UNKNOWN</v>
      </c>
      <c r="E343" s="105" t="str">
        <f>""</f>
        <v/>
      </c>
      <c r="F343" s="104" t="s">
        <v>715</v>
      </c>
      <c r="G343" s="103" t="str">
        <f>"O"</f>
        <v>O</v>
      </c>
      <c r="H343" s="103" t="str">
        <f>"space"</f>
        <v>space</v>
      </c>
      <c r="I343" s="104" t="str">
        <f t="shared" ref="I343:J343" si="295">""</f>
        <v/>
      </c>
      <c r="J343" s="104" t="str">
        <f t="shared" si="295"/>
        <v/>
      </c>
      <c r="K343" s="104"/>
      <c r="L343" s="105"/>
      <c r="M343" s="104"/>
      <c r="N343" s="104"/>
      <c r="O343" s="104"/>
      <c r="P343" s="104"/>
      <c r="Q343" s="104"/>
      <c r="R343" s="104"/>
      <c r="S343" s="104"/>
      <c r="T343" s="107"/>
      <c r="U343" s="107"/>
    </row>
    <row r="344" ht="15.75" hidden="1" customHeight="1">
      <c r="A344" s="117" t="s">
        <v>92</v>
      </c>
      <c r="B344" s="104" t="str">
        <f>"EMailID"</f>
        <v>EMailID</v>
      </c>
      <c r="C344" s="104" t="str">
        <f>"yfs_person_info.emailid"</f>
        <v>yfs_person_info.emailid</v>
      </c>
      <c r="D344" s="104" t="str">
        <f t="shared" ref="D344:D348" si="297">"string"</f>
        <v>string</v>
      </c>
      <c r="E344" s="103" t="str">
        <f>"150"</f>
        <v>150</v>
      </c>
      <c r="F344" s="233" t="s">
        <v>716</v>
      </c>
      <c r="G344" s="224" t="s">
        <v>77</v>
      </c>
      <c r="H344" s="103" t="str">
        <f t="shared" ref="H344:I344" si="296">""</f>
        <v/>
      </c>
      <c r="I344" s="104" t="str">
        <f t="shared" si="296"/>
        <v/>
      </c>
      <c r="J344" s="104" t="str">
        <f>"john.doe@mail.com"</f>
        <v>john.doe@mail.com</v>
      </c>
      <c r="K344" s="104" t="s">
        <v>686</v>
      </c>
      <c r="L344" s="224" t="s">
        <v>92</v>
      </c>
      <c r="M344" s="242" t="s">
        <v>125</v>
      </c>
      <c r="N344" s="242"/>
      <c r="O344" s="242" t="s">
        <v>125</v>
      </c>
      <c r="P344" s="242" t="s">
        <v>125</v>
      </c>
      <c r="Q344" s="242" t="s">
        <v>125</v>
      </c>
      <c r="R344" s="246" t="s">
        <v>717</v>
      </c>
      <c r="S344" s="246"/>
      <c r="T344" s="273"/>
      <c r="U344" s="273"/>
    </row>
    <row r="345" ht="15.75" hidden="1" customHeight="1">
      <c r="A345" s="103" t="s">
        <v>92</v>
      </c>
      <c r="B345" s="104" t="str">
        <f>"EveningFaxNo"</f>
        <v>EveningFaxNo</v>
      </c>
      <c r="C345" s="104" t="str">
        <f>"yfs_person_info.evening_fax_no"</f>
        <v>yfs_person_info.evening_fax_no</v>
      </c>
      <c r="D345" s="104" t="str">
        <f t="shared" si="297"/>
        <v>string</v>
      </c>
      <c r="E345" s="105" t="str">
        <f t="shared" ref="E345:E346" si="298">"40"</f>
        <v>40</v>
      </c>
      <c r="F345" s="104" t="s">
        <v>718</v>
      </c>
      <c r="G345" s="103" t="str">
        <f t="shared" ref="G345:G346" si="299">"O"</f>
        <v>O</v>
      </c>
      <c r="H345" s="103" t="str">
        <f t="shared" ref="H345:H346" si="300">"space"</f>
        <v>space</v>
      </c>
      <c r="I345" s="104" t="str">
        <f t="shared" ref="I345:I346" si="301">""</f>
        <v/>
      </c>
      <c r="J345" s="104" t="str">
        <f>"(617) 555-3333"</f>
        <v>(617) 555-3333</v>
      </c>
      <c r="K345" s="104"/>
      <c r="L345" s="105"/>
      <c r="M345" s="104"/>
      <c r="N345" s="104"/>
      <c r="O345" s="104"/>
      <c r="P345" s="104"/>
      <c r="Q345" s="104"/>
      <c r="R345" s="104"/>
      <c r="S345" s="104"/>
      <c r="T345" s="107"/>
      <c r="U345" s="107"/>
    </row>
    <row r="346" ht="15.75" hidden="1" customHeight="1">
      <c r="A346" s="103" t="s">
        <v>92</v>
      </c>
      <c r="B346" s="104" t="str">
        <f>"EveningPhone"</f>
        <v>EveningPhone</v>
      </c>
      <c r="C346" s="104" t="str">
        <f>"yfs_person_info.evening_phone"</f>
        <v>yfs_person_info.evening_phone</v>
      </c>
      <c r="D346" s="104" t="str">
        <f t="shared" si="297"/>
        <v>string</v>
      </c>
      <c r="E346" s="105" t="str">
        <f t="shared" si="298"/>
        <v>40</v>
      </c>
      <c r="F346" s="104" t="s">
        <v>719</v>
      </c>
      <c r="G346" s="103" t="str">
        <f t="shared" si="299"/>
        <v>O</v>
      </c>
      <c r="H346" s="103" t="str">
        <f t="shared" si="300"/>
        <v>space</v>
      </c>
      <c r="I346" s="104" t="str">
        <f t="shared" si="301"/>
        <v/>
      </c>
      <c r="J346" s="104" t="str">
        <f>"(617) 555-1212"</f>
        <v>(617) 555-1212</v>
      </c>
      <c r="K346" s="104"/>
      <c r="L346" s="105"/>
      <c r="M346" s="104"/>
      <c r="N346" s="104"/>
      <c r="O346" s="104"/>
      <c r="P346" s="104"/>
      <c r="Q346" s="104"/>
      <c r="R346" s="104"/>
      <c r="S346" s="104"/>
      <c r="T346" s="107"/>
      <c r="U346" s="107"/>
    </row>
    <row r="347" ht="36.75" hidden="1" customHeight="1">
      <c r="A347" s="117" t="s">
        <v>92</v>
      </c>
      <c r="B347" s="104" t="str">
        <f>"FirstName"</f>
        <v>FirstName</v>
      </c>
      <c r="C347" s="104" t="str">
        <f>"yfs_person_info.first_name"</f>
        <v>yfs_person_info.first_name</v>
      </c>
      <c r="D347" s="104" t="str">
        <f t="shared" si="297"/>
        <v>string</v>
      </c>
      <c r="E347" s="103">
        <v>64.0</v>
      </c>
      <c r="F347" s="233" t="s">
        <v>720</v>
      </c>
      <c r="G347" s="224" t="s">
        <v>77</v>
      </c>
      <c r="H347" s="103" t="str">
        <f t="shared" ref="H347:I347" si="302">""</f>
        <v/>
      </c>
      <c r="I347" s="104" t="str">
        <f t="shared" si="302"/>
        <v/>
      </c>
      <c r="J347" s="104" t="str">
        <f>"John"</f>
        <v>John</v>
      </c>
      <c r="K347" s="104" t="s">
        <v>686</v>
      </c>
      <c r="L347" s="224" t="s">
        <v>92</v>
      </c>
      <c r="M347" s="242" t="s">
        <v>125</v>
      </c>
      <c r="N347" s="242"/>
      <c r="O347" s="242" t="s">
        <v>125</v>
      </c>
      <c r="P347" s="242" t="s">
        <v>125</v>
      </c>
      <c r="Q347" s="242" t="s">
        <v>125</v>
      </c>
      <c r="R347" s="246" t="s">
        <v>721</v>
      </c>
      <c r="S347" s="246"/>
      <c r="T347" s="273"/>
      <c r="U347" s="273"/>
    </row>
    <row r="348" ht="15.75" hidden="1" customHeight="1">
      <c r="A348" s="103" t="s">
        <v>92</v>
      </c>
      <c r="B348" s="104" t="str">
        <f>"IsCommercialAddress"</f>
        <v>IsCommercialAddress</v>
      </c>
      <c r="C348" s="104" t="str">
        <f>"yfs_person_info.is_commercial_address"</f>
        <v>yfs_person_info.is_commercial_address</v>
      </c>
      <c r="D348" s="104" t="str">
        <f t="shared" si="297"/>
        <v>string</v>
      </c>
      <c r="E348" s="105" t="str">
        <f>"1"</f>
        <v>1</v>
      </c>
      <c r="F348" s="104" t="s">
        <v>722</v>
      </c>
      <c r="G348" s="103" t="str">
        <f t="shared" ref="G348:G349" si="303">"O"</f>
        <v>O</v>
      </c>
      <c r="H348" s="103" t="str">
        <f>"null"</f>
        <v>null</v>
      </c>
      <c r="I348" s="104" t="str">
        <f t="shared" ref="I348:I349" si="304">""</f>
        <v/>
      </c>
      <c r="J348" s="104" t="str">
        <f>"Y"</f>
        <v>Y</v>
      </c>
      <c r="K348" s="104"/>
      <c r="L348" s="105"/>
      <c r="M348" s="104"/>
      <c r="N348" s="104"/>
      <c r="O348" s="104"/>
      <c r="P348" s="104"/>
      <c r="Q348" s="104"/>
      <c r="R348" s="104"/>
      <c r="S348" s="104"/>
      <c r="T348" s="107"/>
      <c r="U348" s="107"/>
    </row>
    <row r="349" ht="15.75" hidden="1" customHeight="1">
      <c r="A349" s="103" t="s">
        <v>92</v>
      </c>
      <c r="B349" s="104" t="str">
        <f>"JobTitle"</f>
        <v>JobTitle</v>
      </c>
      <c r="C349" s="104" t="str">
        <f>"yfs_person_info.job_title"</f>
        <v>yfs_person_info.job_title</v>
      </c>
      <c r="D349" s="104" t="str">
        <f>"UNKNOWN"</f>
        <v>UNKNOWN</v>
      </c>
      <c r="E349" s="105" t="str">
        <f>""</f>
        <v/>
      </c>
      <c r="F349" s="104" t="s">
        <v>723</v>
      </c>
      <c r="G349" s="103" t="str">
        <f t="shared" si="303"/>
        <v>O</v>
      </c>
      <c r="H349" s="103" t="str">
        <f>"space"</f>
        <v>space</v>
      </c>
      <c r="I349" s="104" t="str">
        <f t="shared" si="304"/>
        <v/>
      </c>
      <c r="J349" s="104" t="str">
        <f>"Procurement Manager"</f>
        <v>Procurement Manager</v>
      </c>
      <c r="K349" s="104"/>
      <c r="L349" s="105"/>
      <c r="M349" s="104"/>
      <c r="N349" s="104"/>
      <c r="O349" s="104"/>
      <c r="P349" s="104"/>
      <c r="Q349" s="104"/>
      <c r="R349" s="104"/>
      <c r="S349" s="104"/>
      <c r="T349" s="107"/>
      <c r="U349" s="107"/>
    </row>
    <row r="350" ht="15.75" hidden="1" customHeight="1">
      <c r="A350" s="117" t="s">
        <v>92</v>
      </c>
      <c r="B350" s="104" t="str">
        <f>"LastName"</f>
        <v>LastName</v>
      </c>
      <c r="C350" s="104" t="str">
        <f>"yfs_person_info.last_name"</f>
        <v>yfs_person_info.last_name</v>
      </c>
      <c r="D350" s="104" t="str">
        <f>"string"</f>
        <v>string</v>
      </c>
      <c r="E350" s="103">
        <v>64.0</v>
      </c>
      <c r="F350" s="233" t="s">
        <v>724</v>
      </c>
      <c r="G350" s="224" t="s">
        <v>77</v>
      </c>
      <c r="H350" s="103" t="str">
        <f t="shared" ref="H350:I350" si="305">""</f>
        <v/>
      </c>
      <c r="I350" s="104" t="str">
        <f t="shared" si="305"/>
        <v/>
      </c>
      <c r="J350" s="104" t="str">
        <f>"Doe"</f>
        <v>Doe</v>
      </c>
      <c r="K350" s="104" t="s">
        <v>686</v>
      </c>
      <c r="L350" s="224" t="s">
        <v>92</v>
      </c>
      <c r="M350" s="242" t="s">
        <v>125</v>
      </c>
      <c r="N350" s="242"/>
      <c r="O350" s="242" t="s">
        <v>125</v>
      </c>
      <c r="P350" s="242" t="s">
        <v>125</v>
      </c>
      <c r="Q350" s="242" t="s">
        <v>125</v>
      </c>
      <c r="R350" s="246" t="s">
        <v>725</v>
      </c>
      <c r="S350" s="246"/>
      <c r="T350" s="273"/>
      <c r="U350" s="273"/>
    </row>
    <row r="351" ht="15.75" hidden="1" customHeight="1">
      <c r="A351" s="117" t="s">
        <v>92</v>
      </c>
      <c r="B351" s="104" t="str">
        <f>"MiddleName"</f>
        <v>MiddleName</v>
      </c>
      <c r="C351" s="104" t="str">
        <f>"yfs_person_info.middle_name"</f>
        <v>yfs_person_info.middle_name</v>
      </c>
      <c r="D351" s="104" t="str">
        <f>"UNKNOWN"</f>
        <v>UNKNOWN</v>
      </c>
      <c r="E351" s="103" t="str">
        <f>""</f>
        <v/>
      </c>
      <c r="F351" s="233" t="s">
        <v>726</v>
      </c>
      <c r="G351" s="224" t="s">
        <v>77</v>
      </c>
      <c r="H351" s="103" t="str">
        <f t="shared" ref="H351:I351" si="306">""</f>
        <v/>
      </c>
      <c r="I351" s="104" t="str">
        <f t="shared" si="306"/>
        <v/>
      </c>
      <c r="J351" s="104" t="str">
        <f>"E"</f>
        <v>E</v>
      </c>
      <c r="K351" s="104"/>
      <c r="L351" s="224" t="s">
        <v>92</v>
      </c>
      <c r="M351" s="242" t="s">
        <v>125</v>
      </c>
      <c r="N351" s="242"/>
      <c r="O351" s="242" t="s">
        <v>125</v>
      </c>
      <c r="P351" s="242" t="s">
        <v>125</v>
      </c>
      <c r="Q351" s="242" t="s">
        <v>125</v>
      </c>
      <c r="R351" s="246" t="s">
        <v>727</v>
      </c>
      <c r="S351" s="246"/>
      <c r="T351" s="273"/>
      <c r="U351" s="273"/>
    </row>
    <row r="352" ht="15.75" hidden="1" customHeight="1">
      <c r="A352" s="103"/>
      <c r="B352" s="104" t="str">
        <f>"OtherPhone"</f>
        <v>OtherPhone</v>
      </c>
      <c r="C352" s="104" t="str">
        <f>"yfs_person_info.other_phone"</f>
        <v>yfs_person_info.other_phone</v>
      </c>
      <c r="D352" s="104" t="str">
        <f>"string"</f>
        <v>string</v>
      </c>
      <c r="E352" s="105" t="str">
        <f>"40"</f>
        <v>40</v>
      </c>
      <c r="F352" s="104" t="s">
        <v>728</v>
      </c>
      <c r="G352" s="103" t="str">
        <f t="shared" ref="G352:G353" si="307">"O"</f>
        <v>O</v>
      </c>
      <c r="H352" s="103" t="str">
        <f t="shared" ref="H352:H354" si="308">"space"</f>
        <v>space</v>
      </c>
      <c r="I352" s="104" t="str">
        <f t="shared" ref="I352:I354" si="309">""</f>
        <v/>
      </c>
      <c r="J352" s="104" t="str">
        <f>"(781) 555-1212"</f>
        <v>(781) 555-1212</v>
      </c>
      <c r="K352" s="104"/>
      <c r="L352" s="105"/>
      <c r="M352" s="104"/>
      <c r="N352" s="104"/>
      <c r="O352" s="104"/>
      <c r="P352" s="104"/>
      <c r="Q352" s="104"/>
      <c r="R352" s="104"/>
      <c r="S352" s="104"/>
      <c r="T352" s="107"/>
      <c r="U352" s="107"/>
    </row>
    <row r="353" ht="15.75" hidden="1" customHeight="1">
      <c r="A353" s="103"/>
      <c r="B353" s="104" t="str">
        <f>"PersonID"</f>
        <v>PersonID</v>
      </c>
      <c r="C353" s="104" t="str">
        <f>"yfs_person_info.person_id"</f>
        <v>yfs_person_info.person_id</v>
      </c>
      <c r="D353" s="104" t="str">
        <f>"UNKNOWN"</f>
        <v>UNKNOWN</v>
      </c>
      <c r="E353" s="105" t="str">
        <f>""</f>
        <v/>
      </c>
      <c r="F353" s="104" t="s">
        <v>729</v>
      </c>
      <c r="G353" s="103" t="str">
        <f t="shared" si="307"/>
        <v>O</v>
      </c>
      <c r="H353" s="103" t="str">
        <f t="shared" si="308"/>
        <v>space</v>
      </c>
      <c r="I353" s="104" t="str">
        <f t="shared" si="309"/>
        <v/>
      </c>
      <c r="J353" s="104" t="str">
        <f>""</f>
        <v/>
      </c>
      <c r="K353" s="104"/>
      <c r="L353" s="105"/>
      <c r="M353" s="104"/>
      <c r="N353" s="104"/>
      <c r="O353" s="104"/>
      <c r="P353" s="104"/>
      <c r="Q353" s="104"/>
      <c r="R353" s="104"/>
      <c r="S353" s="104"/>
      <c r="T353" s="107"/>
      <c r="U353" s="107"/>
    </row>
    <row r="354" ht="15.75" hidden="1" customHeight="1">
      <c r="A354" s="117" t="s">
        <v>92</v>
      </c>
      <c r="B354" s="104" t="str">
        <f>"MobilePhone"</f>
        <v>MobilePhone</v>
      </c>
      <c r="C354" s="104" t="str">
        <f>"yfs_person_info.mobile_phone"</f>
        <v>yfs_person_info.mobile_phone</v>
      </c>
      <c r="D354" s="104" t="str">
        <f t="shared" ref="D354:D355" si="310">"string"</f>
        <v>string</v>
      </c>
      <c r="E354" s="103" t="str">
        <f>"40"</f>
        <v>40</v>
      </c>
      <c r="F354" s="104" t="s">
        <v>730</v>
      </c>
      <c r="G354" s="224" t="s">
        <v>77</v>
      </c>
      <c r="H354" s="103" t="str">
        <f t="shared" si="308"/>
        <v>space</v>
      </c>
      <c r="I354" s="104" t="str">
        <f t="shared" si="309"/>
        <v/>
      </c>
      <c r="J354" s="104" t="str">
        <f>"(978) 555-1212"</f>
        <v>(978) 555-1212</v>
      </c>
      <c r="K354" s="104"/>
      <c r="L354" s="224" t="s">
        <v>92</v>
      </c>
      <c r="M354" s="242" t="s">
        <v>125</v>
      </c>
      <c r="N354" s="242"/>
      <c r="O354" s="242" t="s">
        <v>125</v>
      </c>
      <c r="P354" s="242" t="s">
        <v>125</v>
      </c>
      <c r="Q354" s="242" t="s">
        <v>125</v>
      </c>
      <c r="R354" s="104"/>
      <c r="S354" s="104"/>
      <c r="T354" s="107"/>
      <c r="U354" s="107"/>
    </row>
    <row r="355" ht="15.75" hidden="1" customHeight="1">
      <c r="A355" s="117" t="s">
        <v>92</v>
      </c>
      <c r="B355" s="104" t="str">
        <f>"State"</f>
        <v>State</v>
      </c>
      <c r="C355" s="104" t="str">
        <f>"yfs_person_info.state"</f>
        <v>yfs_person_info.state</v>
      </c>
      <c r="D355" s="104" t="str">
        <f t="shared" si="310"/>
        <v>string</v>
      </c>
      <c r="E355" s="103" t="str">
        <f>"35"</f>
        <v>35</v>
      </c>
      <c r="F355" s="233" t="s">
        <v>731</v>
      </c>
      <c r="G355" s="224" t="s">
        <v>77</v>
      </c>
      <c r="H355" s="103" t="str">
        <f t="shared" ref="H355:I355" si="311">""</f>
        <v/>
      </c>
      <c r="I355" s="104" t="str">
        <f t="shared" si="311"/>
        <v/>
      </c>
      <c r="J355" s="104" t="s">
        <v>732</v>
      </c>
      <c r="K355" s="104" t="s">
        <v>733</v>
      </c>
      <c r="L355" s="224" t="s">
        <v>92</v>
      </c>
      <c r="M355" s="242" t="s">
        <v>125</v>
      </c>
      <c r="N355" s="242"/>
      <c r="O355" s="242" t="s">
        <v>125</v>
      </c>
      <c r="P355" s="242" t="s">
        <v>125</v>
      </c>
      <c r="Q355" s="242" t="s">
        <v>125</v>
      </c>
      <c r="R355" s="246" t="s">
        <v>734</v>
      </c>
      <c r="S355" s="246"/>
      <c r="T355" s="273"/>
      <c r="U355" s="273"/>
    </row>
    <row r="356" hidden="1">
      <c r="A356" s="117" t="s">
        <v>92</v>
      </c>
      <c r="B356" s="104" t="str">
        <f>"Suffix"</f>
        <v>Suffix</v>
      </c>
      <c r="C356" s="104" t="str">
        <f>"yfs_person_info.suffix"</f>
        <v>yfs_person_info.suffix</v>
      </c>
      <c r="D356" s="104" t="s">
        <v>131</v>
      </c>
      <c r="E356" s="103">
        <v>40.0</v>
      </c>
      <c r="F356" s="233" t="s">
        <v>735</v>
      </c>
      <c r="G356" s="224" t="s">
        <v>77</v>
      </c>
      <c r="H356" s="103" t="str">
        <f t="shared" ref="H356:J356" si="312">""</f>
        <v/>
      </c>
      <c r="I356" s="104" t="str">
        <f t="shared" si="312"/>
        <v/>
      </c>
      <c r="J356" s="104" t="str">
        <f t="shared" si="312"/>
        <v/>
      </c>
      <c r="K356" s="104" t="s">
        <v>736</v>
      </c>
      <c r="L356" s="224" t="s">
        <v>92</v>
      </c>
      <c r="M356" s="242" t="s">
        <v>125</v>
      </c>
      <c r="N356" s="242"/>
      <c r="O356" s="242" t="s">
        <v>125</v>
      </c>
      <c r="P356" s="242" t="s">
        <v>125</v>
      </c>
      <c r="Q356" s="242" t="s">
        <v>125</v>
      </c>
      <c r="R356" s="246" t="s">
        <v>737</v>
      </c>
      <c r="S356" s="246"/>
      <c r="T356" s="273"/>
      <c r="U356" s="273"/>
    </row>
    <row r="357" ht="15.75" hidden="1" customHeight="1">
      <c r="A357" s="103" t="s">
        <v>92</v>
      </c>
      <c r="B357" s="104" t="str">
        <f>"TaxGeoCode"</f>
        <v>TaxGeoCode</v>
      </c>
      <c r="C357" s="104" t="str">
        <f>"yfs_person_info.tax_geo_code"</f>
        <v>yfs_person_info.tax_geo_code</v>
      </c>
      <c r="D357" s="104" t="str">
        <f>"UNKNOWN"</f>
        <v>UNKNOWN</v>
      </c>
      <c r="E357" s="105" t="str">
        <f>""</f>
        <v/>
      </c>
      <c r="F357" s="104" t="s">
        <v>738</v>
      </c>
      <c r="G357" s="103" t="str">
        <f>"O"</f>
        <v>O</v>
      </c>
      <c r="H357" s="103" t="str">
        <f>"null"</f>
        <v>null</v>
      </c>
      <c r="I357" s="104" t="str">
        <f t="shared" ref="I357:J357" si="313">""</f>
        <v/>
      </c>
      <c r="J357" s="104" t="str">
        <f t="shared" si="313"/>
        <v/>
      </c>
      <c r="K357" s="104"/>
      <c r="L357" s="105"/>
      <c r="M357" s="104"/>
      <c r="N357" s="104"/>
      <c r="O357" s="104"/>
      <c r="P357" s="104"/>
      <c r="Q357" s="104"/>
      <c r="R357" s="104"/>
      <c r="S357" s="104"/>
      <c r="T357" s="107"/>
      <c r="U357" s="107"/>
    </row>
    <row r="358" hidden="1">
      <c r="A358" s="117" t="s">
        <v>92</v>
      </c>
      <c r="B358" s="104" t="str">
        <f>"Title"</f>
        <v>Title</v>
      </c>
      <c r="C358" s="104" t="str">
        <f>"yfs_person_info.title"</f>
        <v>yfs_person_info.title</v>
      </c>
      <c r="D358" s="104" t="s">
        <v>131</v>
      </c>
      <c r="E358" s="103">
        <v>10.0</v>
      </c>
      <c r="F358" s="233" t="s">
        <v>739</v>
      </c>
      <c r="G358" s="224" t="s">
        <v>77</v>
      </c>
      <c r="H358" s="103" t="str">
        <f t="shared" ref="H358:I358" si="314">""</f>
        <v/>
      </c>
      <c r="I358" s="104" t="str">
        <f t="shared" si="314"/>
        <v/>
      </c>
      <c r="J358" s="104" t="str">
        <f>"Mr"</f>
        <v>Mr</v>
      </c>
      <c r="K358" s="104" t="s">
        <v>736</v>
      </c>
      <c r="L358" s="224" t="s">
        <v>92</v>
      </c>
      <c r="M358" s="242" t="s">
        <v>125</v>
      </c>
      <c r="N358" s="242"/>
      <c r="O358" s="242" t="s">
        <v>125</v>
      </c>
      <c r="P358" s="242" t="s">
        <v>125</v>
      </c>
      <c r="Q358" s="242" t="s">
        <v>125</v>
      </c>
      <c r="R358" s="246" t="s">
        <v>737</v>
      </c>
      <c r="S358" s="246"/>
      <c r="T358" s="273"/>
      <c r="U358" s="273"/>
    </row>
    <row r="359" ht="37.5" hidden="1" customHeight="1">
      <c r="A359" s="117" t="s">
        <v>92</v>
      </c>
      <c r="B359" s="104" t="str">
        <f>"IsAddressVerified"</f>
        <v>IsAddressVerified</v>
      </c>
      <c r="C359" s="104" t="str">
        <f>"yfs_person_info.is_address_verified"</f>
        <v>yfs_person_info.is_address_verified</v>
      </c>
      <c r="D359" s="104" t="str">
        <f t="shared" ref="D359:D360" si="315">"string"</f>
        <v>string</v>
      </c>
      <c r="E359" s="103" t="str">
        <f>"1"</f>
        <v>1</v>
      </c>
      <c r="F359" s="233" t="s">
        <v>740</v>
      </c>
      <c r="G359" s="224" t="s">
        <v>77</v>
      </c>
      <c r="H359" s="103"/>
      <c r="I359" s="104" t="s">
        <v>741</v>
      </c>
      <c r="J359" s="104" t="str">
        <f>"Y"</f>
        <v>Y</v>
      </c>
      <c r="K359" s="104"/>
      <c r="L359" s="224" t="s">
        <v>92</v>
      </c>
      <c r="M359" s="242" t="s">
        <v>125</v>
      </c>
      <c r="N359" s="242"/>
      <c r="O359" s="242" t="s">
        <v>125</v>
      </c>
      <c r="P359" s="242" t="s">
        <v>125</v>
      </c>
      <c r="Q359" s="242" t="s">
        <v>125</v>
      </c>
      <c r="R359" s="246" t="s">
        <v>742</v>
      </c>
      <c r="S359" s="246"/>
      <c r="T359" s="273"/>
      <c r="U359" s="273"/>
    </row>
    <row r="360" ht="15.75" hidden="1" customHeight="1">
      <c r="A360" s="117" t="s">
        <v>92</v>
      </c>
      <c r="B360" s="104" t="str">
        <f>"ZipCode"</f>
        <v>ZipCode</v>
      </c>
      <c r="C360" s="104" t="str">
        <f>"yfs_person_info.zip_code"</f>
        <v>yfs_person_info.zip_code</v>
      </c>
      <c r="D360" s="104" t="str">
        <f t="shared" si="315"/>
        <v>string</v>
      </c>
      <c r="E360" s="103" t="str">
        <f>"35"</f>
        <v>35</v>
      </c>
      <c r="F360" s="233" t="s">
        <v>743</v>
      </c>
      <c r="G360" s="224" t="s">
        <v>77</v>
      </c>
      <c r="H360" s="103" t="str">
        <f t="shared" ref="H360:I360" si="316">""</f>
        <v/>
      </c>
      <c r="I360" s="104" t="str">
        <f t="shared" si="316"/>
        <v/>
      </c>
      <c r="J360" s="104" t="str">
        <f>"02035-2531"</f>
        <v>02035-2531</v>
      </c>
      <c r="K360" s="104" t="s">
        <v>686</v>
      </c>
      <c r="L360" s="224" t="s">
        <v>92</v>
      </c>
      <c r="M360" s="242" t="s">
        <v>125</v>
      </c>
      <c r="N360" s="242"/>
      <c r="O360" s="242" t="s">
        <v>125</v>
      </c>
      <c r="P360" s="242" t="s">
        <v>125</v>
      </c>
      <c r="Q360" s="242" t="s">
        <v>125</v>
      </c>
      <c r="R360" s="246" t="s">
        <v>744</v>
      </c>
      <c r="S360" s="246"/>
      <c r="T360" s="273"/>
      <c r="U360" s="273"/>
    </row>
    <row r="361" ht="15.75" hidden="1" customHeight="1">
      <c r="A361" s="196" t="s">
        <v>92</v>
      </c>
      <c r="B361" s="170" t="str">
        <f>"/Order/OrderLines/OrderLine/PersonInfoMarkFor/@"</f>
        <v>/Order/OrderLines/OrderLine/PersonInfoMarkFor/@</v>
      </c>
      <c r="C361" s="170"/>
      <c r="D361" s="170"/>
      <c r="E361" s="170"/>
      <c r="F361" s="170"/>
      <c r="G361" s="196" t="str">
        <f t="shared" ref="G361:G394" si="317">"O"</f>
        <v>O</v>
      </c>
      <c r="H361" s="170"/>
      <c r="I361" s="170"/>
      <c r="J361" s="170"/>
      <c r="K361" s="170"/>
      <c r="L361" s="170"/>
      <c r="M361" s="170"/>
      <c r="N361" s="170"/>
      <c r="O361" s="170"/>
      <c r="P361" s="170"/>
      <c r="Q361" s="170"/>
      <c r="R361" s="170"/>
      <c r="S361" s="170"/>
      <c r="T361" s="197"/>
      <c r="U361" s="197"/>
    </row>
    <row r="362" ht="15.75" hidden="1" customHeight="1">
      <c r="A362" s="103" t="s">
        <v>92</v>
      </c>
      <c r="B362" s="104" t="str">
        <f>"AddressID"</f>
        <v>AddressID</v>
      </c>
      <c r="C362" s="104" t="str">
        <f>"yfs_person_info.address_id"</f>
        <v>yfs_person_info.address_id</v>
      </c>
      <c r="D362" s="104" t="str">
        <f t="shared" ref="D362:D371" si="319">"string"</f>
        <v>string</v>
      </c>
      <c r="E362" s="105" t="str">
        <f>"256"</f>
        <v>256</v>
      </c>
      <c r="F362" s="104" t="s">
        <v>684</v>
      </c>
      <c r="G362" s="103" t="str">
        <f t="shared" si="317"/>
        <v>O</v>
      </c>
      <c r="H362" s="103" t="str">
        <f>"null"</f>
        <v>null</v>
      </c>
      <c r="I362" s="104" t="str">
        <f t="shared" ref="I362:J362" si="318">""</f>
        <v/>
      </c>
      <c r="J362" s="104" t="str">
        <f t="shared" si="318"/>
        <v/>
      </c>
      <c r="K362" s="104"/>
      <c r="L362" s="105"/>
      <c r="M362" s="104"/>
      <c r="N362" s="104"/>
      <c r="O362" s="104"/>
      <c r="P362" s="104"/>
      <c r="Q362" s="104"/>
      <c r="R362" s="104"/>
      <c r="S362" s="104"/>
      <c r="T362" s="107"/>
      <c r="U362" s="107"/>
    </row>
    <row r="363" ht="15.75" hidden="1" customHeight="1">
      <c r="A363" s="103" t="s">
        <v>92</v>
      </c>
      <c r="B363" s="104" t="str">
        <f>"AddressLine1"</f>
        <v>AddressLine1</v>
      </c>
      <c r="C363" s="104" t="str">
        <f>"yfs_person_info.address_line1"</f>
        <v>yfs_person_info.address_line1</v>
      </c>
      <c r="D363" s="104" t="str">
        <f t="shared" si="319"/>
        <v>string</v>
      </c>
      <c r="E363" s="105" t="str">
        <f t="shared" ref="E363:E368" si="320">"70"</f>
        <v>70</v>
      </c>
      <c r="F363" s="104" t="s">
        <v>685</v>
      </c>
      <c r="G363" s="103" t="str">
        <f t="shared" si="317"/>
        <v>O</v>
      </c>
      <c r="H363" s="103" t="str">
        <f t="shared" ref="H363:H380" si="321">"space"</f>
        <v>space</v>
      </c>
      <c r="I363" s="104" t="str">
        <f t="shared" ref="I363:I392" si="322">""</f>
        <v/>
      </c>
      <c r="J363" s="104" t="str">
        <f>"1 Main Street"</f>
        <v>1 Main Street</v>
      </c>
      <c r="K363" s="104"/>
      <c r="L363" s="105"/>
      <c r="M363" s="104"/>
      <c r="N363" s="104"/>
      <c r="O363" s="104"/>
      <c r="P363" s="104"/>
      <c r="Q363" s="104"/>
      <c r="R363" s="104"/>
      <c r="S363" s="104"/>
      <c r="T363" s="107"/>
      <c r="U363" s="107"/>
    </row>
    <row r="364" ht="15.75" hidden="1" customHeight="1">
      <c r="A364" s="103" t="s">
        <v>92</v>
      </c>
      <c r="B364" s="104" t="str">
        <f>"AddressLine2"</f>
        <v>AddressLine2</v>
      </c>
      <c r="C364" s="104" t="str">
        <f>"yfs_person_info.address_line2"</f>
        <v>yfs_person_info.address_line2</v>
      </c>
      <c r="D364" s="104" t="str">
        <f t="shared" si="319"/>
        <v>string</v>
      </c>
      <c r="E364" s="105" t="str">
        <f t="shared" si="320"/>
        <v>70</v>
      </c>
      <c r="F364" s="104" t="s">
        <v>688</v>
      </c>
      <c r="G364" s="103" t="str">
        <f t="shared" si="317"/>
        <v>O</v>
      </c>
      <c r="H364" s="103" t="str">
        <f t="shared" si="321"/>
        <v>space</v>
      </c>
      <c r="I364" s="104" t="str">
        <f t="shared" si="322"/>
        <v/>
      </c>
      <c r="J364" s="104" t="str">
        <f>"Unit A2"</f>
        <v>Unit A2</v>
      </c>
      <c r="K364" s="104"/>
      <c r="L364" s="105"/>
      <c r="M364" s="104"/>
      <c r="N364" s="104"/>
      <c r="O364" s="104"/>
      <c r="P364" s="104"/>
      <c r="Q364" s="104"/>
      <c r="R364" s="104"/>
      <c r="S364" s="104"/>
      <c r="T364" s="107"/>
      <c r="U364" s="107"/>
    </row>
    <row r="365" ht="15.75" hidden="1" customHeight="1">
      <c r="A365" s="103" t="s">
        <v>92</v>
      </c>
      <c r="B365" s="104" t="str">
        <f>"AddressLine3"</f>
        <v>AddressLine3</v>
      </c>
      <c r="C365" s="104" t="str">
        <f>"yfs_person_info.address_line3"</f>
        <v>yfs_person_info.address_line3</v>
      </c>
      <c r="D365" s="104" t="str">
        <f t="shared" si="319"/>
        <v>string</v>
      </c>
      <c r="E365" s="105" t="str">
        <f t="shared" si="320"/>
        <v>70</v>
      </c>
      <c r="F365" s="104" t="s">
        <v>691</v>
      </c>
      <c r="G365" s="103" t="str">
        <f t="shared" si="317"/>
        <v>O</v>
      </c>
      <c r="H365" s="103" t="str">
        <f t="shared" si="321"/>
        <v>space</v>
      </c>
      <c r="I365" s="104" t="str">
        <f t="shared" si="322"/>
        <v/>
      </c>
      <c r="J365" s="104" t="str">
        <f t="shared" ref="J365:J368" si="323">""</f>
        <v/>
      </c>
      <c r="K365" s="104"/>
      <c r="L365" s="105"/>
      <c r="M365" s="104"/>
      <c r="N365" s="104"/>
      <c r="O365" s="104"/>
      <c r="P365" s="104"/>
      <c r="Q365" s="104"/>
      <c r="R365" s="104"/>
      <c r="S365" s="104"/>
      <c r="T365" s="107"/>
      <c r="U365" s="107"/>
    </row>
    <row r="366" ht="15.75" hidden="1" customHeight="1">
      <c r="A366" s="103" t="s">
        <v>92</v>
      </c>
      <c r="B366" s="104" t="str">
        <f>"AddressLine4"</f>
        <v>AddressLine4</v>
      </c>
      <c r="C366" s="104" t="str">
        <f>"yfs_person_info.address_line4"</f>
        <v>yfs_person_info.address_line4</v>
      </c>
      <c r="D366" s="104" t="str">
        <f t="shared" si="319"/>
        <v>string</v>
      </c>
      <c r="E366" s="105" t="str">
        <f t="shared" si="320"/>
        <v>70</v>
      </c>
      <c r="F366" s="104" t="s">
        <v>693</v>
      </c>
      <c r="G366" s="103" t="str">
        <f t="shared" si="317"/>
        <v>O</v>
      </c>
      <c r="H366" s="103" t="str">
        <f t="shared" si="321"/>
        <v>space</v>
      </c>
      <c r="I366" s="104" t="str">
        <f t="shared" si="322"/>
        <v/>
      </c>
      <c r="J366" s="104" t="str">
        <f t="shared" si="323"/>
        <v/>
      </c>
      <c r="K366" s="104"/>
      <c r="L366" s="105"/>
      <c r="M366" s="104"/>
      <c r="N366" s="104"/>
      <c r="O366" s="104"/>
      <c r="P366" s="104"/>
      <c r="Q366" s="104"/>
      <c r="R366" s="104"/>
      <c r="S366" s="104"/>
      <c r="T366" s="107"/>
      <c r="U366" s="107"/>
    </row>
    <row r="367" ht="15.75" hidden="1" customHeight="1">
      <c r="A367" s="103" t="s">
        <v>92</v>
      </c>
      <c r="B367" s="104" t="str">
        <f>"AddressLine5"</f>
        <v>AddressLine5</v>
      </c>
      <c r="C367" s="104" t="str">
        <f>"yfs_person_info.address_line5"</f>
        <v>yfs_person_info.address_line5</v>
      </c>
      <c r="D367" s="104" t="str">
        <f t="shared" si="319"/>
        <v>string</v>
      </c>
      <c r="E367" s="105" t="str">
        <f t="shared" si="320"/>
        <v>70</v>
      </c>
      <c r="F367" s="104" t="s">
        <v>694</v>
      </c>
      <c r="G367" s="103" t="str">
        <f t="shared" si="317"/>
        <v>O</v>
      </c>
      <c r="H367" s="103" t="str">
        <f t="shared" si="321"/>
        <v>space</v>
      </c>
      <c r="I367" s="104" t="str">
        <f t="shared" si="322"/>
        <v/>
      </c>
      <c r="J367" s="104" t="str">
        <f t="shared" si="323"/>
        <v/>
      </c>
      <c r="K367" s="104"/>
      <c r="L367" s="105"/>
      <c r="M367" s="104"/>
      <c r="N367" s="104"/>
      <c r="O367" s="104"/>
      <c r="P367" s="104"/>
      <c r="Q367" s="104"/>
      <c r="R367" s="104"/>
      <c r="S367" s="104"/>
      <c r="T367" s="107"/>
      <c r="U367" s="107"/>
    </row>
    <row r="368" ht="15.75" hidden="1" customHeight="1">
      <c r="A368" s="103" t="s">
        <v>92</v>
      </c>
      <c r="B368" s="104" t="str">
        <f>"AddressLine6"</f>
        <v>AddressLine6</v>
      </c>
      <c r="C368" s="104" t="str">
        <f>"yfs_person_info.address_line6"</f>
        <v>yfs_person_info.address_line6</v>
      </c>
      <c r="D368" s="104" t="str">
        <f t="shared" si="319"/>
        <v>string</v>
      </c>
      <c r="E368" s="105" t="str">
        <f t="shared" si="320"/>
        <v>70</v>
      </c>
      <c r="F368" s="104" t="s">
        <v>695</v>
      </c>
      <c r="G368" s="103" t="str">
        <f t="shared" si="317"/>
        <v>O</v>
      </c>
      <c r="H368" s="103" t="str">
        <f t="shared" si="321"/>
        <v>space</v>
      </c>
      <c r="I368" s="104" t="str">
        <f t="shared" si="322"/>
        <v/>
      </c>
      <c r="J368" s="104" t="str">
        <f t="shared" si="323"/>
        <v/>
      </c>
      <c r="K368" s="104"/>
      <c r="L368" s="105"/>
      <c r="M368" s="104"/>
      <c r="N368" s="104"/>
      <c r="O368" s="104"/>
      <c r="P368" s="104"/>
      <c r="Q368" s="104"/>
      <c r="R368" s="104"/>
      <c r="S368" s="104"/>
      <c r="T368" s="107"/>
      <c r="U368" s="107"/>
    </row>
    <row r="369" ht="15.75" hidden="1" customHeight="1">
      <c r="A369" s="103" t="s">
        <v>92</v>
      </c>
      <c r="B369" s="104" t="str">
        <f>"AlternateEmailID"</f>
        <v>AlternateEmailID</v>
      </c>
      <c r="C369" s="104" t="str">
        <f>"yfs_person_info.alternate_emailid"</f>
        <v>yfs_person_info.alternate_emailid</v>
      </c>
      <c r="D369" s="104" t="str">
        <f t="shared" si="319"/>
        <v>string</v>
      </c>
      <c r="E369" s="105" t="str">
        <f>"150"</f>
        <v>150</v>
      </c>
      <c r="F369" s="104" t="s">
        <v>696</v>
      </c>
      <c r="G369" s="103" t="str">
        <f t="shared" si="317"/>
        <v>O</v>
      </c>
      <c r="H369" s="103" t="str">
        <f t="shared" si="321"/>
        <v>space</v>
      </c>
      <c r="I369" s="104" t="str">
        <f t="shared" si="322"/>
        <v/>
      </c>
      <c r="J369" s="104" t="str">
        <f>"john.doe@workplace.com"</f>
        <v>john.doe@workplace.com</v>
      </c>
      <c r="K369" s="104"/>
      <c r="L369" s="105"/>
      <c r="M369" s="104"/>
      <c r="N369" s="104"/>
      <c r="O369" s="104"/>
      <c r="P369" s="104"/>
      <c r="Q369" s="104"/>
      <c r="R369" s="104"/>
      <c r="S369" s="104"/>
      <c r="T369" s="107"/>
      <c r="U369" s="107"/>
    </row>
    <row r="370" ht="15.75" hidden="1" customHeight="1">
      <c r="A370" s="103" t="s">
        <v>92</v>
      </c>
      <c r="B370" s="104" t="str">
        <f>"Beeper"</f>
        <v>Beeper</v>
      </c>
      <c r="C370" s="104" t="str">
        <f>"yfs_person_info.beeper"</f>
        <v>yfs_person_info.beeper</v>
      </c>
      <c r="D370" s="104" t="str">
        <f t="shared" si="319"/>
        <v>string</v>
      </c>
      <c r="E370" s="105" t="str">
        <f>"40"</f>
        <v>40</v>
      </c>
      <c r="F370" s="104" t="s">
        <v>697</v>
      </c>
      <c r="G370" s="103" t="str">
        <f t="shared" si="317"/>
        <v>O</v>
      </c>
      <c r="H370" s="103" t="str">
        <f t="shared" si="321"/>
        <v>space</v>
      </c>
      <c r="I370" s="104" t="str">
        <f t="shared" si="322"/>
        <v/>
      </c>
      <c r="J370" s="104" t="str">
        <f>""</f>
        <v/>
      </c>
      <c r="K370" s="104"/>
      <c r="L370" s="105"/>
      <c r="M370" s="104"/>
      <c r="N370" s="104"/>
      <c r="O370" s="104"/>
      <c r="P370" s="104"/>
      <c r="Q370" s="104"/>
      <c r="R370" s="104"/>
      <c r="S370" s="104"/>
      <c r="T370" s="107"/>
      <c r="U370" s="107"/>
    </row>
    <row r="371" ht="15.75" hidden="1" customHeight="1">
      <c r="A371" s="103" t="s">
        <v>92</v>
      </c>
      <c r="B371" s="104" t="str">
        <f>"City"</f>
        <v>City</v>
      </c>
      <c r="C371" s="104" t="str">
        <f>"yfs_person_info.city"</f>
        <v>yfs_person_info.city</v>
      </c>
      <c r="D371" s="104" t="str">
        <f t="shared" si="319"/>
        <v>string</v>
      </c>
      <c r="E371" s="105" t="str">
        <f>"35"</f>
        <v>35</v>
      </c>
      <c r="F371" s="104" t="s">
        <v>704</v>
      </c>
      <c r="G371" s="103" t="str">
        <f t="shared" si="317"/>
        <v>O</v>
      </c>
      <c r="H371" s="103" t="str">
        <f t="shared" si="321"/>
        <v>space</v>
      </c>
      <c r="I371" s="104" t="str">
        <f t="shared" si="322"/>
        <v/>
      </c>
      <c r="J371" s="104" t="str">
        <f>"Foxboro"</f>
        <v>Foxboro</v>
      </c>
      <c r="K371" s="104"/>
      <c r="L371" s="105"/>
      <c r="M371" s="104"/>
      <c r="N371" s="104"/>
      <c r="O371" s="104"/>
      <c r="P371" s="104"/>
      <c r="Q371" s="104"/>
      <c r="R371" s="104"/>
      <c r="S371" s="104"/>
      <c r="T371" s="107"/>
      <c r="U371" s="107"/>
    </row>
    <row r="372" ht="15.75" hidden="1" customHeight="1">
      <c r="A372" s="103" t="s">
        <v>92</v>
      </c>
      <c r="B372" s="104" t="str">
        <f>"Company"</f>
        <v>Company</v>
      </c>
      <c r="C372" s="104" t="str">
        <f>"yfs_person_info.company"</f>
        <v>yfs_person_info.company</v>
      </c>
      <c r="D372" s="104" t="str">
        <f>"UNKNOWN"</f>
        <v>UNKNOWN</v>
      </c>
      <c r="E372" s="105" t="str">
        <f>""</f>
        <v/>
      </c>
      <c r="F372" s="104" t="s">
        <v>706</v>
      </c>
      <c r="G372" s="103" t="str">
        <f t="shared" si="317"/>
        <v>O</v>
      </c>
      <c r="H372" s="103" t="str">
        <f t="shared" si="321"/>
        <v>space</v>
      </c>
      <c r="I372" s="104" t="str">
        <f t="shared" si="322"/>
        <v/>
      </c>
      <c r="J372" s="104" t="str">
        <f>"Things 'R Us"</f>
        <v>Things 'R Us</v>
      </c>
      <c r="K372" s="104"/>
      <c r="L372" s="105"/>
      <c r="M372" s="104"/>
      <c r="N372" s="104"/>
      <c r="O372" s="104"/>
      <c r="P372" s="104"/>
      <c r="Q372" s="104"/>
      <c r="R372" s="104"/>
      <c r="S372" s="104"/>
      <c r="T372" s="107"/>
      <c r="U372" s="107"/>
    </row>
    <row r="373" ht="15.75" hidden="1" customHeight="1">
      <c r="A373" s="103" t="s">
        <v>92</v>
      </c>
      <c r="B373" s="104" t="str">
        <f>"Country"</f>
        <v>Country</v>
      </c>
      <c r="C373" s="104" t="str">
        <f>"yfs_person_info.country"</f>
        <v>yfs_person_info.country</v>
      </c>
      <c r="D373" s="104" t="str">
        <f t="shared" ref="D373:D375" si="324">"string"</f>
        <v>string</v>
      </c>
      <c r="E373" s="105" t="str">
        <f t="shared" ref="E373:E375" si="325">"40"</f>
        <v>40</v>
      </c>
      <c r="F373" s="104" t="s">
        <v>708</v>
      </c>
      <c r="G373" s="103" t="str">
        <f t="shared" si="317"/>
        <v>O</v>
      </c>
      <c r="H373" s="103" t="str">
        <f t="shared" si="321"/>
        <v>space</v>
      </c>
      <c r="I373" s="104" t="str">
        <f t="shared" si="322"/>
        <v/>
      </c>
      <c r="J373" s="104" t="str">
        <f>"US"</f>
        <v>US</v>
      </c>
      <c r="K373" s="104"/>
      <c r="L373" s="105"/>
      <c r="M373" s="104"/>
      <c r="N373" s="104"/>
      <c r="O373" s="104"/>
      <c r="P373" s="104"/>
      <c r="Q373" s="104"/>
      <c r="R373" s="104"/>
      <c r="S373" s="104"/>
      <c r="T373" s="107"/>
      <c r="U373" s="107"/>
    </row>
    <row r="374" ht="15.75" hidden="1" customHeight="1">
      <c r="A374" s="103" t="s">
        <v>92</v>
      </c>
      <c r="B374" s="104" t="str">
        <f>"DayFaxNo"</f>
        <v>DayFaxNo</v>
      </c>
      <c r="C374" s="104" t="str">
        <f>"yfs_person_info.day_fax_no"</f>
        <v>yfs_person_info.day_fax_no</v>
      </c>
      <c r="D374" s="104" t="str">
        <f t="shared" si="324"/>
        <v>string</v>
      </c>
      <c r="E374" s="105" t="str">
        <f t="shared" si="325"/>
        <v>40</v>
      </c>
      <c r="F374" s="104" t="s">
        <v>712</v>
      </c>
      <c r="G374" s="103" t="str">
        <f t="shared" si="317"/>
        <v>O</v>
      </c>
      <c r="H374" s="103" t="str">
        <f t="shared" si="321"/>
        <v>space</v>
      </c>
      <c r="I374" s="104" t="str">
        <f t="shared" si="322"/>
        <v/>
      </c>
      <c r="J374" s="104" t="str">
        <f>""</f>
        <v/>
      </c>
      <c r="K374" s="104"/>
      <c r="L374" s="105"/>
      <c r="M374" s="104"/>
      <c r="N374" s="104"/>
      <c r="O374" s="104"/>
      <c r="P374" s="104"/>
      <c r="Q374" s="104"/>
      <c r="R374" s="104"/>
      <c r="S374" s="104"/>
      <c r="T374" s="107"/>
      <c r="U374" s="107"/>
    </row>
    <row r="375" ht="15.75" hidden="1" customHeight="1">
      <c r="A375" s="103" t="s">
        <v>92</v>
      </c>
      <c r="B375" s="104" t="str">
        <f>"DayPhone"</f>
        <v>DayPhone</v>
      </c>
      <c r="C375" s="104" t="str">
        <f>"yfs_person_info.day_phone"</f>
        <v>yfs_person_info.day_phone</v>
      </c>
      <c r="D375" s="104" t="str">
        <f t="shared" si="324"/>
        <v>string</v>
      </c>
      <c r="E375" s="105" t="str">
        <f t="shared" si="325"/>
        <v>40</v>
      </c>
      <c r="F375" s="104" t="s">
        <v>713</v>
      </c>
      <c r="G375" s="103" t="str">
        <f t="shared" si="317"/>
        <v>O</v>
      </c>
      <c r="H375" s="103" t="str">
        <f t="shared" si="321"/>
        <v>space</v>
      </c>
      <c r="I375" s="104" t="str">
        <f t="shared" si="322"/>
        <v/>
      </c>
      <c r="J375" s="104" t="str">
        <f>"(508) 555-1212"</f>
        <v>(508) 555-1212</v>
      </c>
      <c r="K375" s="104"/>
      <c r="L375" s="105"/>
      <c r="M375" s="104"/>
      <c r="N375" s="104"/>
      <c r="O375" s="104"/>
      <c r="P375" s="104"/>
      <c r="Q375" s="104"/>
      <c r="R375" s="104"/>
      <c r="S375" s="104"/>
      <c r="T375" s="107"/>
      <c r="U375" s="107"/>
    </row>
    <row r="376" ht="15.75" hidden="1" customHeight="1">
      <c r="A376" s="103" t="s">
        <v>92</v>
      </c>
      <c r="B376" s="104" t="str">
        <f>"Department"</f>
        <v>Department</v>
      </c>
      <c r="C376" s="104" t="str">
        <f>"yfs_person_info.department"</f>
        <v>yfs_person_info.department</v>
      </c>
      <c r="D376" s="104" t="str">
        <f>"UNKNOWN"</f>
        <v>UNKNOWN</v>
      </c>
      <c r="E376" s="105" t="str">
        <f>""</f>
        <v/>
      </c>
      <c r="F376" s="104" t="s">
        <v>715</v>
      </c>
      <c r="G376" s="103" t="str">
        <f t="shared" si="317"/>
        <v>O</v>
      </c>
      <c r="H376" s="103" t="str">
        <f t="shared" si="321"/>
        <v>space</v>
      </c>
      <c r="I376" s="104" t="str">
        <f t="shared" si="322"/>
        <v/>
      </c>
      <c r="J376" s="104" t="str">
        <f>""</f>
        <v/>
      </c>
      <c r="K376" s="104"/>
      <c r="L376" s="105"/>
      <c r="M376" s="104"/>
      <c r="N376" s="104"/>
      <c r="O376" s="104"/>
      <c r="P376" s="104"/>
      <c r="Q376" s="104"/>
      <c r="R376" s="104"/>
      <c r="S376" s="104"/>
      <c r="T376" s="107"/>
      <c r="U376" s="107"/>
    </row>
    <row r="377" ht="15.75" hidden="1" customHeight="1">
      <c r="A377" s="103" t="s">
        <v>92</v>
      </c>
      <c r="B377" s="104" t="str">
        <f>"EMailID"</f>
        <v>EMailID</v>
      </c>
      <c r="C377" s="104" t="str">
        <f>"yfs_person_info.emailid"</f>
        <v>yfs_person_info.emailid</v>
      </c>
      <c r="D377" s="104" t="str">
        <f t="shared" ref="D377:D379" si="326">"string"</f>
        <v>string</v>
      </c>
      <c r="E377" s="105" t="str">
        <f>"150"</f>
        <v>150</v>
      </c>
      <c r="F377" s="104" t="s">
        <v>716</v>
      </c>
      <c r="G377" s="103" t="str">
        <f t="shared" si="317"/>
        <v>O</v>
      </c>
      <c r="H377" s="103" t="str">
        <f t="shared" si="321"/>
        <v>space</v>
      </c>
      <c r="I377" s="104" t="str">
        <f t="shared" si="322"/>
        <v/>
      </c>
      <c r="J377" s="104" t="str">
        <f>"john.doe@mail.com"</f>
        <v>john.doe@mail.com</v>
      </c>
      <c r="K377" s="104"/>
      <c r="L377" s="105"/>
      <c r="M377" s="104"/>
      <c r="N377" s="104"/>
      <c r="O377" s="104"/>
      <c r="P377" s="104"/>
      <c r="Q377" s="104"/>
      <c r="R377" s="104"/>
      <c r="S377" s="104"/>
      <c r="T377" s="107"/>
      <c r="U377" s="107"/>
    </row>
    <row r="378" ht="15.75" hidden="1" customHeight="1">
      <c r="A378" s="103" t="s">
        <v>92</v>
      </c>
      <c r="B378" s="104" t="str">
        <f>"EveningFaxNo"</f>
        <v>EveningFaxNo</v>
      </c>
      <c r="C378" s="104" t="str">
        <f>"yfs_person_info.evening_fax_no"</f>
        <v>yfs_person_info.evening_fax_no</v>
      </c>
      <c r="D378" s="104" t="str">
        <f t="shared" si="326"/>
        <v>string</v>
      </c>
      <c r="E378" s="105" t="str">
        <f t="shared" ref="E378:E379" si="327">"40"</f>
        <v>40</v>
      </c>
      <c r="F378" s="104" t="s">
        <v>718</v>
      </c>
      <c r="G378" s="103" t="str">
        <f t="shared" si="317"/>
        <v>O</v>
      </c>
      <c r="H378" s="103" t="str">
        <f t="shared" si="321"/>
        <v>space</v>
      </c>
      <c r="I378" s="104" t="str">
        <f t="shared" si="322"/>
        <v/>
      </c>
      <c r="J378" s="104" t="str">
        <f>"(617) 555-3333"</f>
        <v>(617) 555-3333</v>
      </c>
      <c r="K378" s="104"/>
      <c r="L378" s="105"/>
      <c r="M378" s="104"/>
      <c r="N378" s="104"/>
      <c r="O378" s="104"/>
      <c r="P378" s="104"/>
      <c r="Q378" s="104"/>
      <c r="R378" s="104"/>
      <c r="S378" s="104"/>
      <c r="T378" s="107"/>
      <c r="U378" s="107"/>
    </row>
    <row r="379" ht="15.75" hidden="1" customHeight="1">
      <c r="A379" s="103" t="s">
        <v>92</v>
      </c>
      <c r="B379" s="104" t="str">
        <f>"EveningPhone"</f>
        <v>EveningPhone</v>
      </c>
      <c r="C379" s="104" t="str">
        <f>"yfs_person_info.evening_phone"</f>
        <v>yfs_person_info.evening_phone</v>
      </c>
      <c r="D379" s="104" t="str">
        <f t="shared" si="326"/>
        <v>string</v>
      </c>
      <c r="E379" s="105" t="str">
        <f t="shared" si="327"/>
        <v>40</v>
      </c>
      <c r="F379" s="104" t="s">
        <v>719</v>
      </c>
      <c r="G379" s="103" t="str">
        <f t="shared" si="317"/>
        <v>O</v>
      </c>
      <c r="H379" s="103" t="str">
        <f t="shared" si="321"/>
        <v>space</v>
      </c>
      <c r="I379" s="104" t="str">
        <f t="shared" si="322"/>
        <v/>
      </c>
      <c r="J379" s="104" t="str">
        <f>"(617) 555-1212"</f>
        <v>(617) 555-1212</v>
      </c>
      <c r="K379" s="104"/>
      <c r="L379" s="105"/>
      <c r="M379" s="104"/>
      <c r="N379" s="104"/>
      <c r="O379" s="104"/>
      <c r="P379" s="104"/>
      <c r="Q379" s="104"/>
      <c r="R379" s="104"/>
      <c r="S379" s="104"/>
      <c r="T379" s="107"/>
      <c r="U379" s="107"/>
    </row>
    <row r="380" ht="15.75" hidden="1" customHeight="1">
      <c r="A380" s="103" t="s">
        <v>92</v>
      </c>
      <c r="B380" s="104" t="str">
        <f>"FirstName"</f>
        <v>FirstName</v>
      </c>
      <c r="C380" s="104" t="str">
        <f>"yfs_person_info.first_name"</f>
        <v>yfs_person_info.first_name</v>
      </c>
      <c r="D380" s="104" t="str">
        <f>"UNKNOWN"</f>
        <v>UNKNOWN</v>
      </c>
      <c r="E380" s="105" t="str">
        <f>""</f>
        <v/>
      </c>
      <c r="F380" s="104" t="s">
        <v>720</v>
      </c>
      <c r="G380" s="103" t="str">
        <f t="shared" si="317"/>
        <v>O</v>
      </c>
      <c r="H380" s="103" t="str">
        <f t="shared" si="321"/>
        <v>space</v>
      </c>
      <c r="I380" s="104" t="str">
        <f t="shared" si="322"/>
        <v/>
      </c>
      <c r="J380" s="104" t="str">
        <f>"John"</f>
        <v>John</v>
      </c>
      <c r="K380" s="104"/>
      <c r="L380" s="105"/>
      <c r="M380" s="104"/>
      <c r="N380" s="104"/>
      <c r="O380" s="104"/>
      <c r="P380" s="104"/>
      <c r="Q380" s="104"/>
      <c r="R380" s="104"/>
      <c r="S380" s="104"/>
      <c r="T380" s="107"/>
      <c r="U380" s="107"/>
    </row>
    <row r="381" ht="15.75" hidden="1" customHeight="1">
      <c r="A381" s="103" t="s">
        <v>92</v>
      </c>
      <c r="B381" s="104" t="str">
        <f>"IsCommercialAddress"</f>
        <v>IsCommercialAddress</v>
      </c>
      <c r="C381" s="104" t="str">
        <f>"yfs_person_info.is_commercial_address"</f>
        <v>yfs_person_info.is_commercial_address</v>
      </c>
      <c r="D381" s="104" t="str">
        <f>"string"</f>
        <v>string</v>
      </c>
      <c r="E381" s="105" t="str">
        <f>"1"</f>
        <v>1</v>
      </c>
      <c r="F381" s="104" t="s">
        <v>722</v>
      </c>
      <c r="G381" s="103" t="str">
        <f t="shared" si="317"/>
        <v>O</v>
      </c>
      <c r="H381" s="103" t="str">
        <f>"null"</f>
        <v>null</v>
      </c>
      <c r="I381" s="104" t="str">
        <f t="shared" si="322"/>
        <v/>
      </c>
      <c r="J381" s="104" t="str">
        <f>"Y"</f>
        <v>Y</v>
      </c>
      <c r="K381" s="104"/>
      <c r="L381" s="105"/>
      <c r="M381" s="104"/>
      <c r="N381" s="104"/>
      <c r="O381" s="104"/>
      <c r="P381" s="104"/>
      <c r="Q381" s="104"/>
      <c r="R381" s="104"/>
      <c r="S381" s="104"/>
      <c r="T381" s="107"/>
      <c r="U381" s="107"/>
    </row>
    <row r="382" ht="15.75" hidden="1" customHeight="1">
      <c r="A382" s="103" t="s">
        <v>92</v>
      </c>
      <c r="B382" s="104" t="str">
        <f>"JobTitle"</f>
        <v>JobTitle</v>
      </c>
      <c r="C382" s="104" t="str">
        <f>"yfs_person_info.job_title"</f>
        <v>yfs_person_info.job_title</v>
      </c>
      <c r="D382" s="104" t="str">
        <f t="shared" ref="D382:D384" si="328">"UNKNOWN"</f>
        <v>UNKNOWN</v>
      </c>
      <c r="E382" s="105" t="str">
        <f t="shared" ref="E382:E384" si="329">""</f>
        <v/>
      </c>
      <c r="F382" s="104" t="s">
        <v>723</v>
      </c>
      <c r="G382" s="103" t="str">
        <f t="shared" si="317"/>
        <v>O</v>
      </c>
      <c r="H382" s="103" t="str">
        <f t="shared" ref="H382:H389" si="330">"space"</f>
        <v>space</v>
      </c>
      <c r="I382" s="104" t="str">
        <f t="shared" si="322"/>
        <v/>
      </c>
      <c r="J382" s="104" t="str">
        <f>"Procurement Manager"</f>
        <v>Procurement Manager</v>
      </c>
      <c r="K382" s="104"/>
      <c r="L382" s="105"/>
      <c r="M382" s="104"/>
      <c r="N382" s="104"/>
      <c r="O382" s="104"/>
      <c r="P382" s="104"/>
      <c r="Q382" s="104"/>
      <c r="R382" s="104"/>
      <c r="S382" s="104"/>
      <c r="T382" s="107"/>
      <c r="U382" s="107"/>
    </row>
    <row r="383" ht="15.75" hidden="1" customHeight="1">
      <c r="A383" s="103" t="s">
        <v>92</v>
      </c>
      <c r="B383" s="104" t="str">
        <f>"LastName"</f>
        <v>LastName</v>
      </c>
      <c r="C383" s="104" t="str">
        <f>"yfs_person_info.last_name"</f>
        <v>yfs_person_info.last_name</v>
      </c>
      <c r="D383" s="104" t="str">
        <f t="shared" si="328"/>
        <v>UNKNOWN</v>
      </c>
      <c r="E383" s="105" t="str">
        <f t="shared" si="329"/>
        <v/>
      </c>
      <c r="F383" s="104" t="s">
        <v>724</v>
      </c>
      <c r="G383" s="103" t="str">
        <f t="shared" si="317"/>
        <v>O</v>
      </c>
      <c r="H383" s="103" t="str">
        <f t="shared" si="330"/>
        <v>space</v>
      </c>
      <c r="I383" s="104" t="str">
        <f t="shared" si="322"/>
        <v/>
      </c>
      <c r="J383" s="104" t="str">
        <f>"Doe"</f>
        <v>Doe</v>
      </c>
      <c r="K383" s="104"/>
      <c r="L383" s="105"/>
      <c r="M383" s="104"/>
      <c r="N383" s="104"/>
      <c r="O383" s="104"/>
      <c r="P383" s="104"/>
      <c r="Q383" s="104"/>
      <c r="R383" s="104"/>
      <c r="S383" s="104"/>
      <c r="T383" s="107"/>
      <c r="U383" s="107"/>
    </row>
    <row r="384" ht="15.75" hidden="1" customHeight="1">
      <c r="A384" s="103" t="s">
        <v>92</v>
      </c>
      <c r="B384" s="104" t="str">
        <f>"MiddleName"</f>
        <v>MiddleName</v>
      </c>
      <c r="C384" s="104" t="str">
        <f>"yfs_person_info.middle_name"</f>
        <v>yfs_person_info.middle_name</v>
      </c>
      <c r="D384" s="104" t="str">
        <f t="shared" si="328"/>
        <v>UNKNOWN</v>
      </c>
      <c r="E384" s="105" t="str">
        <f t="shared" si="329"/>
        <v/>
      </c>
      <c r="F384" s="104" t="s">
        <v>726</v>
      </c>
      <c r="G384" s="103" t="str">
        <f t="shared" si="317"/>
        <v>O</v>
      </c>
      <c r="H384" s="103" t="str">
        <f t="shared" si="330"/>
        <v>space</v>
      </c>
      <c r="I384" s="104" t="str">
        <f t="shared" si="322"/>
        <v/>
      </c>
      <c r="J384" s="104" t="str">
        <f>"E"</f>
        <v>E</v>
      </c>
      <c r="K384" s="104"/>
      <c r="L384" s="105"/>
      <c r="M384" s="104"/>
      <c r="N384" s="104"/>
      <c r="O384" s="104"/>
      <c r="P384" s="104"/>
      <c r="Q384" s="104"/>
      <c r="R384" s="104"/>
      <c r="S384" s="104"/>
      <c r="T384" s="107"/>
      <c r="U384" s="107"/>
    </row>
    <row r="385" ht="15.75" hidden="1" customHeight="1">
      <c r="A385" s="103" t="s">
        <v>92</v>
      </c>
      <c r="B385" s="104" t="str">
        <f>"MobilePhone"</f>
        <v>MobilePhone</v>
      </c>
      <c r="C385" s="104" t="str">
        <f>"yfs_person_info.mobile_phone"</f>
        <v>yfs_person_info.mobile_phone</v>
      </c>
      <c r="D385" s="104" t="str">
        <f t="shared" ref="D385:D386" si="331">"string"</f>
        <v>string</v>
      </c>
      <c r="E385" s="105" t="str">
        <f t="shared" ref="E385:E386" si="332">"40"</f>
        <v>40</v>
      </c>
      <c r="F385" s="104" t="s">
        <v>730</v>
      </c>
      <c r="G385" s="103" t="str">
        <f t="shared" si="317"/>
        <v>O</v>
      </c>
      <c r="H385" s="103" t="str">
        <f t="shared" si="330"/>
        <v>space</v>
      </c>
      <c r="I385" s="104" t="str">
        <f t="shared" si="322"/>
        <v/>
      </c>
      <c r="J385" s="104" t="str">
        <f>"(978) 555-1212"</f>
        <v>(978) 555-1212</v>
      </c>
      <c r="K385" s="104"/>
      <c r="L385" s="105"/>
      <c r="M385" s="104"/>
      <c r="N385" s="104"/>
      <c r="O385" s="104"/>
      <c r="P385" s="104"/>
      <c r="Q385" s="104"/>
      <c r="R385" s="104"/>
      <c r="S385" s="104"/>
      <c r="T385" s="107"/>
      <c r="U385" s="107"/>
    </row>
    <row r="386" ht="15.75" hidden="1" customHeight="1">
      <c r="A386" s="103" t="s">
        <v>92</v>
      </c>
      <c r="B386" s="104" t="str">
        <f>"OtherPhone"</f>
        <v>OtherPhone</v>
      </c>
      <c r="C386" s="104" t="str">
        <f>"yfs_person_info.other_phone"</f>
        <v>yfs_person_info.other_phone</v>
      </c>
      <c r="D386" s="104" t="str">
        <f t="shared" si="331"/>
        <v>string</v>
      </c>
      <c r="E386" s="105" t="str">
        <f t="shared" si="332"/>
        <v>40</v>
      </c>
      <c r="F386" s="104" t="s">
        <v>728</v>
      </c>
      <c r="G386" s="103" t="str">
        <f t="shared" si="317"/>
        <v>O</v>
      </c>
      <c r="H386" s="103" t="str">
        <f t="shared" si="330"/>
        <v>space</v>
      </c>
      <c r="I386" s="104" t="str">
        <f t="shared" si="322"/>
        <v/>
      </c>
      <c r="J386" s="104" t="str">
        <f>"(781) 555-1212"</f>
        <v>(781) 555-1212</v>
      </c>
      <c r="K386" s="104"/>
      <c r="L386" s="105"/>
      <c r="M386" s="104"/>
      <c r="N386" s="104"/>
      <c r="O386" s="104"/>
      <c r="P386" s="104"/>
      <c r="Q386" s="104"/>
      <c r="R386" s="104"/>
      <c r="S386" s="104"/>
      <c r="T386" s="107"/>
      <c r="U386" s="107"/>
    </row>
    <row r="387" ht="15.75" hidden="1" customHeight="1">
      <c r="A387" s="103" t="s">
        <v>92</v>
      </c>
      <c r="B387" s="104" t="str">
        <f>"PersonID"</f>
        <v>PersonID</v>
      </c>
      <c r="C387" s="104" t="str">
        <f>"yfs_person_info.person_id"</f>
        <v>yfs_person_info.person_id</v>
      </c>
      <c r="D387" s="104" t="str">
        <f>"UNKNOWN"</f>
        <v>UNKNOWN</v>
      </c>
      <c r="E387" s="105" t="str">
        <f>""</f>
        <v/>
      </c>
      <c r="F387" s="104" t="s">
        <v>729</v>
      </c>
      <c r="G387" s="103" t="str">
        <f t="shared" si="317"/>
        <v>O</v>
      </c>
      <c r="H387" s="103" t="str">
        <f t="shared" si="330"/>
        <v>space</v>
      </c>
      <c r="I387" s="104" t="str">
        <f t="shared" si="322"/>
        <v/>
      </c>
      <c r="J387" s="104" t="str">
        <f>""</f>
        <v/>
      </c>
      <c r="K387" s="104"/>
      <c r="L387" s="105"/>
      <c r="M387" s="104"/>
      <c r="N387" s="104"/>
      <c r="O387" s="104"/>
      <c r="P387" s="104"/>
      <c r="Q387" s="104"/>
      <c r="R387" s="104"/>
      <c r="S387" s="104"/>
      <c r="T387" s="107"/>
      <c r="U387" s="107"/>
    </row>
    <row r="388" ht="15.75" hidden="1" customHeight="1">
      <c r="A388" s="103" t="s">
        <v>92</v>
      </c>
      <c r="B388" s="104" t="str">
        <f>"State"</f>
        <v>State</v>
      </c>
      <c r="C388" s="104" t="str">
        <f>"yfs_person_info.state"</f>
        <v>yfs_person_info.state</v>
      </c>
      <c r="D388" s="104" t="str">
        <f>"string"</f>
        <v>string</v>
      </c>
      <c r="E388" s="105" t="str">
        <f>"35"</f>
        <v>35</v>
      </c>
      <c r="F388" s="104" t="s">
        <v>731</v>
      </c>
      <c r="G388" s="103" t="str">
        <f t="shared" si="317"/>
        <v>O</v>
      </c>
      <c r="H388" s="103" t="str">
        <f t="shared" si="330"/>
        <v>space</v>
      </c>
      <c r="I388" s="104" t="str">
        <f t="shared" si="322"/>
        <v/>
      </c>
      <c r="J388" s="104" t="str">
        <f>"MA"</f>
        <v>MA</v>
      </c>
      <c r="K388" s="104"/>
      <c r="L388" s="105"/>
      <c r="M388" s="104"/>
      <c r="N388" s="104"/>
      <c r="O388" s="104"/>
      <c r="P388" s="104"/>
      <c r="Q388" s="104"/>
      <c r="R388" s="104"/>
      <c r="S388" s="104"/>
      <c r="T388" s="107"/>
      <c r="U388" s="107"/>
    </row>
    <row r="389" ht="15.75" hidden="1" customHeight="1">
      <c r="A389" s="103" t="s">
        <v>92</v>
      </c>
      <c r="B389" s="104" t="str">
        <f>"Suffix"</f>
        <v>Suffix</v>
      </c>
      <c r="C389" s="104" t="str">
        <f>"yfs_person_info.suffix"</f>
        <v>yfs_person_info.suffix</v>
      </c>
      <c r="D389" s="104" t="str">
        <f t="shared" ref="D389:D391" si="333">"UNKNOWN"</f>
        <v>UNKNOWN</v>
      </c>
      <c r="E389" s="105" t="str">
        <f t="shared" ref="E389:E391" si="334">""</f>
        <v/>
      </c>
      <c r="F389" s="104" t="s">
        <v>735</v>
      </c>
      <c r="G389" s="103" t="str">
        <f t="shared" si="317"/>
        <v>O</v>
      </c>
      <c r="H389" s="103" t="str">
        <f t="shared" si="330"/>
        <v>space</v>
      </c>
      <c r="I389" s="104" t="str">
        <f t="shared" si="322"/>
        <v/>
      </c>
      <c r="J389" s="104" t="str">
        <f t="shared" ref="J389:J390" si="335">""</f>
        <v/>
      </c>
      <c r="K389" s="104"/>
      <c r="L389" s="105"/>
      <c r="M389" s="104"/>
      <c r="N389" s="104"/>
      <c r="O389" s="104"/>
      <c r="P389" s="104"/>
      <c r="Q389" s="104"/>
      <c r="R389" s="104"/>
      <c r="S389" s="104"/>
      <c r="T389" s="107"/>
      <c r="U389" s="107"/>
    </row>
    <row r="390" ht="15.75" hidden="1" customHeight="1">
      <c r="A390" s="103" t="s">
        <v>92</v>
      </c>
      <c r="B390" s="104" t="str">
        <f>"TaxGeoCode"</f>
        <v>TaxGeoCode</v>
      </c>
      <c r="C390" s="104" t="str">
        <f>"yfs_person_info.tax_geo_code"</f>
        <v>yfs_person_info.tax_geo_code</v>
      </c>
      <c r="D390" s="104" t="str">
        <f t="shared" si="333"/>
        <v>UNKNOWN</v>
      </c>
      <c r="E390" s="105" t="str">
        <f t="shared" si="334"/>
        <v/>
      </c>
      <c r="F390" s="104" t="s">
        <v>738</v>
      </c>
      <c r="G390" s="103" t="str">
        <f t="shared" si="317"/>
        <v>O</v>
      </c>
      <c r="H390" s="103" t="str">
        <f>"null"</f>
        <v>null</v>
      </c>
      <c r="I390" s="104" t="str">
        <f t="shared" si="322"/>
        <v/>
      </c>
      <c r="J390" s="104" t="str">
        <f t="shared" si="335"/>
        <v/>
      </c>
      <c r="K390" s="104"/>
      <c r="L390" s="105"/>
      <c r="M390" s="104"/>
      <c r="N390" s="104"/>
      <c r="O390" s="104"/>
      <c r="P390" s="104"/>
      <c r="Q390" s="104"/>
      <c r="R390" s="104"/>
      <c r="S390" s="104"/>
      <c r="T390" s="107"/>
      <c r="U390" s="107"/>
    </row>
    <row r="391" ht="15.75" hidden="1" customHeight="1">
      <c r="A391" s="103" t="s">
        <v>92</v>
      </c>
      <c r="B391" s="104" t="str">
        <f>"Title"</f>
        <v>Title</v>
      </c>
      <c r="C391" s="104" t="str">
        <f>"yfs_person_info.title"</f>
        <v>yfs_person_info.title</v>
      </c>
      <c r="D391" s="104" t="str">
        <f t="shared" si="333"/>
        <v>UNKNOWN</v>
      </c>
      <c r="E391" s="105" t="str">
        <f t="shared" si="334"/>
        <v/>
      </c>
      <c r="F391" s="104" t="s">
        <v>739</v>
      </c>
      <c r="G391" s="103" t="str">
        <f t="shared" si="317"/>
        <v>O</v>
      </c>
      <c r="H391" s="103" t="str">
        <f t="shared" ref="H391:H392" si="336">"space"</f>
        <v>space</v>
      </c>
      <c r="I391" s="104" t="str">
        <f t="shared" si="322"/>
        <v/>
      </c>
      <c r="J391" s="104" t="str">
        <f>"Mr"</f>
        <v>Mr</v>
      </c>
      <c r="K391" s="104"/>
      <c r="L391" s="105"/>
      <c r="M391" s="104"/>
      <c r="N391" s="104"/>
      <c r="O391" s="104"/>
      <c r="P391" s="104"/>
      <c r="Q391" s="104"/>
      <c r="R391" s="104"/>
      <c r="S391" s="104"/>
      <c r="T391" s="107"/>
      <c r="U391" s="107"/>
    </row>
    <row r="392" ht="15.75" hidden="1" customHeight="1">
      <c r="A392" s="103" t="s">
        <v>92</v>
      </c>
      <c r="B392" s="104" t="str">
        <f>"ZipCode"</f>
        <v>ZipCode</v>
      </c>
      <c r="C392" s="104" t="str">
        <f>"yfs_person_info.zip_code"</f>
        <v>yfs_person_info.zip_code</v>
      </c>
      <c r="D392" s="104" t="str">
        <f>"string"</f>
        <v>string</v>
      </c>
      <c r="E392" s="105" t="str">
        <f>"35"</f>
        <v>35</v>
      </c>
      <c r="F392" s="104" t="s">
        <v>743</v>
      </c>
      <c r="G392" s="103" t="str">
        <f t="shared" si="317"/>
        <v>O</v>
      </c>
      <c r="H392" s="103" t="str">
        <f t="shared" si="336"/>
        <v>space</v>
      </c>
      <c r="I392" s="104" t="str">
        <f t="shared" si="322"/>
        <v/>
      </c>
      <c r="J392" s="104" t="str">
        <f>"02035-2531"</f>
        <v>02035-2531</v>
      </c>
      <c r="K392" s="104"/>
      <c r="L392" s="105"/>
      <c r="M392" s="104"/>
      <c r="N392" s="104"/>
      <c r="O392" s="104"/>
      <c r="P392" s="104"/>
      <c r="Q392" s="104"/>
      <c r="R392" s="104"/>
      <c r="S392" s="104"/>
      <c r="T392" s="107"/>
      <c r="U392" s="107"/>
    </row>
    <row r="393" ht="15.75" hidden="1" customHeight="1">
      <c r="A393" s="236" t="s">
        <v>92</v>
      </c>
      <c r="B393" s="170" t="str">
        <f>"/Order/OrderLines/OrderLine/Instructions"</f>
        <v>/Order/OrderLines/OrderLine/Instructions</v>
      </c>
      <c r="C393" s="170"/>
      <c r="D393" s="170"/>
      <c r="E393" s="170"/>
      <c r="F393" s="287"/>
      <c r="G393" s="196" t="str">
        <f t="shared" si="317"/>
        <v>O</v>
      </c>
      <c r="H393" s="170"/>
      <c r="I393" s="170"/>
      <c r="J393" s="170"/>
      <c r="K393" s="170"/>
      <c r="L393" s="170"/>
      <c r="M393" s="170"/>
      <c r="N393" s="170"/>
      <c r="O393" s="170"/>
      <c r="P393" s="170"/>
      <c r="Q393" s="170"/>
      <c r="R393" s="170"/>
      <c r="S393" s="170"/>
      <c r="T393" s="197"/>
      <c r="U393" s="197"/>
    </row>
    <row r="394" ht="15.75" hidden="1" customHeight="1">
      <c r="A394" s="236" t="s">
        <v>92</v>
      </c>
      <c r="B394" s="170" t="str">
        <f>"/Order/OrderLines/OrderLine/Instructions/Instruction/@"</f>
        <v>/Order/OrderLines/OrderLine/Instructions/Instruction/@</v>
      </c>
      <c r="C394" s="170"/>
      <c r="D394" s="170"/>
      <c r="E394" s="170"/>
      <c r="F394" s="287"/>
      <c r="G394" s="196" t="str">
        <f t="shared" si="317"/>
        <v>O</v>
      </c>
      <c r="H394" s="170"/>
      <c r="I394" s="170"/>
      <c r="J394" s="170"/>
      <c r="K394" s="170"/>
      <c r="L394" s="170"/>
      <c r="M394" s="170"/>
      <c r="N394" s="170"/>
      <c r="O394" s="170"/>
      <c r="P394" s="170"/>
      <c r="Q394" s="170"/>
      <c r="R394" s="170"/>
      <c r="S394" s="170"/>
      <c r="T394" s="197"/>
      <c r="U394" s="197"/>
    </row>
    <row r="395" ht="15.75" hidden="1" customHeight="1">
      <c r="A395" s="117" t="s">
        <v>92</v>
      </c>
      <c r="B395" s="104" t="str">
        <f>"InstructionText"</f>
        <v>InstructionText</v>
      </c>
      <c r="C395" s="104" t="str">
        <f>"yfs_instruction_detail.instruction_text"</f>
        <v>yfs_instruction_detail.instruction_text</v>
      </c>
      <c r="D395" s="104" t="s">
        <v>131</v>
      </c>
      <c r="E395" s="105">
        <v>4000.0</v>
      </c>
      <c r="F395" s="118" t="s">
        <v>772</v>
      </c>
      <c r="G395" s="103" t="str">
        <f>"M"</f>
        <v>M</v>
      </c>
      <c r="H395" s="103" t="str">
        <f t="shared" ref="H395:H397" si="337">"space"</f>
        <v>space</v>
      </c>
      <c r="I395" s="104" t="str">
        <f t="shared" ref="I395:I398" si="338">""</f>
        <v/>
      </c>
      <c r="J395" s="104" t="str">
        <f>"This is a GIFT instruction."</f>
        <v>This is a GIFT instruction.</v>
      </c>
      <c r="K395" s="104"/>
      <c r="L395" s="105"/>
      <c r="M395" s="104"/>
      <c r="N395" s="104"/>
      <c r="O395" s="104"/>
      <c r="P395" s="104"/>
      <c r="Q395" s="104"/>
      <c r="R395" s="104"/>
      <c r="S395" s="104"/>
      <c r="T395" s="107"/>
      <c r="U395" s="107"/>
    </row>
    <row r="396" ht="15.75" hidden="1" customHeight="1">
      <c r="A396" s="117" t="s">
        <v>92</v>
      </c>
      <c r="B396" s="104" t="str">
        <f>"InstructionType"</f>
        <v>InstructionType</v>
      </c>
      <c r="C396" s="104" t="str">
        <f>"yfs_instruction_detail.instruction_type"</f>
        <v>yfs_instruction_detail.instruction_type</v>
      </c>
      <c r="D396" s="104" t="s">
        <v>131</v>
      </c>
      <c r="E396" s="105">
        <v>10.0</v>
      </c>
      <c r="F396" s="104" t="s">
        <v>773</v>
      </c>
      <c r="G396" s="103" t="str">
        <f t="shared" ref="G396:G398" si="339">"O"</f>
        <v>O</v>
      </c>
      <c r="H396" s="103" t="str">
        <f t="shared" si="337"/>
        <v>space</v>
      </c>
      <c r="I396" s="104" t="str">
        <f t="shared" si="338"/>
        <v/>
      </c>
      <c r="J396" s="104" t="s">
        <v>774</v>
      </c>
      <c r="K396" s="104"/>
      <c r="L396" s="105"/>
      <c r="M396" s="104"/>
      <c r="N396" s="104"/>
      <c r="O396" s="104"/>
      <c r="P396" s="104"/>
      <c r="Q396" s="104"/>
      <c r="R396" s="104"/>
      <c r="S396" s="104"/>
      <c r="T396" s="107"/>
      <c r="U396" s="107"/>
    </row>
    <row r="397" ht="15.75" hidden="1" customHeight="1">
      <c r="A397" s="103"/>
      <c r="B397" s="104" t="str">
        <f>"InstructionURL"</f>
        <v>InstructionURL</v>
      </c>
      <c r="C397" s="104" t="str">
        <f>"yfs_instruction_detail.instruction_url"</f>
        <v>yfs_instruction_detail.instruction_url</v>
      </c>
      <c r="D397" s="104" t="str">
        <f>"string"</f>
        <v>string</v>
      </c>
      <c r="E397" s="105" t="str">
        <f>"255"</f>
        <v>255</v>
      </c>
      <c r="F397" s="104" t="s">
        <v>775</v>
      </c>
      <c r="G397" s="103" t="str">
        <f t="shared" si="339"/>
        <v>O</v>
      </c>
      <c r="H397" s="103" t="str">
        <f t="shared" si="337"/>
        <v>space</v>
      </c>
      <c r="I397" s="104" t="str">
        <f t="shared" si="338"/>
        <v/>
      </c>
      <c r="J397" s="104" t="str">
        <f>""</f>
        <v/>
      </c>
      <c r="K397" s="104"/>
      <c r="L397" s="105"/>
      <c r="M397" s="104"/>
      <c r="N397" s="104"/>
      <c r="O397" s="104"/>
      <c r="P397" s="104"/>
      <c r="Q397" s="104"/>
      <c r="R397" s="104"/>
      <c r="S397" s="104"/>
      <c r="T397" s="107"/>
      <c r="U397" s="107"/>
    </row>
    <row r="398" ht="15.75" hidden="1" customHeight="1">
      <c r="A398" s="103"/>
      <c r="B398" s="104" t="str">
        <f>"SequenceNo"</f>
        <v>SequenceNo</v>
      </c>
      <c r="C398" s="104" t="str">
        <f>"yfs_instruction_detail.sequence_no"</f>
        <v>yfs_instruction_detail.sequence_no</v>
      </c>
      <c r="D398" s="104" t="str">
        <f>"nonNegativeInteger"</f>
        <v>nonNegativeInteger</v>
      </c>
      <c r="E398" s="105" t="str">
        <f>"5"</f>
        <v>5</v>
      </c>
      <c r="F398" s="104" t="s">
        <v>776</v>
      </c>
      <c r="G398" s="103" t="str">
        <f t="shared" si="339"/>
        <v>O</v>
      </c>
      <c r="H398" s="103" t="str">
        <f>"0 "</f>
        <v>0 </v>
      </c>
      <c r="I398" s="104" t="str">
        <f t="shared" si="338"/>
        <v/>
      </c>
      <c r="J398" s="104" t="str">
        <f>"1"</f>
        <v>1</v>
      </c>
      <c r="K398" s="104"/>
      <c r="L398" s="105"/>
      <c r="M398" s="104"/>
      <c r="N398" s="104"/>
      <c r="O398" s="104"/>
      <c r="P398" s="104"/>
      <c r="Q398" s="104"/>
      <c r="R398" s="104"/>
      <c r="S398" s="104"/>
      <c r="T398" s="107"/>
      <c r="U398" s="107"/>
    </row>
    <row r="399" ht="15.75" customHeight="1">
      <c r="A399" s="97" t="s">
        <v>66</v>
      </c>
      <c r="B399" s="96" t="str">
        <f>"/Order/OrderLines/OrderLine/LinePriceInfo/@"</f>
        <v>/Order/OrderLines/OrderLine/LinePriceInfo/@</v>
      </c>
      <c r="C399" s="96"/>
      <c r="D399" s="96"/>
      <c r="E399" s="97"/>
      <c r="F399" s="98"/>
      <c r="G399" s="99" t="s">
        <v>134</v>
      </c>
      <c r="H399" s="97"/>
      <c r="I399" s="96"/>
      <c r="J399" s="96"/>
      <c r="K399" s="96"/>
      <c r="L399" s="100" t="s">
        <v>66</v>
      </c>
      <c r="M399" s="99"/>
      <c r="N399" s="99"/>
      <c r="O399" s="99"/>
      <c r="P399" s="99"/>
      <c r="Q399" s="99"/>
      <c r="R399" s="99"/>
      <c r="S399" s="99"/>
      <c r="T399" s="99"/>
      <c r="U399" s="99"/>
    </row>
    <row r="400" ht="15.75" hidden="1" customHeight="1">
      <c r="A400" s="103"/>
      <c r="B400" s="104" t="str">
        <f>"DiscountPercentage"</f>
        <v>DiscountPercentage</v>
      </c>
      <c r="C400" s="104" t="str">
        <f>"yfs_order_line.discount_percentage"</f>
        <v>yfs_order_line.discount_percentage</v>
      </c>
      <c r="D400" s="104" t="str">
        <f>"decimal"</f>
        <v>decimal</v>
      </c>
      <c r="E400" s="105" t="str">
        <f>"5,2"</f>
        <v>5,2</v>
      </c>
      <c r="F400" s="104" t="s">
        <v>777</v>
      </c>
      <c r="G400" s="103" t="str">
        <f t="shared" ref="G400:G401" si="341">"O"</f>
        <v>O</v>
      </c>
      <c r="H400" s="103" t="str">
        <f>"0 "</f>
        <v>0 </v>
      </c>
      <c r="I400" s="104" t="str">
        <f t="shared" ref="I400:J400" si="340">""</f>
        <v/>
      </c>
      <c r="J400" s="104" t="str">
        <f t="shared" si="340"/>
        <v/>
      </c>
      <c r="K400" s="104"/>
      <c r="L400" s="105"/>
      <c r="M400" s="104"/>
      <c r="N400" s="104"/>
      <c r="O400" s="104"/>
      <c r="P400" s="104"/>
      <c r="Q400" s="104"/>
      <c r="R400" s="104"/>
      <c r="S400" s="104"/>
      <c r="T400" s="107"/>
      <c r="U400" s="107"/>
    </row>
    <row r="401" ht="15.75" hidden="1" customHeight="1">
      <c r="A401" s="103"/>
      <c r="B401" s="104" t="str">
        <f>"IsLinePriceForInformationOnly"</f>
        <v>IsLinePriceForInformationOnly</v>
      </c>
      <c r="C401" s="104" t="str">
        <f>"yfs_order_line.is_price_info_only"</f>
        <v>yfs_order_line.is_price_info_only</v>
      </c>
      <c r="D401" s="104" t="str">
        <f t="shared" ref="D401:D402" si="342">"string"</f>
        <v>string</v>
      </c>
      <c r="E401" s="105" t="str">
        <f t="shared" ref="E401:E402" si="343">"1"</f>
        <v>1</v>
      </c>
      <c r="F401" s="104" t="s">
        <v>778</v>
      </c>
      <c r="G401" s="103" t="str">
        <f t="shared" si="341"/>
        <v>O</v>
      </c>
      <c r="H401" s="103" t="str">
        <f>"null"</f>
        <v>null</v>
      </c>
      <c r="I401" s="104" t="str">
        <f t="shared" ref="I401:I404" si="344">""</f>
        <v/>
      </c>
      <c r="J401" s="104" t="str">
        <f t="shared" ref="J401:J402" si="345">"Y"</f>
        <v>Y</v>
      </c>
      <c r="K401" s="104"/>
      <c r="L401" s="105"/>
      <c r="M401" s="104"/>
      <c r="N401" s="104"/>
      <c r="O401" s="104"/>
      <c r="P401" s="104"/>
      <c r="Q401" s="104"/>
      <c r="R401" s="104"/>
      <c r="S401" s="104"/>
      <c r="T401" s="107"/>
      <c r="U401" s="107"/>
    </row>
    <row r="402">
      <c r="A402" s="108" t="s">
        <v>66</v>
      </c>
      <c r="B402" s="109" t="str">
        <f>"IsPriceLocked"</f>
        <v>IsPriceLocked</v>
      </c>
      <c r="C402" s="109" t="str">
        <f>"yfs_order_line.is_price_locked"</f>
        <v>yfs_order_line.is_price_locked</v>
      </c>
      <c r="D402" s="109" t="str">
        <f t="shared" si="342"/>
        <v>string</v>
      </c>
      <c r="E402" s="108" t="str">
        <f t="shared" si="343"/>
        <v>1</v>
      </c>
      <c r="F402" s="131" t="s">
        <v>779</v>
      </c>
      <c r="G402" s="112" t="s">
        <v>134</v>
      </c>
      <c r="H402" s="108" t="str">
        <f>"N"</f>
        <v>N</v>
      </c>
      <c r="I402" s="109" t="str">
        <f t="shared" si="344"/>
        <v/>
      </c>
      <c r="J402" s="109" t="str">
        <f t="shared" si="345"/>
        <v>Y</v>
      </c>
      <c r="K402" s="109" t="s">
        <v>686</v>
      </c>
      <c r="L402" s="112" t="s">
        <v>66</v>
      </c>
      <c r="M402" s="289" t="s">
        <v>780</v>
      </c>
      <c r="N402" s="289" t="s">
        <v>780</v>
      </c>
      <c r="O402" s="289" t="s">
        <v>780</v>
      </c>
      <c r="P402" s="289" t="s">
        <v>780</v>
      </c>
      <c r="Q402" s="289" t="s">
        <v>780</v>
      </c>
      <c r="R402" s="289"/>
      <c r="S402" s="289"/>
      <c r="T402" s="289"/>
      <c r="U402" s="289"/>
    </row>
    <row r="403">
      <c r="A403" s="108" t="s">
        <v>66</v>
      </c>
      <c r="B403" s="109" t="str">
        <f>"ListPrice"</f>
        <v>ListPrice</v>
      </c>
      <c r="C403" s="109" t="str">
        <f>"yfs_order_line.list_price"</f>
        <v>yfs_order_line.list_price</v>
      </c>
      <c r="D403" s="109" t="str">
        <f t="shared" ref="D403:D404" si="346">"decimal"</f>
        <v>decimal</v>
      </c>
      <c r="E403" s="108" t="str">
        <f>"19,6"</f>
        <v>19,6</v>
      </c>
      <c r="F403" s="141" t="s">
        <v>781</v>
      </c>
      <c r="G403" s="108" t="str">
        <f t="shared" ref="G403:G406" si="347">"O"</f>
        <v>O</v>
      </c>
      <c r="H403" s="108" t="str">
        <f t="shared" ref="H403:H404" si="348">"0"</f>
        <v>0</v>
      </c>
      <c r="I403" s="109" t="str">
        <f t="shared" si="344"/>
        <v/>
      </c>
      <c r="J403" s="109" t="str">
        <f t="shared" ref="J403:J405" si="349">""</f>
        <v/>
      </c>
      <c r="K403" s="109" t="s">
        <v>782</v>
      </c>
      <c r="L403" s="112" t="s">
        <v>66</v>
      </c>
      <c r="M403" s="113" t="s">
        <v>783</v>
      </c>
      <c r="N403" s="113" t="s">
        <v>783</v>
      </c>
      <c r="O403" s="113" t="s">
        <v>783</v>
      </c>
      <c r="P403" s="113" t="s">
        <v>783</v>
      </c>
      <c r="Q403" s="113" t="s">
        <v>784</v>
      </c>
      <c r="R403" s="113"/>
      <c r="S403" s="113"/>
      <c r="T403" s="113"/>
      <c r="U403" s="113"/>
    </row>
    <row r="404" ht="15.75" hidden="1" customHeight="1">
      <c r="A404" s="103"/>
      <c r="B404" s="104" t="str">
        <f>"PricingQtyConversionFactor"</f>
        <v>PricingQtyConversionFactor</v>
      </c>
      <c r="C404" s="104" t="str">
        <f>"yfs_order_line.pricing_quantity_conv_factor"</f>
        <v>yfs_order_line.pricing_quantity_conv_factor</v>
      </c>
      <c r="D404" s="104" t="str">
        <f t="shared" si="346"/>
        <v>decimal</v>
      </c>
      <c r="E404" s="105" t="str">
        <f>"14,4"</f>
        <v>14,4</v>
      </c>
      <c r="F404" s="104" t="s">
        <v>785</v>
      </c>
      <c r="G404" s="103" t="str">
        <f t="shared" si="347"/>
        <v>O</v>
      </c>
      <c r="H404" s="103" t="str">
        <f t="shared" si="348"/>
        <v>0</v>
      </c>
      <c r="I404" s="104" t="str">
        <f t="shared" si="344"/>
        <v/>
      </c>
      <c r="J404" s="104" t="str">
        <f t="shared" si="349"/>
        <v/>
      </c>
      <c r="K404" s="104"/>
      <c r="L404" s="105"/>
      <c r="M404" s="104"/>
      <c r="N404" s="104"/>
      <c r="O404" s="104"/>
      <c r="P404" s="104"/>
      <c r="Q404" s="104"/>
      <c r="R404" s="104"/>
      <c r="S404" s="104"/>
      <c r="T404" s="107"/>
      <c r="U404" s="107"/>
    </row>
    <row r="405" ht="15.75" hidden="1" customHeight="1">
      <c r="A405" s="103"/>
      <c r="B405" s="104" t="str">
        <f>"PricingQuantityStrategy"</f>
        <v>PricingQuantityStrategy</v>
      </c>
      <c r="C405" s="104" t="str">
        <f>"yfs_order_line.pricing_quantity_strategy"</f>
        <v>yfs_order_line.pricing_quantity_strategy</v>
      </c>
      <c r="D405" s="104" t="str">
        <f t="shared" ref="D405:D406" si="350">"string"</f>
        <v>string</v>
      </c>
      <c r="E405" s="105" t="str">
        <f>"20"</f>
        <v>20</v>
      </c>
      <c r="F405" s="104" t="s">
        <v>786</v>
      </c>
      <c r="G405" s="103" t="str">
        <f t="shared" si="347"/>
        <v>O</v>
      </c>
      <c r="H405" s="103" t="str">
        <f t="shared" ref="H405:H406" si="351">"space"</f>
        <v>space</v>
      </c>
      <c r="I405" s="104" t="str">
        <f>"FIXED, INCREMENTAL, ,  "</f>
        <v>FIXED, INCREMENTAL, ,  </v>
      </c>
      <c r="J405" s="104" t="str">
        <f t="shared" si="349"/>
        <v/>
      </c>
      <c r="K405" s="104"/>
      <c r="L405" s="105"/>
      <c r="M405" s="104"/>
      <c r="N405" s="104"/>
      <c r="O405" s="104"/>
      <c r="P405" s="104"/>
      <c r="Q405" s="104"/>
      <c r="R405" s="104"/>
      <c r="S405" s="104"/>
      <c r="T405" s="107"/>
      <c r="U405" s="107"/>
    </row>
    <row r="406" ht="15.75" hidden="1" customHeight="1">
      <c r="A406" s="103" t="s">
        <v>92</v>
      </c>
      <c r="B406" s="193" t="str">
        <f>"PricingUOM"</f>
        <v>PricingUOM</v>
      </c>
      <c r="C406" s="104" t="str">
        <f>"yfs_order_line.pricing_uom"</f>
        <v>yfs_order_line.pricing_uom</v>
      </c>
      <c r="D406" s="104" t="str">
        <f t="shared" si="350"/>
        <v>string</v>
      </c>
      <c r="E406" s="105" t="str">
        <f>"40"</f>
        <v>40</v>
      </c>
      <c r="F406" s="118" t="s">
        <v>787</v>
      </c>
      <c r="G406" s="103" t="str">
        <f t="shared" si="347"/>
        <v>O</v>
      </c>
      <c r="H406" s="103" t="str">
        <f t="shared" si="351"/>
        <v>space</v>
      </c>
      <c r="I406" s="104" t="str">
        <f t="shared" ref="I406:I410" si="352">""</f>
        <v/>
      </c>
      <c r="J406" s="104" t="s">
        <v>788</v>
      </c>
      <c r="K406" s="104"/>
      <c r="L406" s="105"/>
      <c r="M406" s="104"/>
      <c r="N406" s="104"/>
      <c r="O406" s="104"/>
      <c r="P406" s="104"/>
      <c r="Q406" s="104"/>
      <c r="R406" s="104"/>
      <c r="S406" s="104"/>
      <c r="T406" s="107"/>
      <c r="U406" s="107"/>
    </row>
    <row r="407" hidden="1">
      <c r="A407" s="117" t="s">
        <v>92</v>
      </c>
      <c r="B407" s="104" t="str">
        <f>"RetailPrice"</f>
        <v>RetailPrice</v>
      </c>
      <c r="C407" s="104" t="str">
        <f>"yfs_order_line.retail_price"</f>
        <v>yfs_order_line.retail_price</v>
      </c>
      <c r="D407" s="104" t="str">
        <f>"decimal"</f>
        <v>decimal</v>
      </c>
      <c r="E407" s="103" t="str">
        <f>"19,6"</f>
        <v>19,6</v>
      </c>
      <c r="F407" s="233" t="s">
        <v>789</v>
      </c>
      <c r="G407" s="119" t="s">
        <v>134</v>
      </c>
      <c r="H407" s="103" t="str">
        <f>"0"</f>
        <v>0</v>
      </c>
      <c r="I407" s="104" t="str">
        <f t="shared" si="352"/>
        <v/>
      </c>
      <c r="J407" s="104" t="str">
        <f t="shared" ref="J407:J408" si="353">""</f>
        <v/>
      </c>
      <c r="K407" s="104" t="s">
        <v>686</v>
      </c>
      <c r="L407" s="119" t="s">
        <v>92</v>
      </c>
      <c r="M407" s="242" t="s">
        <v>790</v>
      </c>
      <c r="N407" s="242"/>
      <c r="O407" s="242" t="s">
        <v>790</v>
      </c>
      <c r="P407" s="242" t="s">
        <v>790</v>
      </c>
      <c r="Q407" s="242" t="s">
        <v>790</v>
      </c>
      <c r="R407" s="119" t="s">
        <v>791</v>
      </c>
      <c r="S407" s="119"/>
      <c r="T407" s="186"/>
      <c r="U407" s="186"/>
    </row>
    <row r="408" ht="15.75" hidden="1" customHeight="1">
      <c r="A408" s="103"/>
      <c r="B408" s="104" t="str">
        <f>"TaxExemptionCertificate"</f>
        <v>TaxExemptionCertificate</v>
      </c>
      <c r="C408" s="104" t="str">
        <f>"yfs_order_line.tax_exemption_certificate"</f>
        <v>yfs_order_line.tax_exemption_certificate</v>
      </c>
      <c r="D408" s="104" t="str">
        <f t="shared" ref="D408:D409" si="354">"string"</f>
        <v>string</v>
      </c>
      <c r="E408" s="105" t="str">
        <f>"40"</f>
        <v>40</v>
      </c>
      <c r="F408" s="104" t="s">
        <v>792</v>
      </c>
      <c r="G408" s="103" t="str">
        <f t="shared" ref="G408:G409" si="355">"O"</f>
        <v>O</v>
      </c>
      <c r="H408" s="103" t="str">
        <f>"null"</f>
        <v>null</v>
      </c>
      <c r="I408" s="104" t="str">
        <f t="shared" si="352"/>
        <v/>
      </c>
      <c r="J408" s="104" t="str">
        <f t="shared" si="353"/>
        <v/>
      </c>
      <c r="K408" s="104"/>
      <c r="L408" s="105"/>
      <c r="M408" s="104"/>
      <c r="N408" s="104"/>
      <c r="O408" s="104"/>
      <c r="P408" s="104"/>
      <c r="Q408" s="104"/>
      <c r="R408" s="104"/>
      <c r="S408" s="104"/>
      <c r="T408" s="107"/>
      <c r="U408" s="107"/>
    </row>
    <row r="409" ht="15.75" hidden="1" customHeight="1">
      <c r="A409" s="103" t="s">
        <v>92</v>
      </c>
      <c r="B409" s="104" t="str">
        <f>"TaxableFlag"</f>
        <v>TaxableFlag</v>
      </c>
      <c r="C409" s="104" t="str">
        <f>"yfs_order_line.taxable_flag"</f>
        <v>yfs_order_line.taxable_flag</v>
      </c>
      <c r="D409" s="104" t="str">
        <f t="shared" si="354"/>
        <v>string</v>
      </c>
      <c r="E409" s="105" t="str">
        <f>"1"</f>
        <v>1</v>
      </c>
      <c r="F409" s="118" t="s">
        <v>793</v>
      </c>
      <c r="G409" s="103" t="str">
        <f t="shared" si="355"/>
        <v>O</v>
      </c>
      <c r="H409" s="103" t="str">
        <f>"space"</f>
        <v>space</v>
      </c>
      <c r="I409" s="104" t="str">
        <f t="shared" si="352"/>
        <v/>
      </c>
      <c r="J409" s="104" t="str">
        <f>"Y"</f>
        <v>Y</v>
      </c>
      <c r="K409" s="104" t="s">
        <v>794</v>
      </c>
      <c r="L409" s="105"/>
      <c r="M409" s="104"/>
      <c r="N409" s="104"/>
      <c r="O409" s="104"/>
      <c r="P409" s="104"/>
      <c r="Q409" s="104"/>
      <c r="R409" s="104"/>
      <c r="S409" s="104"/>
      <c r="T409" s="107"/>
      <c r="U409" s="107"/>
    </row>
    <row r="410">
      <c r="A410" s="108" t="s">
        <v>66</v>
      </c>
      <c r="B410" s="290" t="str">
        <f>"UnitPrice"</f>
        <v>UnitPrice</v>
      </c>
      <c r="C410" s="109" t="str">
        <f>"yfs_order_line.unit_price"</f>
        <v>yfs_order_line.unit_price</v>
      </c>
      <c r="D410" s="291" t="s">
        <v>795</v>
      </c>
      <c r="E410" s="108" t="str">
        <f>"19,6"</f>
        <v>19,6</v>
      </c>
      <c r="F410" s="131" t="s">
        <v>796</v>
      </c>
      <c r="G410" s="112" t="s">
        <v>134</v>
      </c>
      <c r="H410" s="108" t="str">
        <f>"0"</f>
        <v>0</v>
      </c>
      <c r="I410" s="109" t="str">
        <f t="shared" si="352"/>
        <v/>
      </c>
      <c r="J410" s="109" t="str">
        <f>"18.44"</f>
        <v>18.44</v>
      </c>
      <c r="K410" s="109" t="s">
        <v>686</v>
      </c>
      <c r="L410" s="112" t="s">
        <v>66</v>
      </c>
      <c r="M410" s="126" t="s">
        <v>797</v>
      </c>
      <c r="N410" s="126" t="s">
        <v>797</v>
      </c>
      <c r="O410" s="126" t="s">
        <v>797</v>
      </c>
      <c r="P410" s="126" t="s">
        <v>797</v>
      </c>
      <c r="Q410" s="126" t="s">
        <v>797</v>
      </c>
      <c r="R410" s="127" t="s">
        <v>798</v>
      </c>
      <c r="S410" s="113" t="s">
        <v>799</v>
      </c>
      <c r="T410" s="113" t="s">
        <v>800</v>
      </c>
      <c r="U410" s="113"/>
    </row>
    <row r="411" hidden="1">
      <c r="A411" s="196"/>
      <c r="B411" s="170" t="s">
        <v>801</v>
      </c>
      <c r="C411" s="170"/>
      <c r="D411" s="170"/>
      <c r="E411" s="196"/>
      <c r="F411" s="238"/>
      <c r="G411" s="239" t="s">
        <v>77</v>
      </c>
      <c r="H411" s="196"/>
      <c r="I411" s="170"/>
      <c r="J411" s="170"/>
      <c r="K411" s="170"/>
      <c r="L411" s="196"/>
      <c r="M411" s="239"/>
      <c r="N411" s="239"/>
      <c r="O411" s="239"/>
      <c r="P411" s="239"/>
      <c r="Q411" s="239"/>
      <c r="R411" s="239"/>
      <c r="S411" s="239"/>
      <c r="T411" s="241"/>
      <c r="U411" s="241"/>
    </row>
    <row r="412">
      <c r="A412" s="97" t="s">
        <v>66</v>
      </c>
      <c r="B412" s="96" t="s">
        <v>802</v>
      </c>
      <c r="C412" s="96"/>
      <c r="D412" s="96"/>
      <c r="E412" s="97"/>
      <c r="F412" s="199" t="s">
        <v>803</v>
      </c>
      <c r="G412" s="99" t="s">
        <v>134</v>
      </c>
      <c r="H412" s="97"/>
      <c r="I412" s="96"/>
      <c r="J412" s="96"/>
      <c r="K412" s="96"/>
      <c r="L412" s="100" t="s">
        <v>92</v>
      </c>
      <c r="M412" s="99"/>
      <c r="N412" s="99"/>
      <c r="O412" s="99"/>
      <c r="P412" s="99"/>
      <c r="Q412" s="99"/>
      <c r="R412" s="99"/>
      <c r="S412" s="99"/>
      <c r="T412" s="99"/>
      <c r="U412" s="99"/>
    </row>
    <row r="413">
      <c r="A413" s="250" t="s">
        <v>66</v>
      </c>
      <c r="B413" s="109" t="s">
        <v>280</v>
      </c>
      <c r="C413" s="292" t="s">
        <v>804</v>
      </c>
      <c r="D413" s="109" t="s">
        <v>472</v>
      </c>
      <c r="E413" s="108">
        <v>40.0</v>
      </c>
      <c r="F413" s="152" t="s">
        <v>805</v>
      </c>
      <c r="G413" s="108" t="s">
        <v>134</v>
      </c>
      <c r="H413" s="108"/>
      <c r="I413" s="109"/>
      <c r="J413" s="109"/>
      <c r="K413" s="109"/>
      <c r="L413" s="136" t="s">
        <v>92</v>
      </c>
      <c r="M413" s="110" t="s">
        <v>806</v>
      </c>
      <c r="N413" s="110" t="s">
        <v>806</v>
      </c>
      <c r="O413" s="110" t="s">
        <v>806</v>
      </c>
      <c r="P413" s="110" t="s">
        <v>807</v>
      </c>
      <c r="Q413" s="113" t="s">
        <v>806</v>
      </c>
      <c r="R413" s="113"/>
      <c r="S413" s="113"/>
      <c r="T413" s="113" t="s">
        <v>808</v>
      </c>
      <c r="U413" s="113" t="s">
        <v>548</v>
      </c>
    </row>
    <row r="414">
      <c r="A414" s="293" t="s">
        <v>66</v>
      </c>
      <c r="B414" s="292" t="s">
        <v>13</v>
      </c>
      <c r="C414" s="292" t="s">
        <v>809</v>
      </c>
      <c r="D414" s="292" t="s">
        <v>472</v>
      </c>
      <c r="E414" s="108">
        <v>1000.0</v>
      </c>
      <c r="F414" s="294" t="s">
        <v>810</v>
      </c>
      <c r="G414" s="293" t="s">
        <v>134</v>
      </c>
      <c r="H414" s="108"/>
      <c r="I414" s="109"/>
      <c r="J414" s="109"/>
      <c r="K414" s="109"/>
      <c r="L414" s="295" t="s">
        <v>92</v>
      </c>
      <c r="M414" s="164" t="s">
        <v>811</v>
      </c>
      <c r="N414" s="164" t="s">
        <v>811</v>
      </c>
      <c r="O414" s="164" t="s">
        <v>811</v>
      </c>
      <c r="P414" s="164" t="s">
        <v>811</v>
      </c>
      <c r="Q414" s="164" t="s">
        <v>811</v>
      </c>
      <c r="R414" s="164"/>
      <c r="S414" s="164"/>
      <c r="T414" s="164"/>
      <c r="U414" s="164"/>
    </row>
    <row r="415" ht="15.75" hidden="1" customHeight="1">
      <c r="A415" s="236" t="s">
        <v>92</v>
      </c>
      <c r="B415" s="170" t="str">
        <f>"/Order/OrderLines/OrderLine/LineCharges"</f>
        <v>/Order/OrderLines/OrderLine/LineCharges</v>
      </c>
      <c r="C415" s="170"/>
      <c r="D415" s="170"/>
      <c r="E415" s="170"/>
      <c r="F415" s="287"/>
      <c r="G415" s="196" t="str">
        <f t="shared" ref="G415:G416" si="356">"O"</f>
        <v>O</v>
      </c>
      <c r="H415" s="170"/>
      <c r="I415" s="170"/>
      <c r="J415" s="170"/>
      <c r="K415" s="170"/>
      <c r="L415" s="170"/>
      <c r="M415" s="170"/>
      <c r="N415" s="170"/>
      <c r="O415" s="170"/>
      <c r="P415" s="170"/>
      <c r="Q415" s="170"/>
      <c r="R415" s="170"/>
      <c r="S415" s="170"/>
      <c r="T415" s="197"/>
      <c r="U415" s="197"/>
    </row>
    <row r="416" ht="15.75" hidden="1" customHeight="1">
      <c r="A416" s="236" t="s">
        <v>92</v>
      </c>
      <c r="B416" s="170" t="str">
        <f>"/Order/OrderLines/OrderLine/LineCharges/LineCharge/@"</f>
        <v>/Order/OrderLines/OrderLine/LineCharges/LineCharge/@</v>
      </c>
      <c r="C416" s="170"/>
      <c r="D416" s="170"/>
      <c r="E416" s="170"/>
      <c r="F416" s="287"/>
      <c r="G416" s="196" t="str">
        <f t="shared" si="356"/>
        <v>O</v>
      </c>
      <c r="H416" s="170"/>
      <c r="I416" s="170"/>
      <c r="J416" s="170"/>
      <c r="K416" s="170"/>
      <c r="L416" s="170"/>
      <c r="M416" s="170"/>
      <c r="N416" s="170"/>
      <c r="O416" s="170"/>
      <c r="P416" s="170"/>
      <c r="Q416" s="170"/>
      <c r="R416" s="170"/>
      <c r="S416" s="170"/>
      <c r="T416" s="197"/>
      <c r="U416" s="197"/>
    </row>
    <row r="417" ht="15.75" hidden="1" customHeight="1">
      <c r="A417" s="117" t="s">
        <v>92</v>
      </c>
      <c r="B417" s="104" t="str">
        <f>"ChargeCategory"</f>
        <v>ChargeCategory</v>
      </c>
      <c r="C417" s="104" t="str">
        <f>"yfs_line_charges.charge_category"</f>
        <v>yfs_line_charges.charge_category</v>
      </c>
      <c r="D417" s="104" t="str">
        <f t="shared" ref="D417:D418" si="357">"string"</f>
        <v>string</v>
      </c>
      <c r="E417" s="105" t="str">
        <f>"20"</f>
        <v>20</v>
      </c>
      <c r="F417" s="118" t="s">
        <v>812</v>
      </c>
      <c r="G417" s="103" t="s">
        <v>77</v>
      </c>
      <c r="H417" s="103" t="str">
        <f t="shared" ref="H417:H418" si="358">"space"</f>
        <v>space</v>
      </c>
      <c r="I417" s="104" t="str">
        <f t="shared" ref="I417:I422" si="359">""</f>
        <v/>
      </c>
      <c r="J417" s="104" t="s">
        <v>813</v>
      </c>
      <c r="K417" s="296"/>
      <c r="L417" s="105"/>
      <c r="M417" s="296"/>
      <c r="N417" s="296"/>
      <c r="O417" s="296"/>
      <c r="P417" s="296"/>
      <c r="Q417" s="296"/>
      <c r="R417" s="104"/>
      <c r="S417" s="104"/>
      <c r="T417" s="107"/>
      <c r="U417" s="107"/>
    </row>
    <row r="418" ht="15.75" hidden="1" customHeight="1">
      <c r="A418" s="117" t="s">
        <v>92</v>
      </c>
      <c r="B418" s="104" t="str">
        <f>"ChargeName"</f>
        <v>ChargeName</v>
      </c>
      <c r="C418" s="104" t="str">
        <f>"yfs_line_charges.charge_name"</f>
        <v>yfs_line_charges.charge_name</v>
      </c>
      <c r="D418" s="104" t="str">
        <f t="shared" si="357"/>
        <v>string</v>
      </c>
      <c r="E418" s="105" t="str">
        <f>"40"</f>
        <v>40</v>
      </c>
      <c r="F418" s="118" t="s">
        <v>814</v>
      </c>
      <c r="G418" s="103" t="str">
        <f t="shared" ref="G418:G430" si="360">"O"</f>
        <v>O</v>
      </c>
      <c r="H418" s="103" t="str">
        <f t="shared" si="358"/>
        <v>space</v>
      </c>
      <c r="I418" s="104" t="str">
        <f t="shared" si="359"/>
        <v/>
      </c>
      <c r="J418" s="104" t="s">
        <v>815</v>
      </c>
      <c r="K418" s="104"/>
      <c r="L418" s="105"/>
      <c r="M418" s="297"/>
      <c r="N418" s="297"/>
      <c r="O418" s="297"/>
      <c r="P418" s="297"/>
      <c r="Q418" s="297"/>
      <c r="R418" s="297"/>
      <c r="S418" s="297"/>
      <c r="T418" s="298"/>
      <c r="U418" s="298"/>
    </row>
    <row r="419" ht="15.75" hidden="1" customHeight="1">
      <c r="A419" s="117" t="s">
        <v>92</v>
      </c>
      <c r="B419" s="104" t="str">
        <f>"ChargePerLine"</f>
        <v>ChargePerLine</v>
      </c>
      <c r="C419" s="104" t="str">
        <f>"yfs_line_charges.chargeperline"</f>
        <v>yfs_line_charges.chargeperline</v>
      </c>
      <c r="D419" s="104" t="s">
        <v>816</v>
      </c>
      <c r="E419" s="104" t="s">
        <v>817</v>
      </c>
      <c r="F419" s="104" t="s">
        <v>818</v>
      </c>
      <c r="G419" s="104" t="str">
        <f t="shared" si="360"/>
        <v>O</v>
      </c>
      <c r="H419" s="104" t="str">
        <f t="shared" ref="H419:H420" si="361">"0 "</f>
        <v>0 </v>
      </c>
      <c r="I419" s="104" t="str">
        <f t="shared" si="359"/>
        <v/>
      </c>
      <c r="J419" s="104" t="str">
        <f t="shared" ref="J419:J420" si="362">""</f>
        <v/>
      </c>
      <c r="K419" s="104"/>
      <c r="L419" s="104"/>
      <c r="M419" s="104"/>
      <c r="N419" s="104"/>
      <c r="O419" s="104"/>
      <c r="P419" s="104"/>
      <c r="Q419" s="104"/>
      <c r="R419" s="104"/>
      <c r="S419" s="104"/>
      <c r="T419" s="107"/>
      <c r="U419" s="107"/>
    </row>
    <row r="420" ht="15.75" hidden="1" customHeight="1">
      <c r="A420" s="117" t="s">
        <v>92</v>
      </c>
      <c r="B420" s="104" t="str">
        <f>"ChargePerUnit"</f>
        <v>ChargePerUnit</v>
      </c>
      <c r="C420" s="104" t="str">
        <f>"yfs_line_charges.chargeperunit"</f>
        <v>yfs_line_charges.chargeperunit</v>
      </c>
      <c r="D420" s="104" t="str">
        <f>"decimal"</f>
        <v>decimal</v>
      </c>
      <c r="E420" s="104" t="str">
        <f>"19,6"</f>
        <v>19,6</v>
      </c>
      <c r="F420" s="104" t="s">
        <v>819</v>
      </c>
      <c r="G420" s="104" t="str">
        <f t="shared" si="360"/>
        <v>O</v>
      </c>
      <c r="H420" s="104" t="str">
        <f t="shared" si="361"/>
        <v>0 </v>
      </c>
      <c r="I420" s="104" t="str">
        <f t="shared" si="359"/>
        <v/>
      </c>
      <c r="J420" s="104" t="str">
        <f t="shared" si="362"/>
        <v/>
      </c>
      <c r="K420" s="104"/>
      <c r="L420" s="104"/>
      <c r="M420" s="104"/>
      <c r="N420" s="104"/>
      <c r="O420" s="104"/>
      <c r="P420" s="104"/>
      <c r="Q420" s="104"/>
      <c r="R420" s="104"/>
      <c r="S420" s="104"/>
      <c r="T420" s="107"/>
      <c r="U420" s="107"/>
    </row>
    <row r="421" ht="15.75" hidden="1" customHeight="1">
      <c r="A421" s="103"/>
      <c r="B421" s="104" t="str">
        <f>"IsManual"</f>
        <v>IsManual</v>
      </c>
      <c r="C421" s="104" t="str">
        <f>"yfs_line_charges.is_manual"</f>
        <v>yfs_line_charges.is_manual</v>
      </c>
      <c r="D421" s="104" t="str">
        <f>"UNKNOWN"</f>
        <v>UNKNOWN</v>
      </c>
      <c r="E421" s="105" t="str">
        <f>""</f>
        <v/>
      </c>
      <c r="F421" s="104" t="s">
        <v>820</v>
      </c>
      <c r="G421" s="103" t="str">
        <f t="shared" si="360"/>
        <v>O</v>
      </c>
      <c r="H421" s="103" t="str">
        <f>"null"</f>
        <v>null</v>
      </c>
      <c r="I421" s="104" t="str">
        <f t="shared" si="359"/>
        <v/>
      </c>
      <c r="J421" s="104" t="str">
        <f>"Y"</f>
        <v>Y</v>
      </c>
      <c r="K421" s="104"/>
      <c r="L421" s="105"/>
      <c r="M421" s="104"/>
      <c r="N421" s="104"/>
      <c r="O421" s="104"/>
      <c r="P421" s="104"/>
      <c r="Q421" s="104"/>
      <c r="R421" s="104"/>
      <c r="S421" s="104"/>
      <c r="T421" s="107"/>
      <c r="U421" s="107"/>
    </row>
    <row r="422" ht="15.75" hidden="1" customHeight="1">
      <c r="A422" s="117" t="s">
        <v>92</v>
      </c>
      <c r="B422" s="104" t="str">
        <f>"Reference"</f>
        <v>Reference</v>
      </c>
      <c r="C422" s="104" t="str">
        <f>"yfs_line_charges.reference"</f>
        <v>yfs_line_charges.reference</v>
      </c>
      <c r="D422" s="104" t="str">
        <f>"string"</f>
        <v>string</v>
      </c>
      <c r="E422" s="105" t="str">
        <f>"50"</f>
        <v>50</v>
      </c>
      <c r="F422" s="118" t="s">
        <v>821</v>
      </c>
      <c r="G422" s="103" t="str">
        <f t="shared" si="360"/>
        <v>O</v>
      </c>
      <c r="H422" s="103" t="str">
        <f>"space"</f>
        <v>space</v>
      </c>
      <c r="I422" s="104" t="str">
        <f t="shared" si="359"/>
        <v/>
      </c>
      <c r="J422" s="104" t="str">
        <f>""</f>
        <v/>
      </c>
      <c r="K422" s="104"/>
      <c r="L422" s="105"/>
      <c r="M422" s="104"/>
      <c r="N422" s="104"/>
      <c r="O422" s="104"/>
      <c r="P422" s="104"/>
      <c r="Q422" s="104"/>
      <c r="R422" s="104"/>
      <c r="S422" s="104"/>
      <c r="T422" s="107"/>
      <c r="U422" s="107"/>
    </row>
    <row r="423" ht="15.75" hidden="1" customHeight="1">
      <c r="A423" s="236" t="s">
        <v>92</v>
      </c>
      <c r="B423" s="170" t="str">
        <f>"/Order/OrderLines/OrderLine/LineTaxes"</f>
        <v>/Order/OrderLines/OrderLine/LineTaxes</v>
      </c>
      <c r="C423" s="170"/>
      <c r="D423" s="170"/>
      <c r="E423" s="170"/>
      <c r="F423" s="170"/>
      <c r="G423" s="196" t="str">
        <f t="shared" si="360"/>
        <v>O</v>
      </c>
      <c r="H423" s="170"/>
      <c r="I423" s="170"/>
      <c r="J423" s="170"/>
      <c r="K423" s="170"/>
      <c r="L423" s="170"/>
      <c r="M423" s="170"/>
      <c r="N423" s="170"/>
      <c r="O423" s="170"/>
      <c r="P423" s="170"/>
      <c r="Q423" s="170"/>
      <c r="R423" s="170"/>
      <c r="S423" s="170"/>
      <c r="T423" s="197"/>
      <c r="U423" s="197"/>
    </row>
    <row r="424" ht="15.75" hidden="1" customHeight="1">
      <c r="A424" s="236" t="s">
        <v>92</v>
      </c>
      <c r="B424" s="170" t="str">
        <f>"/Order/OrderLines/OrderLine/LineTaxes/LineTax/@"</f>
        <v>/Order/OrderLines/OrderLine/LineTaxes/LineTax/@</v>
      </c>
      <c r="C424" s="170"/>
      <c r="D424" s="170"/>
      <c r="E424" s="170"/>
      <c r="F424" s="170"/>
      <c r="G424" s="196" t="str">
        <f t="shared" si="360"/>
        <v>O</v>
      </c>
      <c r="H424" s="170"/>
      <c r="I424" s="170"/>
      <c r="J424" s="170"/>
      <c r="K424" s="170"/>
      <c r="L424" s="170"/>
      <c r="M424" s="170"/>
      <c r="N424" s="170"/>
      <c r="O424" s="170"/>
      <c r="P424" s="170"/>
      <c r="Q424" s="170"/>
      <c r="R424" s="170"/>
      <c r="S424" s="170"/>
      <c r="T424" s="197"/>
      <c r="U424" s="197"/>
    </row>
    <row r="425" ht="15.75" hidden="1" customHeight="1">
      <c r="A425" s="117" t="s">
        <v>92</v>
      </c>
      <c r="B425" s="104" t="str">
        <f>"ChargeCategory"</f>
        <v>ChargeCategory</v>
      </c>
      <c r="C425" s="104" t="str">
        <f>"yfs_tax_breakup.charge_category"</f>
        <v>yfs_tax_breakup.charge_category</v>
      </c>
      <c r="D425" s="104" t="str">
        <f t="shared" ref="D425:D429" si="363">"string"</f>
        <v>string</v>
      </c>
      <c r="E425" s="105" t="str">
        <f>"20"</f>
        <v>20</v>
      </c>
      <c r="F425" s="104" t="s">
        <v>822</v>
      </c>
      <c r="G425" s="103" t="str">
        <f t="shared" si="360"/>
        <v>O</v>
      </c>
      <c r="H425" s="103" t="str">
        <f t="shared" ref="H425:H429" si="364">"space"</f>
        <v>space</v>
      </c>
      <c r="I425" s="104" t="str">
        <f t="shared" ref="I425:I433" si="365">""</f>
        <v/>
      </c>
      <c r="J425" s="104" t="s">
        <v>823</v>
      </c>
      <c r="K425" s="107"/>
      <c r="L425" s="105"/>
      <c r="M425" s="107"/>
      <c r="N425" s="107"/>
      <c r="O425" s="107"/>
      <c r="P425" s="107"/>
      <c r="Q425" s="107"/>
      <c r="R425" s="104"/>
      <c r="S425" s="104"/>
      <c r="T425" s="107"/>
      <c r="U425" s="107"/>
    </row>
    <row r="426" ht="15.75" hidden="1" customHeight="1">
      <c r="A426" s="117" t="s">
        <v>92</v>
      </c>
      <c r="B426" s="104" t="str">
        <f>"ChargeName"</f>
        <v>ChargeName</v>
      </c>
      <c r="C426" s="104" t="str">
        <f>"yfs_tax_breakup.charge_name"</f>
        <v>yfs_tax_breakup.charge_name</v>
      </c>
      <c r="D426" s="104" t="str">
        <f t="shared" si="363"/>
        <v>string</v>
      </c>
      <c r="E426" s="105" t="str">
        <f>"40"</f>
        <v>40</v>
      </c>
      <c r="F426" s="104" t="s">
        <v>824</v>
      </c>
      <c r="G426" s="103" t="str">
        <f t="shared" si="360"/>
        <v>O</v>
      </c>
      <c r="H426" s="103" t="str">
        <f t="shared" si="364"/>
        <v>space</v>
      </c>
      <c r="I426" s="104" t="str">
        <f t="shared" si="365"/>
        <v/>
      </c>
      <c r="J426" s="104" t="str">
        <f>"Release 1"</f>
        <v>Release 1</v>
      </c>
      <c r="K426" s="107"/>
      <c r="L426" s="105"/>
      <c r="M426" s="107"/>
      <c r="N426" s="107"/>
      <c r="O426" s="107"/>
      <c r="P426" s="107"/>
      <c r="Q426" s="107"/>
      <c r="R426" s="104"/>
      <c r="S426" s="104"/>
      <c r="T426" s="107"/>
      <c r="U426" s="107"/>
    </row>
    <row r="427" ht="15.75" hidden="1" customHeight="1">
      <c r="A427" s="103"/>
      <c r="B427" s="104" t="str">
        <f>"Reference1"</f>
        <v>Reference1</v>
      </c>
      <c r="C427" s="104" t="str">
        <f>"yfs_tax_breakup.reference1"</f>
        <v>yfs_tax_breakup.reference1</v>
      </c>
      <c r="D427" s="104" t="str">
        <f t="shared" si="363"/>
        <v>string</v>
      </c>
      <c r="E427" s="105" t="str">
        <f t="shared" ref="E427:E429" si="366">"100"</f>
        <v>100</v>
      </c>
      <c r="F427" s="104" t="s">
        <v>825</v>
      </c>
      <c r="G427" s="103" t="str">
        <f t="shared" si="360"/>
        <v>O</v>
      </c>
      <c r="H427" s="103" t="str">
        <f t="shared" si="364"/>
        <v>space</v>
      </c>
      <c r="I427" s="104" t="str">
        <f t="shared" si="365"/>
        <v/>
      </c>
      <c r="J427" s="104" t="str">
        <f t="shared" ref="J427:J429" si="367">""</f>
        <v/>
      </c>
      <c r="K427" s="104"/>
      <c r="L427" s="105"/>
      <c r="M427" s="104"/>
      <c r="N427" s="104"/>
      <c r="O427" s="104"/>
      <c r="P427" s="104"/>
      <c r="Q427" s="104"/>
      <c r="R427" s="104"/>
      <c r="S427" s="104"/>
      <c r="T427" s="107"/>
      <c r="U427" s="107"/>
    </row>
    <row r="428" ht="15.75" hidden="1" customHeight="1">
      <c r="A428" s="103"/>
      <c r="B428" s="104" t="str">
        <f>"Reference2"</f>
        <v>Reference2</v>
      </c>
      <c r="C428" s="104" t="str">
        <f>"yfs_tax_breakup.reference2"</f>
        <v>yfs_tax_breakup.reference2</v>
      </c>
      <c r="D428" s="104" t="str">
        <f t="shared" si="363"/>
        <v>string</v>
      </c>
      <c r="E428" s="105" t="str">
        <f t="shared" si="366"/>
        <v>100</v>
      </c>
      <c r="F428" s="104" t="s">
        <v>825</v>
      </c>
      <c r="G428" s="103" t="str">
        <f t="shared" si="360"/>
        <v>O</v>
      </c>
      <c r="H428" s="103" t="str">
        <f t="shared" si="364"/>
        <v>space</v>
      </c>
      <c r="I428" s="104" t="str">
        <f t="shared" si="365"/>
        <v/>
      </c>
      <c r="J428" s="104" t="str">
        <f t="shared" si="367"/>
        <v/>
      </c>
      <c r="K428" s="104"/>
      <c r="L428" s="105"/>
      <c r="M428" s="104"/>
      <c r="N428" s="104"/>
      <c r="O428" s="104"/>
      <c r="P428" s="104"/>
      <c r="Q428" s="104"/>
      <c r="R428" s="104"/>
      <c r="S428" s="104"/>
      <c r="T428" s="107"/>
      <c r="U428" s="107"/>
    </row>
    <row r="429" ht="15.75" hidden="1" customHeight="1">
      <c r="A429" s="103"/>
      <c r="B429" s="104" t="str">
        <f>"Reference3"</f>
        <v>Reference3</v>
      </c>
      <c r="C429" s="104" t="str">
        <f>"yfs_tax_breakup.reference3"</f>
        <v>yfs_tax_breakup.reference3</v>
      </c>
      <c r="D429" s="104" t="str">
        <f t="shared" si="363"/>
        <v>string</v>
      </c>
      <c r="E429" s="105" t="str">
        <f t="shared" si="366"/>
        <v>100</v>
      </c>
      <c r="F429" s="104" t="s">
        <v>825</v>
      </c>
      <c r="G429" s="103" t="str">
        <f t="shared" si="360"/>
        <v>O</v>
      </c>
      <c r="H429" s="103" t="str">
        <f t="shared" si="364"/>
        <v>space</v>
      </c>
      <c r="I429" s="104" t="str">
        <f t="shared" si="365"/>
        <v/>
      </c>
      <c r="J429" s="104" t="str">
        <f t="shared" si="367"/>
        <v/>
      </c>
      <c r="K429" s="104"/>
      <c r="L429" s="105"/>
      <c r="M429" s="104"/>
      <c r="N429" s="104"/>
      <c r="O429" s="104"/>
      <c r="P429" s="104"/>
      <c r="Q429" s="104"/>
      <c r="R429" s="104"/>
      <c r="S429" s="104"/>
      <c r="T429" s="107"/>
      <c r="U429" s="107"/>
    </row>
    <row r="430" ht="15.75" hidden="1" customHeight="1">
      <c r="A430" s="117" t="s">
        <v>92</v>
      </c>
      <c r="B430" s="104" t="str">
        <f>"Tax"</f>
        <v>Tax</v>
      </c>
      <c r="C430" s="104" t="str">
        <f>"yfs_tax_breakup.tax"</f>
        <v>yfs_tax_breakup.tax</v>
      </c>
      <c r="D430" s="104" t="str">
        <f>"UNKNOWN"</f>
        <v>UNKNOWN</v>
      </c>
      <c r="E430" s="105" t="str">
        <f>""</f>
        <v/>
      </c>
      <c r="F430" s="104" t="s">
        <v>826</v>
      </c>
      <c r="G430" s="103" t="str">
        <f t="shared" si="360"/>
        <v>O</v>
      </c>
      <c r="H430" s="103" t="str">
        <f>"0 "</f>
        <v>0 </v>
      </c>
      <c r="I430" s="104" t="str">
        <f t="shared" si="365"/>
        <v/>
      </c>
      <c r="J430" s="104" t="str">
        <f>"35.44"</f>
        <v>35.44</v>
      </c>
      <c r="K430" s="104"/>
      <c r="L430" s="105"/>
      <c r="M430" s="104"/>
      <c r="N430" s="104"/>
      <c r="O430" s="104"/>
      <c r="P430" s="104"/>
      <c r="Q430" s="104"/>
      <c r="R430" s="104"/>
      <c r="S430" s="104"/>
      <c r="T430" s="107"/>
      <c r="U430" s="107"/>
    </row>
    <row r="431" ht="15.75" hidden="1" customHeight="1">
      <c r="A431" s="117" t="s">
        <v>92</v>
      </c>
      <c r="B431" s="104" t="str">
        <f>"TaxName"</f>
        <v>TaxName</v>
      </c>
      <c r="C431" s="104" t="str">
        <f>"yfs_tax_breakup.tax_name"</f>
        <v>yfs_tax_breakup.tax_name</v>
      </c>
      <c r="D431" s="104" t="str">
        <f>"string"</f>
        <v>string</v>
      </c>
      <c r="E431" s="105" t="str">
        <f>"40"</f>
        <v>40</v>
      </c>
      <c r="F431" s="104" t="s">
        <v>828</v>
      </c>
      <c r="G431" s="103" t="s">
        <v>77</v>
      </c>
      <c r="H431" s="103" t="str">
        <f>"space"</f>
        <v>space</v>
      </c>
      <c r="I431" s="104" t="str">
        <f t="shared" si="365"/>
        <v/>
      </c>
      <c r="J431" s="104" t="s">
        <v>823</v>
      </c>
      <c r="K431" s="104"/>
      <c r="L431" s="105"/>
      <c r="M431" s="104"/>
      <c r="N431" s="104"/>
      <c r="O431" s="104"/>
      <c r="P431" s="104"/>
      <c r="Q431" s="104"/>
      <c r="R431" s="104"/>
      <c r="S431" s="104"/>
      <c r="T431" s="107"/>
      <c r="U431" s="107"/>
    </row>
    <row r="432" ht="15.75" hidden="1" customHeight="1">
      <c r="A432" s="117" t="s">
        <v>92</v>
      </c>
      <c r="B432" s="104" t="str">
        <f>"TaxPercentage"</f>
        <v>TaxPercentage</v>
      </c>
      <c r="C432" s="104" t="str">
        <f>"yfs_tax_breakup.tax_percentage"</f>
        <v>yfs_tax_breakup.tax_percentage</v>
      </c>
      <c r="D432" s="104" t="str">
        <f>"decimal"</f>
        <v>decimal</v>
      </c>
      <c r="E432" s="105" t="str">
        <f>"8,5"</f>
        <v>8,5</v>
      </c>
      <c r="F432" s="104" t="s">
        <v>830</v>
      </c>
      <c r="G432" s="103" t="str">
        <f t="shared" ref="G432:G435" si="368">"O"</f>
        <v>O</v>
      </c>
      <c r="H432" s="103" t="str">
        <f>"0 "</f>
        <v>0 </v>
      </c>
      <c r="I432" s="104" t="str">
        <f t="shared" si="365"/>
        <v/>
      </c>
      <c r="J432" s="104" t="str">
        <f>"8.25"</f>
        <v>8.25</v>
      </c>
      <c r="K432" s="104"/>
      <c r="L432" s="105"/>
      <c r="M432" s="104"/>
      <c r="N432" s="104"/>
      <c r="O432" s="104"/>
      <c r="P432" s="104"/>
      <c r="Q432" s="104"/>
      <c r="R432" s="104"/>
      <c r="S432" s="104"/>
      <c r="T432" s="107"/>
      <c r="U432" s="107"/>
    </row>
    <row r="433" ht="15.75" hidden="1" customHeight="1">
      <c r="A433" s="103"/>
      <c r="B433" s="104" t="str">
        <f>"TaxableFlag"</f>
        <v>TaxableFlag</v>
      </c>
      <c r="C433" s="104" t="str">
        <f>"yfs_tax_breakup.taxable_flag"</f>
        <v>yfs_tax_breakup.taxable_flag</v>
      </c>
      <c r="D433" s="104" t="str">
        <f>"string"</f>
        <v>string</v>
      </c>
      <c r="E433" s="105" t="str">
        <f>"1"</f>
        <v>1</v>
      </c>
      <c r="F433" s="104" t="s">
        <v>831</v>
      </c>
      <c r="G433" s="103" t="str">
        <f t="shared" si="368"/>
        <v>O</v>
      </c>
      <c r="H433" s="103" t="str">
        <f>"N "</f>
        <v>N </v>
      </c>
      <c r="I433" s="104" t="str">
        <f t="shared" si="365"/>
        <v/>
      </c>
      <c r="J433" s="104" t="str">
        <f>"Y"</f>
        <v>Y</v>
      </c>
      <c r="K433" s="104"/>
      <c r="L433" s="105"/>
      <c r="M433" s="104"/>
      <c r="N433" s="104"/>
      <c r="O433" s="104"/>
      <c r="P433" s="104"/>
      <c r="Q433" s="104"/>
      <c r="R433" s="104"/>
      <c r="S433" s="104"/>
      <c r="T433" s="107"/>
      <c r="U433" s="107"/>
    </row>
    <row r="434" ht="15.75" hidden="1" customHeight="1">
      <c r="A434" s="196" t="s">
        <v>92</v>
      </c>
      <c r="B434" s="170" t="str">
        <f>"/Order/OrderLines/OrderLine/References"</f>
        <v>/Order/OrderLines/OrderLine/References</v>
      </c>
      <c r="C434" s="170"/>
      <c r="D434" s="170"/>
      <c r="E434" s="170"/>
      <c r="F434" s="170"/>
      <c r="G434" s="196" t="str">
        <f t="shared" si="368"/>
        <v>O</v>
      </c>
      <c r="H434" s="170"/>
      <c r="I434" s="170"/>
      <c r="J434" s="170"/>
      <c r="K434" s="170"/>
      <c r="L434" s="170"/>
      <c r="M434" s="170"/>
      <c r="N434" s="170"/>
      <c r="O434" s="170"/>
      <c r="P434" s="170"/>
      <c r="Q434" s="170"/>
      <c r="R434" s="170"/>
      <c r="S434" s="170"/>
      <c r="T434" s="197"/>
      <c r="U434" s="197"/>
    </row>
    <row r="435" ht="15.75" hidden="1" customHeight="1">
      <c r="A435" s="196" t="s">
        <v>92</v>
      </c>
      <c r="B435" s="170" t="str">
        <f>"/Order/OrderLines/OrderLine/References/Reference/@"</f>
        <v>/Order/OrderLines/OrderLine/References/Reference/@</v>
      </c>
      <c r="C435" s="170"/>
      <c r="D435" s="170"/>
      <c r="E435" s="170"/>
      <c r="F435" s="170"/>
      <c r="G435" s="196" t="str">
        <f t="shared" si="368"/>
        <v>O</v>
      </c>
      <c r="H435" s="170"/>
      <c r="I435" s="170"/>
      <c r="J435" s="170"/>
      <c r="K435" s="170"/>
      <c r="L435" s="170"/>
      <c r="M435" s="170"/>
      <c r="N435" s="170"/>
      <c r="O435" s="170"/>
      <c r="P435" s="170"/>
      <c r="Q435" s="170"/>
      <c r="R435" s="170"/>
      <c r="S435" s="170"/>
      <c r="T435" s="197"/>
      <c r="U435" s="197"/>
    </row>
    <row r="436" ht="15.75" hidden="1" customHeight="1">
      <c r="A436" s="103" t="s">
        <v>92</v>
      </c>
      <c r="B436" s="104" t="str">
        <f>"Name"</f>
        <v>Name</v>
      </c>
      <c r="C436" s="104" t="str">
        <f t="shared" ref="C436:C437" si="370">""</f>
        <v/>
      </c>
      <c r="D436" s="104" t="str">
        <f t="shared" ref="D436:D437" si="371">"string"</f>
        <v>string</v>
      </c>
      <c r="E436" s="105" t="str">
        <f t="shared" ref="E436:E437" si="372">"40"</f>
        <v>40</v>
      </c>
      <c r="F436" s="104" t="s">
        <v>832</v>
      </c>
      <c r="G436" s="103" t="str">
        <f>"M"</f>
        <v>M</v>
      </c>
      <c r="H436" s="103" t="str">
        <f t="shared" ref="H436:J436" si="369">""</f>
        <v/>
      </c>
      <c r="I436" s="104" t="str">
        <f t="shared" si="369"/>
        <v/>
      </c>
      <c r="J436" s="104" t="str">
        <f t="shared" si="369"/>
        <v/>
      </c>
      <c r="K436" s="104"/>
      <c r="L436" s="105"/>
      <c r="M436" s="104"/>
      <c r="N436" s="104"/>
      <c r="O436" s="104"/>
      <c r="P436" s="104"/>
      <c r="Q436" s="104"/>
      <c r="R436" s="104"/>
      <c r="S436" s="104"/>
      <c r="T436" s="107"/>
      <c r="U436" s="107"/>
    </row>
    <row r="437" ht="15.75" hidden="1" customHeight="1">
      <c r="A437" s="103" t="s">
        <v>92</v>
      </c>
      <c r="B437" s="104" t="str">
        <f>"Value"</f>
        <v>Value</v>
      </c>
      <c r="C437" s="104" t="str">
        <f t="shared" si="370"/>
        <v/>
      </c>
      <c r="D437" s="104" t="str">
        <f t="shared" si="371"/>
        <v>string</v>
      </c>
      <c r="E437" s="105" t="str">
        <f t="shared" si="372"/>
        <v>40</v>
      </c>
      <c r="F437" s="104" t="s">
        <v>83</v>
      </c>
      <c r="G437" s="103" t="str">
        <f t="shared" ref="G437:G443" si="374">"O"</f>
        <v>O</v>
      </c>
      <c r="H437" s="103" t="str">
        <f t="shared" ref="H437:J437" si="373">""</f>
        <v/>
      </c>
      <c r="I437" s="104" t="str">
        <f t="shared" si="373"/>
        <v/>
      </c>
      <c r="J437" s="104" t="str">
        <f t="shared" si="373"/>
        <v/>
      </c>
      <c r="K437" s="104"/>
      <c r="L437" s="105"/>
      <c r="M437" s="104"/>
      <c r="N437" s="104"/>
      <c r="O437" s="104"/>
      <c r="P437" s="104"/>
      <c r="Q437" s="104"/>
      <c r="R437" s="104"/>
      <c r="S437" s="104"/>
      <c r="T437" s="107"/>
      <c r="U437" s="107"/>
    </row>
    <row r="438" ht="15.75" hidden="1" customHeight="1">
      <c r="A438" s="196" t="s">
        <v>92</v>
      </c>
      <c r="B438" s="170" t="str">
        <f>"/Order/OrderLines/OrderLine/KitLines"</f>
        <v>/Order/OrderLines/OrderLine/KitLines</v>
      </c>
      <c r="C438" s="170"/>
      <c r="D438" s="170"/>
      <c r="E438" s="170"/>
      <c r="F438" s="170"/>
      <c r="G438" s="196" t="str">
        <f t="shared" si="374"/>
        <v>O</v>
      </c>
      <c r="H438" s="170"/>
      <c r="I438" s="170"/>
      <c r="J438" s="170"/>
      <c r="K438" s="170"/>
      <c r="L438" s="170"/>
      <c r="M438" s="170"/>
      <c r="N438" s="170"/>
      <c r="O438" s="170"/>
      <c r="P438" s="170"/>
      <c r="Q438" s="170"/>
      <c r="R438" s="170"/>
      <c r="S438" s="170"/>
      <c r="T438" s="197"/>
      <c r="U438" s="197"/>
    </row>
    <row r="439" ht="15.75" hidden="1" customHeight="1">
      <c r="A439" s="196" t="s">
        <v>92</v>
      </c>
      <c r="B439" s="170" t="str">
        <f>"/Order/OrderLines/OrderLine/KitLines/KitLine/@"</f>
        <v>/Order/OrderLines/OrderLine/KitLines/KitLine/@</v>
      </c>
      <c r="C439" s="170"/>
      <c r="D439" s="170"/>
      <c r="E439" s="170"/>
      <c r="F439" s="170"/>
      <c r="G439" s="196" t="str">
        <f t="shared" si="374"/>
        <v>O</v>
      </c>
      <c r="H439" s="170"/>
      <c r="I439" s="170"/>
      <c r="J439" s="170"/>
      <c r="K439" s="170"/>
      <c r="L439" s="170"/>
      <c r="M439" s="170"/>
      <c r="N439" s="170"/>
      <c r="O439" s="170"/>
      <c r="P439" s="170"/>
      <c r="Q439" s="170"/>
      <c r="R439" s="170"/>
      <c r="S439" s="170"/>
      <c r="T439" s="197"/>
      <c r="U439" s="197"/>
    </row>
    <row r="440" ht="15.75" hidden="1" customHeight="1">
      <c r="A440" s="103" t="s">
        <v>92</v>
      </c>
      <c r="B440" s="104" t="str">
        <f>"CustomerItem"</f>
        <v>CustomerItem</v>
      </c>
      <c r="C440" s="104" t="str">
        <f>"yfs_order_kit_line.customer_item"</f>
        <v>yfs_order_kit_line.customer_item</v>
      </c>
      <c r="D440" s="104" t="str">
        <f t="shared" ref="D440:D445" si="376">"string"</f>
        <v>string</v>
      </c>
      <c r="E440" s="105" t="str">
        <f>"40"</f>
        <v>40</v>
      </c>
      <c r="F440" s="104" t="s">
        <v>833</v>
      </c>
      <c r="G440" s="103" t="str">
        <f t="shared" si="374"/>
        <v>O</v>
      </c>
      <c r="H440" s="103" t="str">
        <f t="shared" ref="H440:H445" si="377">"space"</f>
        <v>space</v>
      </c>
      <c r="I440" s="104" t="str">
        <f t="shared" ref="I440:J440" si="375">""</f>
        <v/>
      </c>
      <c r="J440" s="104" t="str">
        <f t="shared" si="375"/>
        <v/>
      </c>
      <c r="K440" s="104"/>
      <c r="L440" s="105"/>
      <c r="M440" s="104"/>
      <c r="N440" s="104"/>
      <c r="O440" s="104"/>
      <c r="P440" s="104"/>
      <c r="Q440" s="104"/>
      <c r="R440" s="104"/>
      <c r="S440" s="104"/>
      <c r="T440" s="107"/>
      <c r="U440" s="107"/>
    </row>
    <row r="441" ht="15.75" hidden="1" customHeight="1">
      <c r="A441" s="103" t="s">
        <v>92</v>
      </c>
      <c r="B441" s="104" t="str">
        <f>"CustomerItemDesc"</f>
        <v>CustomerItemDesc</v>
      </c>
      <c r="C441" s="104" t="str">
        <f>"yfs_order_kit_line.customer_item_description"</f>
        <v>yfs_order_kit_line.customer_item_description</v>
      </c>
      <c r="D441" s="104" t="str">
        <f t="shared" si="376"/>
        <v>string</v>
      </c>
      <c r="E441" s="105" t="str">
        <f>"500"</f>
        <v>500</v>
      </c>
      <c r="F441" s="104" t="s">
        <v>835</v>
      </c>
      <c r="G441" s="103" t="str">
        <f t="shared" si="374"/>
        <v>O</v>
      </c>
      <c r="H441" s="103" t="str">
        <f t="shared" si="377"/>
        <v>space</v>
      </c>
      <c r="I441" s="104" t="str">
        <f t="shared" ref="I441:J441" si="378">""</f>
        <v/>
      </c>
      <c r="J441" s="104" t="str">
        <f t="shared" si="378"/>
        <v/>
      </c>
      <c r="K441" s="104"/>
      <c r="L441" s="105"/>
      <c r="M441" s="104"/>
      <c r="N441" s="104"/>
      <c r="O441" s="104"/>
      <c r="P441" s="104"/>
      <c r="Q441" s="104"/>
      <c r="R441" s="104"/>
      <c r="S441" s="104"/>
      <c r="T441" s="107"/>
      <c r="U441" s="107"/>
    </row>
    <row r="442" ht="15.75" hidden="1" customHeight="1">
      <c r="A442" s="103" t="s">
        <v>92</v>
      </c>
      <c r="B442" s="104" t="str">
        <f>"DepartmentCode"</f>
        <v>DepartmentCode</v>
      </c>
      <c r="C442" s="104" t="str">
        <f>"yfs_order_kit_line.department_code"</f>
        <v>yfs_order_kit_line.department_code</v>
      </c>
      <c r="D442" s="104" t="str">
        <f t="shared" si="376"/>
        <v>string</v>
      </c>
      <c r="E442" s="105" t="str">
        <f>"20"</f>
        <v>20</v>
      </c>
      <c r="F442" s="104" t="s">
        <v>836</v>
      </c>
      <c r="G442" s="103" t="str">
        <f t="shared" si="374"/>
        <v>O</v>
      </c>
      <c r="H442" s="103" t="str">
        <f t="shared" si="377"/>
        <v>space</v>
      </c>
      <c r="I442" s="104" t="str">
        <f t="shared" ref="I442:J442" si="379">""</f>
        <v/>
      </c>
      <c r="J442" s="104" t="str">
        <f t="shared" si="379"/>
        <v/>
      </c>
      <c r="K442" s="104"/>
      <c r="L442" s="105"/>
      <c r="M442" s="104"/>
      <c r="N442" s="104"/>
      <c r="O442" s="104"/>
      <c r="P442" s="104"/>
      <c r="Q442" s="104"/>
      <c r="R442" s="104"/>
      <c r="S442" s="104"/>
      <c r="T442" s="107"/>
      <c r="U442" s="107"/>
    </row>
    <row r="443" ht="15.75" hidden="1" customHeight="1">
      <c r="A443" s="103" t="s">
        <v>92</v>
      </c>
      <c r="B443" s="104" t="str">
        <f>"ItemDesc"</f>
        <v>ItemDesc</v>
      </c>
      <c r="C443" s="104" t="str">
        <f>"yfs_order_kit_line.item_description"</f>
        <v>yfs_order_kit_line.item_description</v>
      </c>
      <c r="D443" s="104" t="str">
        <f t="shared" si="376"/>
        <v>string</v>
      </c>
      <c r="E443" s="105" t="str">
        <f>"500"</f>
        <v>500</v>
      </c>
      <c r="F443" s="104" t="s">
        <v>837</v>
      </c>
      <c r="G443" s="103" t="str">
        <f t="shared" si="374"/>
        <v>O</v>
      </c>
      <c r="H443" s="103" t="str">
        <f t="shared" si="377"/>
        <v>space</v>
      </c>
      <c r="I443" s="104" t="str">
        <f t="shared" ref="I443:J443" si="380">""</f>
        <v/>
      </c>
      <c r="J443" s="104" t="str">
        <f t="shared" si="380"/>
        <v/>
      </c>
      <c r="K443" s="104"/>
      <c r="L443" s="105"/>
      <c r="M443" s="104"/>
      <c r="N443" s="104"/>
      <c r="O443" s="104"/>
      <c r="P443" s="104"/>
      <c r="Q443" s="104"/>
      <c r="R443" s="104"/>
      <c r="S443" s="104"/>
      <c r="T443" s="107"/>
      <c r="U443" s="107"/>
    </row>
    <row r="444" ht="15.75" hidden="1" customHeight="1">
      <c r="A444" s="103" t="s">
        <v>92</v>
      </c>
      <c r="B444" s="104" t="str">
        <f>"ItemID"</f>
        <v>ItemID</v>
      </c>
      <c r="C444" s="104" t="str">
        <f>"yfs_order_kit_line.item_id"</f>
        <v>yfs_order_kit_line.item_id</v>
      </c>
      <c r="D444" s="104" t="str">
        <f t="shared" si="376"/>
        <v>string</v>
      </c>
      <c r="E444" s="105" t="str">
        <f>"40"</f>
        <v>40</v>
      </c>
      <c r="F444" s="104" t="s">
        <v>838</v>
      </c>
      <c r="G444" s="103" t="str">
        <f>"M"</f>
        <v>M</v>
      </c>
      <c r="H444" s="103" t="str">
        <f t="shared" si="377"/>
        <v>space</v>
      </c>
      <c r="I444" s="104" t="str">
        <f t="shared" ref="I444:I454" si="381">""</f>
        <v/>
      </c>
      <c r="J444" s="104" t="str">
        <f>"13027"</f>
        <v>13027</v>
      </c>
      <c r="K444" s="104"/>
      <c r="L444" s="105"/>
      <c r="M444" s="104"/>
      <c r="N444" s="104"/>
      <c r="O444" s="104"/>
      <c r="P444" s="104"/>
      <c r="Q444" s="104"/>
      <c r="R444" s="104"/>
      <c r="S444" s="104"/>
      <c r="T444" s="107"/>
      <c r="U444" s="107"/>
    </row>
    <row r="445" ht="15.75" hidden="1" customHeight="1">
      <c r="A445" s="103" t="s">
        <v>92</v>
      </c>
      <c r="B445" s="104" t="str">
        <f>"ItemShortDesc"</f>
        <v>ItemShortDesc</v>
      </c>
      <c r="C445" s="104" t="str">
        <f>"yfs_order_kit_line.item_short_description"</f>
        <v>yfs_order_kit_line.item_short_description</v>
      </c>
      <c r="D445" s="104" t="str">
        <f t="shared" si="376"/>
        <v>string</v>
      </c>
      <c r="E445" s="105" t="str">
        <f>"200"</f>
        <v>200</v>
      </c>
      <c r="F445" s="104" t="s">
        <v>839</v>
      </c>
      <c r="G445" s="103" t="str">
        <f t="shared" ref="G445:G447" si="382">"O"</f>
        <v>O</v>
      </c>
      <c r="H445" s="103" t="str">
        <f t="shared" si="377"/>
        <v>space</v>
      </c>
      <c r="I445" s="104" t="str">
        <f t="shared" si="381"/>
        <v/>
      </c>
      <c r="J445" s="104" t="str">
        <f t="shared" ref="J445:J446" si="383">""</f>
        <v/>
      </c>
      <c r="K445" s="104"/>
      <c r="L445" s="105"/>
      <c r="M445" s="104"/>
      <c r="N445" s="104"/>
      <c r="O445" s="104"/>
      <c r="P445" s="104"/>
      <c r="Q445" s="104"/>
      <c r="R445" s="104"/>
      <c r="S445" s="104"/>
      <c r="T445" s="107"/>
      <c r="U445" s="107"/>
    </row>
    <row r="446" ht="15.75" hidden="1" customHeight="1">
      <c r="A446" s="103" t="s">
        <v>92</v>
      </c>
      <c r="B446" s="104" t="str">
        <f>"ItemWeight"</f>
        <v>ItemWeight</v>
      </c>
      <c r="C446" s="104" t="str">
        <f>"yfs_order_kit_line.item_weight"</f>
        <v>yfs_order_kit_line.item_weight</v>
      </c>
      <c r="D446" s="104" t="str">
        <f>"decimal"</f>
        <v>decimal</v>
      </c>
      <c r="E446" s="105" t="str">
        <f>"14,4"</f>
        <v>14,4</v>
      </c>
      <c r="F446" s="104" t="s">
        <v>840</v>
      </c>
      <c r="G446" s="103" t="str">
        <f t="shared" si="382"/>
        <v>O</v>
      </c>
      <c r="H446" s="103" t="str">
        <f>"0 "</f>
        <v>0 </v>
      </c>
      <c r="I446" s="104" t="str">
        <f t="shared" si="381"/>
        <v/>
      </c>
      <c r="J446" s="104" t="str">
        <f t="shared" si="383"/>
        <v/>
      </c>
      <c r="K446" s="104"/>
      <c r="L446" s="105"/>
      <c r="M446" s="104"/>
      <c r="N446" s="104"/>
      <c r="O446" s="104"/>
      <c r="P446" s="104"/>
      <c r="Q446" s="104"/>
      <c r="R446" s="104"/>
      <c r="S446" s="104"/>
      <c r="T446" s="107"/>
      <c r="U446" s="107"/>
    </row>
    <row r="447" ht="15.75" hidden="1" customHeight="1">
      <c r="A447" s="103" t="s">
        <v>92</v>
      </c>
      <c r="B447" s="104" t="str">
        <f>"ItemWeightUOM"</f>
        <v>ItemWeightUOM</v>
      </c>
      <c r="C447" s="104" t="str">
        <f>"yfs_order_kit_line.item_weight_uom"</f>
        <v>yfs_order_kit_line.item_weight_uom</v>
      </c>
      <c r="D447" s="104" t="str">
        <f>"string"</f>
        <v>string</v>
      </c>
      <c r="E447" s="105" t="str">
        <f>"40"</f>
        <v>40</v>
      </c>
      <c r="F447" s="104" t="s">
        <v>841</v>
      </c>
      <c r="G447" s="103" t="str">
        <f t="shared" si="382"/>
        <v>O</v>
      </c>
      <c r="H447" s="103" t="str">
        <f>"space"</f>
        <v>space</v>
      </c>
      <c r="I447" s="104" t="str">
        <f t="shared" si="381"/>
        <v/>
      </c>
      <c r="J447" s="104" t="str">
        <f>"LB"</f>
        <v>LB</v>
      </c>
      <c r="K447" s="104"/>
      <c r="L447" s="105"/>
      <c r="M447" s="104"/>
      <c r="N447" s="104"/>
      <c r="O447" s="104"/>
      <c r="P447" s="104"/>
      <c r="Q447" s="104"/>
      <c r="R447" s="104"/>
      <c r="S447" s="104"/>
      <c r="T447" s="107"/>
      <c r="U447" s="107"/>
    </row>
    <row r="448" ht="15.75" hidden="1" customHeight="1">
      <c r="A448" s="103" t="s">
        <v>92</v>
      </c>
      <c r="B448" s="104" t="str">
        <f>"KitQty"</f>
        <v>KitQty</v>
      </c>
      <c r="C448" s="104" t="str">
        <f>"yfs_order_kit_line.kit_qty"</f>
        <v>yfs_order_kit_line.kit_qty</v>
      </c>
      <c r="D448" s="104" t="str">
        <f>"decimal"</f>
        <v>decimal</v>
      </c>
      <c r="E448" s="105" t="str">
        <f>"14,4"</f>
        <v>14,4</v>
      </c>
      <c r="F448" s="104" t="s">
        <v>842</v>
      </c>
      <c r="G448" s="103" t="str">
        <f>"M"</f>
        <v>M</v>
      </c>
      <c r="H448" s="103" t="str">
        <f>"0 "</f>
        <v>0 </v>
      </c>
      <c r="I448" s="104" t="str">
        <f t="shared" si="381"/>
        <v/>
      </c>
      <c r="J448" s="104" t="str">
        <f>""</f>
        <v/>
      </c>
      <c r="K448" s="104"/>
      <c r="L448" s="105"/>
      <c r="M448" s="104"/>
      <c r="N448" s="104"/>
      <c r="O448" s="104"/>
      <c r="P448" s="104"/>
      <c r="Q448" s="104"/>
      <c r="R448" s="104"/>
      <c r="S448" s="104"/>
      <c r="T448" s="107"/>
      <c r="U448" s="107"/>
    </row>
    <row r="449" ht="15.75" hidden="1" customHeight="1">
      <c r="A449" s="103" t="s">
        <v>92</v>
      </c>
      <c r="B449" s="104" t="str">
        <f>"ProductClass"</f>
        <v>ProductClass</v>
      </c>
      <c r="C449" s="104" t="str">
        <f>"yfs_order_kit_line.product_class"</f>
        <v>yfs_order_kit_line.product_class</v>
      </c>
      <c r="D449" s="104" t="str">
        <f t="shared" ref="D449:D452" si="384">"string"</f>
        <v>string</v>
      </c>
      <c r="E449" s="105" t="str">
        <f>"10"</f>
        <v>10</v>
      </c>
      <c r="F449" s="104" t="s">
        <v>843</v>
      </c>
      <c r="G449" s="103" t="str">
        <f t="shared" ref="G449:G459" si="385">"O"</f>
        <v>O</v>
      </c>
      <c r="H449" s="103" t="str">
        <f t="shared" ref="H449:H452" si="386">"space"</f>
        <v>space</v>
      </c>
      <c r="I449" s="104" t="str">
        <f t="shared" si="381"/>
        <v/>
      </c>
      <c r="J449" s="104" t="str">
        <f>"GOOD"</f>
        <v>GOOD</v>
      </c>
      <c r="K449" s="104"/>
      <c r="L449" s="105"/>
      <c r="M449" s="104"/>
      <c r="N449" s="104"/>
      <c r="O449" s="104"/>
      <c r="P449" s="104"/>
      <c r="Q449" s="104"/>
      <c r="R449" s="104"/>
      <c r="S449" s="104"/>
      <c r="T449" s="107"/>
      <c r="U449" s="107"/>
    </row>
    <row r="450" ht="15.75" hidden="1" customHeight="1">
      <c r="A450" s="103" t="s">
        <v>92</v>
      </c>
      <c r="B450" s="104" t="str">
        <f>"SupplierItem"</f>
        <v>SupplierItem</v>
      </c>
      <c r="C450" s="104" t="str">
        <f>"yfs_order_kit_line.supplier_item"</f>
        <v>yfs_order_kit_line.supplier_item</v>
      </c>
      <c r="D450" s="104" t="str">
        <f t="shared" si="384"/>
        <v>string</v>
      </c>
      <c r="E450" s="105" t="str">
        <f>"40"</f>
        <v>40</v>
      </c>
      <c r="F450" s="104" t="s">
        <v>844</v>
      </c>
      <c r="G450" s="103" t="str">
        <f t="shared" si="385"/>
        <v>O</v>
      </c>
      <c r="H450" s="103" t="str">
        <f t="shared" si="386"/>
        <v>space</v>
      </c>
      <c r="I450" s="104" t="str">
        <f t="shared" si="381"/>
        <v/>
      </c>
      <c r="J450" s="104" t="str">
        <f t="shared" ref="J450:J453" si="387">""</f>
        <v/>
      </c>
      <c r="K450" s="104"/>
      <c r="L450" s="105"/>
      <c r="M450" s="104"/>
      <c r="N450" s="104"/>
      <c r="O450" s="104"/>
      <c r="P450" s="104"/>
      <c r="Q450" s="104"/>
      <c r="R450" s="104"/>
      <c r="S450" s="104"/>
      <c r="T450" s="107"/>
      <c r="U450" s="107"/>
    </row>
    <row r="451" ht="15.75" hidden="1" customHeight="1">
      <c r="A451" s="103" t="s">
        <v>92</v>
      </c>
      <c r="B451" s="104" t="str">
        <f>"SupplierItemDesc"</f>
        <v>SupplierItemDesc</v>
      </c>
      <c r="C451" s="104" t="str">
        <f>"yfs_order_kit_line.supplier_item_description"</f>
        <v>yfs_order_kit_line.supplier_item_description</v>
      </c>
      <c r="D451" s="104" t="str">
        <f t="shared" si="384"/>
        <v>string</v>
      </c>
      <c r="E451" s="105" t="str">
        <f>"200"</f>
        <v>200</v>
      </c>
      <c r="F451" s="104" t="s">
        <v>845</v>
      </c>
      <c r="G451" s="103" t="str">
        <f t="shared" si="385"/>
        <v>O</v>
      </c>
      <c r="H451" s="103" t="str">
        <f t="shared" si="386"/>
        <v>space</v>
      </c>
      <c r="I451" s="104" t="str">
        <f t="shared" si="381"/>
        <v/>
      </c>
      <c r="J451" s="104" t="str">
        <f t="shared" si="387"/>
        <v/>
      </c>
      <c r="K451" s="104"/>
      <c r="L451" s="105"/>
      <c r="M451" s="104"/>
      <c r="N451" s="104"/>
      <c r="O451" s="104"/>
      <c r="P451" s="104"/>
      <c r="Q451" s="104"/>
      <c r="R451" s="104"/>
      <c r="S451" s="104"/>
      <c r="T451" s="107"/>
      <c r="U451" s="107"/>
    </row>
    <row r="452" ht="15.75" hidden="1" customHeight="1">
      <c r="A452" s="103" t="s">
        <v>92</v>
      </c>
      <c r="B452" s="104" t="str">
        <f>"UPCCode"</f>
        <v>UPCCode</v>
      </c>
      <c r="C452" s="104" t="str">
        <f>"yfs_order_kit_line.upc_code"</f>
        <v>yfs_order_kit_line.upc_code</v>
      </c>
      <c r="D452" s="104" t="str">
        <f t="shared" si="384"/>
        <v>string</v>
      </c>
      <c r="E452" s="105" t="str">
        <f>"40"</f>
        <v>40</v>
      </c>
      <c r="F452" s="104" t="s">
        <v>846</v>
      </c>
      <c r="G452" s="103" t="str">
        <f t="shared" si="385"/>
        <v>O</v>
      </c>
      <c r="H452" s="103" t="str">
        <f t="shared" si="386"/>
        <v>space</v>
      </c>
      <c r="I452" s="104" t="str">
        <f t="shared" si="381"/>
        <v/>
      </c>
      <c r="J452" s="104" t="str">
        <f t="shared" si="387"/>
        <v/>
      </c>
      <c r="K452" s="104"/>
      <c r="L452" s="105"/>
      <c r="M452" s="104"/>
      <c r="N452" s="104"/>
      <c r="O452" s="104"/>
      <c r="P452" s="104"/>
      <c r="Q452" s="104"/>
      <c r="R452" s="104"/>
      <c r="S452" s="104"/>
      <c r="T452" s="107"/>
      <c r="U452" s="107"/>
    </row>
    <row r="453" ht="15.75" hidden="1" customHeight="1">
      <c r="A453" s="103" t="s">
        <v>92</v>
      </c>
      <c r="B453" s="104" t="str">
        <f>"UnitCost"</f>
        <v>UnitCost</v>
      </c>
      <c r="C453" s="104" t="str">
        <f>"yfs_order_kit_line.unit_cost"</f>
        <v>yfs_order_kit_line.unit_cost</v>
      </c>
      <c r="D453" s="104" t="str">
        <f>"decimal"</f>
        <v>decimal</v>
      </c>
      <c r="E453" s="105" t="str">
        <f>"19,6"</f>
        <v>19,6</v>
      </c>
      <c r="F453" s="104" t="s">
        <v>847</v>
      </c>
      <c r="G453" s="103" t="str">
        <f t="shared" si="385"/>
        <v>O</v>
      </c>
      <c r="H453" s="103" t="str">
        <f>"0 "</f>
        <v>0 </v>
      </c>
      <c r="I453" s="104" t="str">
        <f t="shared" si="381"/>
        <v/>
      </c>
      <c r="J453" s="104" t="str">
        <f t="shared" si="387"/>
        <v/>
      </c>
      <c r="K453" s="104"/>
      <c r="L453" s="105"/>
      <c r="M453" s="104"/>
      <c r="N453" s="104"/>
      <c r="O453" s="104"/>
      <c r="P453" s="104"/>
      <c r="Q453" s="104"/>
      <c r="R453" s="104"/>
      <c r="S453" s="104"/>
      <c r="T453" s="107"/>
      <c r="U453" s="107"/>
    </row>
    <row r="454" ht="15.75" hidden="1" customHeight="1">
      <c r="A454" s="103" t="s">
        <v>92</v>
      </c>
      <c r="B454" s="104" t="str">
        <f>"UnitOfMeasure"</f>
        <v>UnitOfMeasure</v>
      </c>
      <c r="C454" s="104" t="str">
        <f>"yfs_order_kit_line.uom"</f>
        <v>yfs_order_kit_line.uom</v>
      </c>
      <c r="D454" s="104" t="str">
        <f>"string"</f>
        <v>string</v>
      </c>
      <c r="E454" s="105" t="str">
        <f>"40"</f>
        <v>40</v>
      </c>
      <c r="F454" s="104" t="s">
        <v>848</v>
      </c>
      <c r="G454" s="103" t="str">
        <f t="shared" si="385"/>
        <v>O</v>
      </c>
      <c r="H454" s="103" t="str">
        <f>"space"</f>
        <v>space</v>
      </c>
      <c r="I454" s="104" t="str">
        <f t="shared" si="381"/>
        <v/>
      </c>
      <c r="J454" s="104" t="str">
        <f>"LCU"</f>
        <v>LCU</v>
      </c>
      <c r="K454" s="104"/>
      <c r="L454" s="105"/>
      <c r="M454" s="104"/>
      <c r="N454" s="104"/>
      <c r="O454" s="104"/>
      <c r="P454" s="104"/>
      <c r="Q454" s="104"/>
      <c r="R454" s="104"/>
      <c r="S454" s="104"/>
      <c r="T454" s="107"/>
      <c r="U454" s="107"/>
    </row>
    <row r="455" ht="15.75" hidden="1" customHeight="1">
      <c r="A455" s="196" t="s">
        <v>92</v>
      </c>
      <c r="B455" s="170" t="str">
        <f>"/Order/OrderLines/OrderLine/KitLines/KitLine/KitLineTranQuantity/@"</f>
        <v>/Order/OrderLines/OrderLine/KitLines/KitLine/KitLineTranQuantity/@</v>
      </c>
      <c r="C455" s="170"/>
      <c r="D455" s="170"/>
      <c r="E455" s="170"/>
      <c r="F455" s="170"/>
      <c r="G455" s="196" t="str">
        <f t="shared" si="385"/>
        <v>O</v>
      </c>
      <c r="H455" s="170"/>
      <c r="I455" s="170"/>
      <c r="J455" s="170"/>
      <c r="K455" s="170"/>
      <c r="L455" s="170"/>
      <c r="M455" s="170"/>
      <c r="N455" s="170"/>
      <c r="O455" s="170"/>
      <c r="P455" s="170"/>
      <c r="Q455" s="170"/>
      <c r="R455" s="170"/>
      <c r="S455" s="170"/>
      <c r="T455" s="197"/>
      <c r="U455" s="197"/>
    </row>
    <row r="456" ht="15.75" hidden="1" customHeight="1">
      <c r="A456" s="103" t="s">
        <v>92</v>
      </c>
      <c r="B456" s="104" t="str">
        <f>"KitQty"</f>
        <v>KitQty</v>
      </c>
      <c r="C456" s="104" t="str">
        <f t="shared" ref="C456:C457" si="389">""</f>
        <v/>
      </c>
      <c r="D456" s="104" t="str">
        <f>"decimal"</f>
        <v>decimal</v>
      </c>
      <c r="E456" s="105" t="str">
        <f>"14,4"</f>
        <v>14,4</v>
      </c>
      <c r="F456" s="104" t="s">
        <v>849</v>
      </c>
      <c r="G456" s="103" t="str">
        <f t="shared" si="385"/>
        <v>O</v>
      </c>
      <c r="H456" s="103" t="str">
        <f t="shared" ref="H456:J456" si="388">""</f>
        <v/>
      </c>
      <c r="I456" s="104" t="str">
        <f t="shared" si="388"/>
        <v/>
      </c>
      <c r="J456" s="104" t="str">
        <f t="shared" si="388"/>
        <v/>
      </c>
      <c r="K456" s="104"/>
      <c r="L456" s="105"/>
      <c r="M456" s="104"/>
      <c r="N456" s="104"/>
      <c r="O456" s="104"/>
      <c r="P456" s="104"/>
      <c r="Q456" s="104"/>
      <c r="R456" s="104"/>
      <c r="S456" s="104"/>
      <c r="T456" s="107"/>
      <c r="U456" s="107"/>
    </row>
    <row r="457" ht="15.75" hidden="1" customHeight="1">
      <c r="A457" s="103" t="s">
        <v>92</v>
      </c>
      <c r="B457" s="104" t="str">
        <f>"TransactionalUOM"</f>
        <v>TransactionalUOM</v>
      </c>
      <c r="C457" s="104" t="str">
        <f t="shared" si="389"/>
        <v/>
      </c>
      <c r="D457" s="104" t="str">
        <f>"string"</f>
        <v>string</v>
      </c>
      <c r="E457" s="105" t="str">
        <f>"40"</f>
        <v>40</v>
      </c>
      <c r="F457" s="104" t="s">
        <v>499</v>
      </c>
      <c r="G457" s="103" t="str">
        <f t="shared" si="385"/>
        <v>O</v>
      </c>
      <c r="H457" s="103" t="str">
        <f t="shared" ref="H457:J457" si="390">""</f>
        <v/>
      </c>
      <c r="I457" s="104" t="str">
        <f t="shared" si="390"/>
        <v/>
      </c>
      <c r="J457" s="104" t="str">
        <f t="shared" si="390"/>
        <v/>
      </c>
      <c r="K457" s="104"/>
      <c r="L457" s="105"/>
      <c r="M457" s="104"/>
      <c r="N457" s="104"/>
      <c r="O457" s="104"/>
      <c r="P457" s="104"/>
      <c r="Q457" s="104"/>
      <c r="R457" s="104"/>
      <c r="S457" s="104"/>
      <c r="T457" s="107"/>
      <c r="U457" s="107"/>
    </row>
    <row r="458" ht="15.75" hidden="1" customHeight="1">
      <c r="A458" s="196"/>
      <c r="B458" s="170" t="str">
        <f>"/Order/OrderLines/OrderLine/AdditionalAddresses"</f>
        <v>/Order/OrderLines/OrderLine/AdditionalAddresses</v>
      </c>
      <c r="C458" s="170"/>
      <c r="D458" s="170"/>
      <c r="E458" s="170"/>
      <c r="F458" s="170"/>
      <c r="G458" s="196" t="str">
        <f t="shared" si="385"/>
        <v>O</v>
      </c>
      <c r="H458" s="170"/>
      <c r="I458" s="170"/>
      <c r="J458" s="170"/>
      <c r="K458" s="170"/>
      <c r="L458" s="170"/>
      <c r="M458" s="170"/>
      <c r="N458" s="170"/>
      <c r="O458" s="170"/>
      <c r="P458" s="170"/>
      <c r="Q458" s="170"/>
      <c r="R458" s="170"/>
      <c r="S458" s="170"/>
      <c r="T458" s="197"/>
      <c r="U458" s="197"/>
    </row>
    <row r="459" ht="15.75" hidden="1" customHeight="1">
      <c r="A459" s="196"/>
      <c r="B459" s="170" t="str">
        <f>"/Order/OrderLines/OrderLine/AdditionalAddresses/AdditionalAddress/@"</f>
        <v>/Order/OrderLines/OrderLine/AdditionalAddresses/AdditionalAddress/@</v>
      </c>
      <c r="C459" s="170"/>
      <c r="D459" s="170"/>
      <c r="E459" s="170"/>
      <c r="F459" s="170"/>
      <c r="G459" s="196" t="str">
        <f t="shared" si="385"/>
        <v>O</v>
      </c>
      <c r="H459" s="170"/>
      <c r="I459" s="170"/>
      <c r="J459" s="170"/>
      <c r="K459" s="170"/>
      <c r="L459" s="170"/>
      <c r="M459" s="170"/>
      <c r="N459" s="170"/>
      <c r="O459" s="170"/>
      <c r="P459" s="170"/>
      <c r="Q459" s="170"/>
      <c r="R459" s="170"/>
      <c r="S459" s="170"/>
      <c r="T459" s="197"/>
      <c r="U459" s="197"/>
    </row>
    <row r="460" ht="15.75" hidden="1" customHeight="1">
      <c r="A460" s="103"/>
      <c r="B460" s="104" t="str">
        <f>"AddressType"</f>
        <v>AddressType</v>
      </c>
      <c r="C460" s="104" t="str">
        <f>"yfs_entity_address.address_type"</f>
        <v>yfs_entity_address.address_type</v>
      </c>
      <c r="D460" s="104" t="str">
        <f>"UNKNOWN"</f>
        <v>UNKNOWN</v>
      </c>
      <c r="E460" s="105" t="str">
        <f>""</f>
        <v/>
      </c>
      <c r="F460" s="104" t="s">
        <v>850</v>
      </c>
      <c r="G460" s="103" t="str">
        <f>"M"</f>
        <v>M</v>
      </c>
      <c r="H460" s="103" t="str">
        <f>"space"</f>
        <v>space</v>
      </c>
      <c r="I460" s="104" t="str">
        <f t="shared" ref="I460:J460" si="391">""</f>
        <v/>
      </c>
      <c r="J460" s="104" t="str">
        <f t="shared" si="391"/>
        <v/>
      </c>
      <c r="K460" s="104"/>
      <c r="L460" s="105"/>
      <c r="M460" s="104"/>
      <c r="N460" s="104"/>
      <c r="O460" s="104"/>
      <c r="P460" s="104"/>
      <c r="Q460" s="104"/>
      <c r="R460" s="104"/>
      <c r="S460" s="104"/>
      <c r="T460" s="107"/>
      <c r="U460" s="107"/>
    </row>
    <row r="461" ht="15.75" hidden="1" customHeight="1">
      <c r="A461" s="196"/>
      <c r="B461" s="170" t="str">
        <f>"/Order/OrderLines/OrderLine/AdditionalAddresses/AdditionalAddress/PersonInfo/@"</f>
        <v>/Order/OrderLines/OrderLine/AdditionalAddresses/AdditionalAddress/PersonInfo/@</v>
      </c>
      <c r="C461" s="170"/>
      <c r="D461" s="170"/>
      <c r="E461" s="170"/>
      <c r="F461" s="170"/>
      <c r="G461" s="196" t="str">
        <f t="shared" ref="G461:G495" si="392">"O"</f>
        <v>O</v>
      </c>
      <c r="H461" s="170"/>
      <c r="I461" s="170"/>
      <c r="J461" s="170"/>
      <c r="K461" s="170"/>
      <c r="L461" s="170"/>
      <c r="M461" s="170"/>
      <c r="N461" s="170"/>
      <c r="O461" s="170"/>
      <c r="P461" s="170"/>
      <c r="Q461" s="170"/>
      <c r="R461" s="170"/>
      <c r="S461" s="170"/>
      <c r="T461" s="197"/>
      <c r="U461" s="197"/>
    </row>
    <row r="462" ht="15.75" hidden="1" customHeight="1">
      <c r="A462" s="103"/>
      <c r="B462" s="104" t="str">
        <f>"AddressID"</f>
        <v>AddressID</v>
      </c>
      <c r="C462" s="104" t="str">
        <f>"yfs_person_info.address_id"</f>
        <v>yfs_person_info.address_id</v>
      </c>
      <c r="D462" s="104" t="str">
        <f t="shared" ref="D462:D471" si="394">"string"</f>
        <v>string</v>
      </c>
      <c r="E462" s="105" t="str">
        <f>"256"</f>
        <v>256</v>
      </c>
      <c r="F462" s="104" t="s">
        <v>684</v>
      </c>
      <c r="G462" s="103" t="str">
        <f t="shared" si="392"/>
        <v>O</v>
      </c>
      <c r="H462" s="103" t="str">
        <f>"null"</f>
        <v>null</v>
      </c>
      <c r="I462" s="104" t="str">
        <f t="shared" ref="I462:J462" si="393">""</f>
        <v/>
      </c>
      <c r="J462" s="104" t="str">
        <f t="shared" si="393"/>
        <v/>
      </c>
      <c r="K462" s="104"/>
      <c r="L462" s="105"/>
      <c r="M462" s="104"/>
      <c r="N462" s="104"/>
      <c r="O462" s="104"/>
      <c r="P462" s="104"/>
      <c r="Q462" s="104"/>
      <c r="R462" s="104"/>
      <c r="S462" s="104"/>
      <c r="T462" s="107"/>
      <c r="U462" s="107"/>
    </row>
    <row r="463" ht="15.75" hidden="1" customHeight="1">
      <c r="A463" s="103"/>
      <c r="B463" s="104" t="str">
        <f>"AddressLine1"</f>
        <v>AddressLine1</v>
      </c>
      <c r="C463" s="104" t="str">
        <f>"yfs_person_info.address_line1"</f>
        <v>yfs_person_info.address_line1</v>
      </c>
      <c r="D463" s="104" t="str">
        <f t="shared" si="394"/>
        <v>string</v>
      </c>
      <c r="E463" s="105" t="str">
        <f t="shared" ref="E463:E468" si="395">"70"</f>
        <v>70</v>
      </c>
      <c r="F463" s="104" t="s">
        <v>685</v>
      </c>
      <c r="G463" s="103" t="str">
        <f t="shared" si="392"/>
        <v>O</v>
      </c>
      <c r="H463" s="103" t="str">
        <f t="shared" ref="H463:H480" si="396">"space"</f>
        <v>space</v>
      </c>
      <c r="I463" s="104" t="str">
        <f t="shared" ref="I463:I492" si="397">""</f>
        <v/>
      </c>
      <c r="J463" s="104" t="str">
        <f>"1 Main Street"</f>
        <v>1 Main Street</v>
      </c>
      <c r="K463" s="104"/>
      <c r="L463" s="105"/>
      <c r="M463" s="104"/>
      <c r="N463" s="104"/>
      <c r="O463" s="104"/>
      <c r="P463" s="104"/>
      <c r="Q463" s="104"/>
      <c r="R463" s="104"/>
      <c r="S463" s="104"/>
      <c r="T463" s="107"/>
      <c r="U463" s="107"/>
    </row>
    <row r="464" ht="15.75" hidden="1" customHeight="1">
      <c r="A464" s="103"/>
      <c r="B464" s="104" t="str">
        <f>"AddressLine2"</f>
        <v>AddressLine2</v>
      </c>
      <c r="C464" s="104" t="str">
        <f>"yfs_person_info.address_line2"</f>
        <v>yfs_person_info.address_line2</v>
      </c>
      <c r="D464" s="104" t="str">
        <f t="shared" si="394"/>
        <v>string</v>
      </c>
      <c r="E464" s="105" t="str">
        <f t="shared" si="395"/>
        <v>70</v>
      </c>
      <c r="F464" s="104" t="s">
        <v>688</v>
      </c>
      <c r="G464" s="103" t="str">
        <f t="shared" si="392"/>
        <v>O</v>
      </c>
      <c r="H464" s="103" t="str">
        <f t="shared" si="396"/>
        <v>space</v>
      </c>
      <c r="I464" s="104" t="str">
        <f t="shared" si="397"/>
        <v/>
      </c>
      <c r="J464" s="104" t="str">
        <f>"Unit A2"</f>
        <v>Unit A2</v>
      </c>
      <c r="K464" s="104"/>
      <c r="L464" s="105"/>
      <c r="M464" s="104"/>
      <c r="N464" s="104"/>
      <c r="O464" s="104"/>
      <c r="P464" s="104"/>
      <c r="Q464" s="104"/>
      <c r="R464" s="104"/>
      <c r="S464" s="104"/>
      <c r="T464" s="107"/>
      <c r="U464" s="107"/>
    </row>
    <row r="465" ht="15.75" hidden="1" customHeight="1">
      <c r="A465" s="103"/>
      <c r="B465" s="104" t="str">
        <f>"AddressLine3"</f>
        <v>AddressLine3</v>
      </c>
      <c r="C465" s="104" t="str">
        <f>"yfs_person_info.address_line3"</f>
        <v>yfs_person_info.address_line3</v>
      </c>
      <c r="D465" s="104" t="str">
        <f t="shared" si="394"/>
        <v>string</v>
      </c>
      <c r="E465" s="105" t="str">
        <f t="shared" si="395"/>
        <v>70</v>
      </c>
      <c r="F465" s="104" t="s">
        <v>691</v>
      </c>
      <c r="G465" s="103" t="str">
        <f t="shared" si="392"/>
        <v>O</v>
      </c>
      <c r="H465" s="103" t="str">
        <f t="shared" si="396"/>
        <v>space</v>
      </c>
      <c r="I465" s="104" t="str">
        <f t="shared" si="397"/>
        <v/>
      </c>
      <c r="J465" s="104" t="str">
        <f t="shared" ref="J465:J468" si="398">""</f>
        <v/>
      </c>
      <c r="K465" s="104"/>
      <c r="L465" s="105"/>
      <c r="M465" s="104"/>
      <c r="N465" s="104"/>
      <c r="O465" s="104"/>
      <c r="P465" s="104"/>
      <c r="Q465" s="104"/>
      <c r="R465" s="104"/>
      <c r="S465" s="104"/>
      <c r="T465" s="107"/>
      <c r="U465" s="107"/>
    </row>
    <row r="466" ht="15.75" hidden="1" customHeight="1">
      <c r="A466" s="103"/>
      <c r="B466" s="104" t="str">
        <f>"AddressLine4"</f>
        <v>AddressLine4</v>
      </c>
      <c r="C466" s="104" t="str">
        <f>"yfs_person_info.address_line4"</f>
        <v>yfs_person_info.address_line4</v>
      </c>
      <c r="D466" s="104" t="str">
        <f t="shared" si="394"/>
        <v>string</v>
      </c>
      <c r="E466" s="105" t="str">
        <f t="shared" si="395"/>
        <v>70</v>
      </c>
      <c r="F466" s="104" t="s">
        <v>693</v>
      </c>
      <c r="G466" s="103" t="str">
        <f t="shared" si="392"/>
        <v>O</v>
      </c>
      <c r="H466" s="103" t="str">
        <f t="shared" si="396"/>
        <v>space</v>
      </c>
      <c r="I466" s="104" t="str">
        <f t="shared" si="397"/>
        <v/>
      </c>
      <c r="J466" s="104" t="str">
        <f t="shared" si="398"/>
        <v/>
      </c>
      <c r="K466" s="104"/>
      <c r="L466" s="105"/>
      <c r="M466" s="104"/>
      <c r="N466" s="104"/>
      <c r="O466" s="104"/>
      <c r="P466" s="104"/>
      <c r="Q466" s="104"/>
      <c r="R466" s="104"/>
      <c r="S466" s="104"/>
      <c r="T466" s="107"/>
      <c r="U466" s="107"/>
    </row>
    <row r="467" ht="15.75" hidden="1" customHeight="1">
      <c r="A467" s="103"/>
      <c r="B467" s="104" t="str">
        <f>"AddressLine5"</f>
        <v>AddressLine5</v>
      </c>
      <c r="C467" s="104" t="str">
        <f>"yfs_person_info.address_line5"</f>
        <v>yfs_person_info.address_line5</v>
      </c>
      <c r="D467" s="104" t="str">
        <f t="shared" si="394"/>
        <v>string</v>
      </c>
      <c r="E467" s="105" t="str">
        <f t="shared" si="395"/>
        <v>70</v>
      </c>
      <c r="F467" s="104" t="s">
        <v>694</v>
      </c>
      <c r="G467" s="103" t="str">
        <f t="shared" si="392"/>
        <v>O</v>
      </c>
      <c r="H467" s="103" t="str">
        <f t="shared" si="396"/>
        <v>space</v>
      </c>
      <c r="I467" s="104" t="str">
        <f t="shared" si="397"/>
        <v/>
      </c>
      <c r="J467" s="104" t="str">
        <f t="shared" si="398"/>
        <v/>
      </c>
      <c r="K467" s="104"/>
      <c r="L467" s="105"/>
      <c r="M467" s="104"/>
      <c r="N467" s="104"/>
      <c r="O467" s="104"/>
      <c r="P467" s="104"/>
      <c r="Q467" s="104"/>
      <c r="R467" s="104"/>
      <c r="S467" s="104"/>
      <c r="T467" s="107"/>
      <c r="U467" s="107"/>
    </row>
    <row r="468" ht="15.75" hidden="1" customHeight="1">
      <c r="A468" s="103"/>
      <c r="B468" s="104" t="str">
        <f>"AddressLine6"</f>
        <v>AddressLine6</v>
      </c>
      <c r="C468" s="104" t="str">
        <f>"yfs_person_info.address_line6"</f>
        <v>yfs_person_info.address_line6</v>
      </c>
      <c r="D468" s="104" t="str">
        <f t="shared" si="394"/>
        <v>string</v>
      </c>
      <c r="E468" s="105" t="str">
        <f t="shared" si="395"/>
        <v>70</v>
      </c>
      <c r="F468" s="104" t="s">
        <v>695</v>
      </c>
      <c r="G468" s="103" t="str">
        <f t="shared" si="392"/>
        <v>O</v>
      </c>
      <c r="H468" s="103" t="str">
        <f t="shared" si="396"/>
        <v>space</v>
      </c>
      <c r="I468" s="104" t="str">
        <f t="shared" si="397"/>
        <v/>
      </c>
      <c r="J468" s="104" t="str">
        <f t="shared" si="398"/>
        <v/>
      </c>
      <c r="K468" s="104"/>
      <c r="L468" s="105"/>
      <c r="M468" s="104"/>
      <c r="N468" s="104"/>
      <c r="O468" s="104"/>
      <c r="P468" s="104"/>
      <c r="Q468" s="104"/>
      <c r="R468" s="104"/>
      <c r="S468" s="104"/>
      <c r="T468" s="107"/>
      <c r="U468" s="107"/>
    </row>
    <row r="469" ht="15.75" hidden="1" customHeight="1">
      <c r="A469" s="103"/>
      <c r="B469" s="104" t="str">
        <f>"AlternateEmailID"</f>
        <v>AlternateEmailID</v>
      </c>
      <c r="C469" s="104" t="str">
        <f>"yfs_person_info.alternate_emailid"</f>
        <v>yfs_person_info.alternate_emailid</v>
      </c>
      <c r="D469" s="104" t="str">
        <f t="shared" si="394"/>
        <v>string</v>
      </c>
      <c r="E469" s="105" t="str">
        <f>"150"</f>
        <v>150</v>
      </c>
      <c r="F469" s="104" t="s">
        <v>696</v>
      </c>
      <c r="G469" s="103" t="str">
        <f t="shared" si="392"/>
        <v>O</v>
      </c>
      <c r="H469" s="103" t="str">
        <f t="shared" si="396"/>
        <v>space</v>
      </c>
      <c r="I469" s="104" t="str">
        <f t="shared" si="397"/>
        <v/>
      </c>
      <c r="J469" s="104" t="str">
        <f>"john.doe@workplace.com"</f>
        <v>john.doe@workplace.com</v>
      </c>
      <c r="K469" s="104"/>
      <c r="L469" s="105"/>
      <c r="M469" s="104"/>
      <c r="N469" s="104"/>
      <c r="O469" s="104"/>
      <c r="P469" s="104"/>
      <c r="Q469" s="104"/>
      <c r="R469" s="104"/>
      <c r="S469" s="104"/>
      <c r="T469" s="107"/>
      <c r="U469" s="107"/>
    </row>
    <row r="470" ht="15.75" hidden="1" customHeight="1">
      <c r="A470" s="103"/>
      <c r="B470" s="104" t="str">
        <f>"Beeper"</f>
        <v>Beeper</v>
      </c>
      <c r="C470" s="104" t="str">
        <f>"yfs_person_info.beeper"</f>
        <v>yfs_person_info.beeper</v>
      </c>
      <c r="D470" s="104" t="str">
        <f t="shared" si="394"/>
        <v>string</v>
      </c>
      <c r="E470" s="105" t="str">
        <f>"40"</f>
        <v>40</v>
      </c>
      <c r="F470" s="104" t="s">
        <v>697</v>
      </c>
      <c r="G470" s="103" t="str">
        <f t="shared" si="392"/>
        <v>O</v>
      </c>
      <c r="H470" s="103" t="str">
        <f t="shared" si="396"/>
        <v>space</v>
      </c>
      <c r="I470" s="104" t="str">
        <f t="shared" si="397"/>
        <v/>
      </c>
      <c r="J470" s="104" t="str">
        <f>""</f>
        <v/>
      </c>
      <c r="K470" s="104"/>
      <c r="L470" s="105"/>
      <c r="M470" s="104"/>
      <c r="N470" s="104"/>
      <c r="O470" s="104"/>
      <c r="P470" s="104"/>
      <c r="Q470" s="104"/>
      <c r="R470" s="104"/>
      <c r="S470" s="104"/>
      <c r="T470" s="107"/>
      <c r="U470" s="107"/>
    </row>
    <row r="471" ht="15.75" hidden="1" customHeight="1">
      <c r="A471" s="103"/>
      <c r="B471" s="104" t="str">
        <f>"City"</f>
        <v>City</v>
      </c>
      <c r="C471" s="104" t="str">
        <f>"yfs_person_info.city"</f>
        <v>yfs_person_info.city</v>
      </c>
      <c r="D471" s="104" t="str">
        <f t="shared" si="394"/>
        <v>string</v>
      </c>
      <c r="E471" s="105" t="str">
        <f>"35"</f>
        <v>35</v>
      </c>
      <c r="F471" s="104" t="s">
        <v>704</v>
      </c>
      <c r="G471" s="103" t="str">
        <f t="shared" si="392"/>
        <v>O</v>
      </c>
      <c r="H471" s="103" t="str">
        <f t="shared" si="396"/>
        <v>space</v>
      </c>
      <c r="I471" s="104" t="str">
        <f t="shared" si="397"/>
        <v/>
      </c>
      <c r="J471" s="104" t="str">
        <f>"Foxboro"</f>
        <v>Foxboro</v>
      </c>
      <c r="K471" s="104"/>
      <c r="L471" s="105"/>
      <c r="M471" s="104"/>
      <c r="N471" s="104"/>
      <c r="O471" s="104"/>
      <c r="P471" s="104"/>
      <c r="Q471" s="104"/>
      <c r="R471" s="104"/>
      <c r="S471" s="104"/>
      <c r="T471" s="107"/>
      <c r="U471" s="107"/>
    </row>
    <row r="472" ht="15.75" hidden="1" customHeight="1">
      <c r="A472" s="103"/>
      <c r="B472" s="104" t="str">
        <f>"Company"</f>
        <v>Company</v>
      </c>
      <c r="C472" s="104" t="str">
        <f>"yfs_person_info.company"</f>
        <v>yfs_person_info.company</v>
      </c>
      <c r="D472" s="104" t="str">
        <f>"UNKNOWN"</f>
        <v>UNKNOWN</v>
      </c>
      <c r="E472" s="105" t="str">
        <f>""</f>
        <v/>
      </c>
      <c r="F472" s="104" t="s">
        <v>706</v>
      </c>
      <c r="G472" s="103" t="str">
        <f t="shared" si="392"/>
        <v>O</v>
      </c>
      <c r="H472" s="103" t="str">
        <f t="shared" si="396"/>
        <v>space</v>
      </c>
      <c r="I472" s="104" t="str">
        <f t="shared" si="397"/>
        <v/>
      </c>
      <c r="J472" s="104" t="str">
        <f>"Things 'R Us"</f>
        <v>Things 'R Us</v>
      </c>
      <c r="K472" s="104"/>
      <c r="L472" s="105"/>
      <c r="M472" s="104"/>
      <c r="N472" s="104"/>
      <c r="O472" s="104"/>
      <c r="P472" s="104"/>
      <c r="Q472" s="104"/>
      <c r="R472" s="104"/>
      <c r="S472" s="104"/>
      <c r="T472" s="107"/>
      <c r="U472" s="107"/>
    </row>
    <row r="473" ht="15.75" hidden="1" customHeight="1">
      <c r="A473" s="103"/>
      <c r="B473" s="104" t="str">
        <f>"Country"</f>
        <v>Country</v>
      </c>
      <c r="C473" s="104" t="str">
        <f>"yfs_person_info.country"</f>
        <v>yfs_person_info.country</v>
      </c>
      <c r="D473" s="104" t="str">
        <f t="shared" ref="D473:D475" si="399">"string"</f>
        <v>string</v>
      </c>
      <c r="E473" s="105" t="str">
        <f t="shared" ref="E473:E475" si="400">"40"</f>
        <v>40</v>
      </c>
      <c r="F473" s="104" t="s">
        <v>708</v>
      </c>
      <c r="G473" s="103" t="str">
        <f t="shared" si="392"/>
        <v>O</v>
      </c>
      <c r="H473" s="103" t="str">
        <f t="shared" si="396"/>
        <v>space</v>
      </c>
      <c r="I473" s="104" t="str">
        <f t="shared" si="397"/>
        <v/>
      </c>
      <c r="J473" s="104" t="str">
        <f>"US"</f>
        <v>US</v>
      </c>
      <c r="K473" s="104"/>
      <c r="L473" s="105"/>
      <c r="M473" s="104"/>
      <c r="N473" s="104"/>
      <c r="O473" s="104"/>
      <c r="P473" s="104"/>
      <c r="Q473" s="104"/>
      <c r="R473" s="104"/>
      <c r="S473" s="104"/>
      <c r="T473" s="107"/>
      <c r="U473" s="107"/>
    </row>
    <row r="474" ht="15.75" hidden="1" customHeight="1">
      <c r="A474" s="103"/>
      <c r="B474" s="104" t="str">
        <f>"DayFaxNo"</f>
        <v>DayFaxNo</v>
      </c>
      <c r="C474" s="104" t="str">
        <f>"yfs_person_info.day_fax_no"</f>
        <v>yfs_person_info.day_fax_no</v>
      </c>
      <c r="D474" s="104" t="str">
        <f t="shared" si="399"/>
        <v>string</v>
      </c>
      <c r="E474" s="105" t="str">
        <f t="shared" si="400"/>
        <v>40</v>
      </c>
      <c r="F474" s="104" t="s">
        <v>712</v>
      </c>
      <c r="G474" s="103" t="str">
        <f t="shared" si="392"/>
        <v>O</v>
      </c>
      <c r="H474" s="103" t="str">
        <f t="shared" si="396"/>
        <v>space</v>
      </c>
      <c r="I474" s="104" t="str">
        <f t="shared" si="397"/>
        <v/>
      </c>
      <c r="J474" s="104" t="str">
        <f>""</f>
        <v/>
      </c>
      <c r="K474" s="104"/>
      <c r="L474" s="105"/>
      <c r="M474" s="104"/>
      <c r="N474" s="104"/>
      <c r="O474" s="104"/>
      <c r="P474" s="104"/>
      <c r="Q474" s="104"/>
      <c r="R474" s="104"/>
      <c r="S474" s="104"/>
      <c r="T474" s="107"/>
      <c r="U474" s="107"/>
    </row>
    <row r="475" ht="15.75" hidden="1" customHeight="1">
      <c r="A475" s="103"/>
      <c r="B475" s="104" t="str">
        <f>"DayPhone"</f>
        <v>DayPhone</v>
      </c>
      <c r="C475" s="104" t="str">
        <f>"yfs_person_info.day_phone"</f>
        <v>yfs_person_info.day_phone</v>
      </c>
      <c r="D475" s="104" t="str">
        <f t="shared" si="399"/>
        <v>string</v>
      </c>
      <c r="E475" s="105" t="str">
        <f t="shared" si="400"/>
        <v>40</v>
      </c>
      <c r="F475" s="104" t="s">
        <v>713</v>
      </c>
      <c r="G475" s="103" t="str">
        <f t="shared" si="392"/>
        <v>O</v>
      </c>
      <c r="H475" s="103" t="str">
        <f t="shared" si="396"/>
        <v>space</v>
      </c>
      <c r="I475" s="104" t="str">
        <f t="shared" si="397"/>
        <v/>
      </c>
      <c r="J475" s="104" t="str">
        <f>"(508) 555-1212"</f>
        <v>(508) 555-1212</v>
      </c>
      <c r="K475" s="104"/>
      <c r="L475" s="105"/>
      <c r="M475" s="104"/>
      <c r="N475" s="104"/>
      <c r="O475" s="104"/>
      <c r="P475" s="104"/>
      <c r="Q475" s="104"/>
      <c r="R475" s="104"/>
      <c r="S475" s="104"/>
      <c r="T475" s="107"/>
      <c r="U475" s="107"/>
    </row>
    <row r="476" ht="15.75" hidden="1" customHeight="1">
      <c r="A476" s="103"/>
      <c r="B476" s="104" t="str">
        <f>"Department"</f>
        <v>Department</v>
      </c>
      <c r="C476" s="104" t="str">
        <f>"yfs_person_info.department"</f>
        <v>yfs_person_info.department</v>
      </c>
      <c r="D476" s="104" t="str">
        <f>"UNKNOWN"</f>
        <v>UNKNOWN</v>
      </c>
      <c r="E476" s="105" t="str">
        <f>""</f>
        <v/>
      </c>
      <c r="F476" s="104" t="s">
        <v>715</v>
      </c>
      <c r="G476" s="103" t="str">
        <f t="shared" si="392"/>
        <v>O</v>
      </c>
      <c r="H476" s="103" t="str">
        <f t="shared" si="396"/>
        <v>space</v>
      </c>
      <c r="I476" s="104" t="str">
        <f t="shared" si="397"/>
        <v/>
      </c>
      <c r="J476" s="104" t="str">
        <f>""</f>
        <v/>
      </c>
      <c r="K476" s="104"/>
      <c r="L476" s="105"/>
      <c r="M476" s="104"/>
      <c r="N476" s="104"/>
      <c r="O476" s="104"/>
      <c r="P476" s="104"/>
      <c r="Q476" s="104"/>
      <c r="R476" s="104"/>
      <c r="S476" s="104"/>
      <c r="T476" s="107"/>
      <c r="U476" s="107"/>
    </row>
    <row r="477" ht="15.75" hidden="1" customHeight="1">
      <c r="A477" s="103"/>
      <c r="B477" s="104" t="str">
        <f>"EMailID"</f>
        <v>EMailID</v>
      </c>
      <c r="C477" s="104" t="str">
        <f>"yfs_person_info.emailid"</f>
        <v>yfs_person_info.emailid</v>
      </c>
      <c r="D477" s="104" t="str">
        <f t="shared" ref="D477:D479" si="401">"string"</f>
        <v>string</v>
      </c>
      <c r="E477" s="105" t="str">
        <f>"150"</f>
        <v>150</v>
      </c>
      <c r="F477" s="104" t="s">
        <v>716</v>
      </c>
      <c r="G477" s="103" t="str">
        <f t="shared" si="392"/>
        <v>O</v>
      </c>
      <c r="H477" s="103" t="str">
        <f t="shared" si="396"/>
        <v>space</v>
      </c>
      <c r="I477" s="104" t="str">
        <f t="shared" si="397"/>
        <v/>
      </c>
      <c r="J477" s="104" t="str">
        <f>"john.doe@mail.com"</f>
        <v>john.doe@mail.com</v>
      </c>
      <c r="K477" s="104"/>
      <c r="L477" s="105"/>
      <c r="M477" s="104"/>
      <c r="N477" s="104"/>
      <c r="O477" s="104"/>
      <c r="P477" s="104"/>
      <c r="Q477" s="104"/>
      <c r="R477" s="104"/>
      <c r="S477" s="104"/>
      <c r="T477" s="107"/>
      <c r="U477" s="107"/>
    </row>
    <row r="478" ht="15.75" hidden="1" customHeight="1">
      <c r="A478" s="103"/>
      <c r="B478" s="104" t="str">
        <f>"EveningFaxNo"</f>
        <v>EveningFaxNo</v>
      </c>
      <c r="C478" s="104" t="str">
        <f>"yfs_person_info.evening_fax_no"</f>
        <v>yfs_person_info.evening_fax_no</v>
      </c>
      <c r="D478" s="104" t="str">
        <f t="shared" si="401"/>
        <v>string</v>
      </c>
      <c r="E478" s="105" t="str">
        <f t="shared" ref="E478:E479" si="402">"40"</f>
        <v>40</v>
      </c>
      <c r="F478" s="104" t="s">
        <v>718</v>
      </c>
      <c r="G478" s="103" t="str">
        <f t="shared" si="392"/>
        <v>O</v>
      </c>
      <c r="H478" s="103" t="str">
        <f t="shared" si="396"/>
        <v>space</v>
      </c>
      <c r="I478" s="104" t="str">
        <f t="shared" si="397"/>
        <v/>
      </c>
      <c r="J478" s="104" t="str">
        <f>"(617) 555-3333"</f>
        <v>(617) 555-3333</v>
      </c>
      <c r="K478" s="104"/>
      <c r="L478" s="105"/>
      <c r="M478" s="104"/>
      <c r="N478" s="104"/>
      <c r="O478" s="104"/>
      <c r="P478" s="104"/>
      <c r="Q478" s="104"/>
      <c r="R478" s="104"/>
      <c r="S478" s="104"/>
      <c r="T478" s="107"/>
      <c r="U478" s="107"/>
    </row>
    <row r="479" ht="15.75" hidden="1" customHeight="1">
      <c r="A479" s="103"/>
      <c r="B479" s="104" t="str">
        <f>"EveningPhone"</f>
        <v>EveningPhone</v>
      </c>
      <c r="C479" s="104" t="str">
        <f>"yfs_person_info.evening_phone"</f>
        <v>yfs_person_info.evening_phone</v>
      </c>
      <c r="D479" s="104" t="str">
        <f t="shared" si="401"/>
        <v>string</v>
      </c>
      <c r="E479" s="105" t="str">
        <f t="shared" si="402"/>
        <v>40</v>
      </c>
      <c r="F479" s="104" t="s">
        <v>719</v>
      </c>
      <c r="G479" s="103" t="str">
        <f t="shared" si="392"/>
        <v>O</v>
      </c>
      <c r="H479" s="103" t="str">
        <f t="shared" si="396"/>
        <v>space</v>
      </c>
      <c r="I479" s="104" t="str">
        <f t="shared" si="397"/>
        <v/>
      </c>
      <c r="J479" s="104" t="str">
        <f>"(617) 555-1212"</f>
        <v>(617) 555-1212</v>
      </c>
      <c r="K479" s="104"/>
      <c r="L479" s="105"/>
      <c r="M479" s="104"/>
      <c r="N479" s="104"/>
      <c r="O479" s="104"/>
      <c r="P479" s="104"/>
      <c r="Q479" s="104"/>
      <c r="R479" s="104"/>
      <c r="S479" s="104"/>
      <c r="T479" s="107"/>
      <c r="U479" s="107"/>
    </row>
    <row r="480" ht="15.75" hidden="1" customHeight="1">
      <c r="A480" s="103"/>
      <c r="B480" s="104" t="str">
        <f>"FirstName"</f>
        <v>FirstName</v>
      </c>
      <c r="C480" s="104" t="str">
        <f>"yfs_person_info.first_name"</f>
        <v>yfs_person_info.first_name</v>
      </c>
      <c r="D480" s="104" t="str">
        <f>"UNKNOWN"</f>
        <v>UNKNOWN</v>
      </c>
      <c r="E480" s="105" t="str">
        <f>""</f>
        <v/>
      </c>
      <c r="F480" s="104" t="s">
        <v>720</v>
      </c>
      <c r="G480" s="103" t="str">
        <f t="shared" si="392"/>
        <v>O</v>
      </c>
      <c r="H480" s="103" t="str">
        <f t="shared" si="396"/>
        <v>space</v>
      </c>
      <c r="I480" s="104" t="str">
        <f t="shared" si="397"/>
        <v/>
      </c>
      <c r="J480" s="104" t="str">
        <f>"John"</f>
        <v>John</v>
      </c>
      <c r="K480" s="104"/>
      <c r="L480" s="105"/>
      <c r="M480" s="104"/>
      <c r="N480" s="104"/>
      <c r="O480" s="104"/>
      <c r="P480" s="104"/>
      <c r="Q480" s="104"/>
      <c r="R480" s="104"/>
      <c r="S480" s="104"/>
      <c r="T480" s="107"/>
      <c r="U480" s="107"/>
    </row>
    <row r="481" ht="15.75" hidden="1" customHeight="1">
      <c r="A481" s="103"/>
      <c r="B481" s="104" t="str">
        <f>"IsCommercialAddress"</f>
        <v>IsCommercialAddress</v>
      </c>
      <c r="C481" s="104" t="str">
        <f>"yfs_person_info.is_commercial_address"</f>
        <v>yfs_person_info.is_commercial_address</v>
      </c>
      <c r="D481" s="104" t="str">
        <f>"string"</f>
        <v>string</v>
      </c>
      <c r="E481" s="105" t="str">
        <f>"1"</f>
        <v>1</v>
      </c>
      <c r="F481" s="104" t="s">
        <v>722</v>
      </c>
      <c r="G481" s="103" t="str">
        <f t="shared" si="392"/>
        <v>O</v>
      </c>
      <c r="H481" s="103" t="str">
        <f>"null"</f>
        <v>null</v>
      </c>
      <c r="I481" s="104" t="str">
        <f t="shared" si="397"/>
        <v/>
      </c>
      <c r="J481" s="104" t="str">
        <f>"Y"</f>
        <v>Y</v>
      </c>
      <c r="K481" s="104"/>
      <c r="L481" s="105"/>
      <c r="M481" s="104"/>
      <c r="N481" s="104"/>
      <c r="O481" s="104"/>
      <c r="P481" s="104"/>
      <c r="Q481" s="104"/>
      <c r="R481" s="104"/>
      <c r="S481" s="104"/>
      <c r="T481" s="107"/>
      <c r="U481" s="107"/>
    </row>
    <row r="482" ht="15.75" hidden="1" customHeight="1">
      <c r="A482" s="103"/>
      <c r="B482" s="104" t="str">
        <f>"JobTitle"</f>
        <v>JobTitle</v>
      </c>
      <c r="C482" s="104" t="str">
        <f>"yfs_person_info.job_title"</f>
        <v>yfs_person_info.job_title</v>
      </c>
      <c r="D482" s="104" t="str">
        <f t="shared" ref="D482:D484" si="403">"UNKNOWN"</f>
        <v>UNKNOWN</v>
      </c>
      <c r="E482" s="105" t="str">
        <f t="shared" ref="E482:E484" si="404">""</f>
        <v/>
      </c>
      <c r="F482" s="104" t="s">
        <v>723</v>
      </c>
      <c r="G482" s="103" t="str">
        <f t="shared" si="392"/>
        <v>O</v>
      </c>
      <c r="H482" s="103" t="str">
        <f t="shared" ref="H482:H489" si="405">"space"</f>
        <v>space</v>
      </c>
      <c r="I482" s="104" t="str">
        <f t="shared" si="397"/>
        <v/>
      </c>
      <c r="J482" s="104" t="str">
        <f>"Procurement Manager"</f>
        <v>Procurement Manager</v>
      </c>
      <c r="K482" s="104"/>
      <c r="L482" s="105"/>
      <c r="M482" s="104"/>
      <c r="N482" s="104"/>
      <c r="O482" s="104"/>
      <c r="P482" s="104"/>
      <c r="Q482" s="104"/>
      <c r="R482" s="104"/>
      <c r="S482" s="104"/>
      <c r="T482" s="107"/>
      <c r="U482" s="107"/>
    </row>
    <row r="483" ht="15.75" hidden="1" customHeight="1">
      <c r="A483" s="103"/>
      <c r="B483" s="104" t="str">
        <f>"LastName"</f>
        <v>LastName</v>
      </c>
      <c r="C483" s="104" t="str">
        <f>"yfs_person_info.last_name"</f>
        <v>yfs_person_info.last_name</v>
      </c>
      <c r="D483" s="104" t="str">
        <f t="shared" si="403"/>
        <v>UNKNOWN</v>
      </c>
      <c r="E483" s="105" t="str">
        <f t="shared" si="404"/>
        <v/>
      </c>
      <c r="F483" s="104" t="s">
        <v>724</v>
      </c>
      <c r="G483" s="103" t="str">
        <f t="shared" si="392"/>
        <v>O</v>
      </c>
      <c r="H483" s="103" t="str">
        <f t="shared" si="405"/>
        <v>space</v>
      </c>
      <c r="I483" s="104" t="str">
        <f t="shared" si="397"/>
        <v/>
      </c>
      <c r="J483" s="104" t="str">
        <f>"Doe"</f>
        <v>Doe</v>
      </c>
      <c r="K483" s="104"/>
      <c r="L483" s="105"/>
      <c r="M483" s="104"/>
      <c r="N483" s="104"/>
      <c r="O483" s="104"/>
      <c r="P483" s="104"/>
      <c r="Q483" s="104"/>
      <c r="R483" s="104"/>
      <c r="S483" s="104"/>
      <c r="T483" s="107"/>
      <c r="U483" s="107"/>
    </row>
    <row r="484" ht="15.75" hidden="1" customHeight="1">
      <c r="A484" s="103"/>
      <c r="B484" s="104" t="str">
        <f>"MiddleName"</f>
        <v>MiddleName</v>
      </c>
      <c r="C484" s="104" t="str">
        <f>"yfs_person_info.middle_name"</f>
        <v>yfs_person_info.middle_name</v>
      </c>
      <c r="D484" s="104" t="str">
        <f t="shared" si="403"/>
        <v>UNKNOWN</v>
      </c>
      <c r="E484" s="105" t="str">
        <f t="shared" si="404"/>
        <v/>
      </c>
      <c r="F484" s="104" t="s">
        <v>726</v>
      </c>
      <c r="G484" s="103" t="str">
        <f t="shared" si="392"/>
        <v>O</v>
      </c>
      <c r="H484" s="103" t="str">
        <f t="shared" si="405"/>
        <v>space</v>
      </c>
      <c r="I484" s="104" t="str">
        <f t="shared" si="397"/>
        <v/>
      </c>
      <c r="J484" s="104" t="str">
        <f>"E"</f>
        <v>E</v>
      </c>
      <c r="K484" s="104"/>
      <c r="L484" s="105"/>
      <c r="M484" s="104"/>
      <c r="N484" s="104"/>
      <c r="O484" s="104"/>
      <c r="P484" s="104"/>
      <c r="Q484" s="104"/>
      <c r="R484" s="104"/>
      <c r="S484" s="104"/>
      <c r="T484" s="107"/>
      <c r="U484" s="107"/>
    </row>
    <row r="485" ht="15.75" hidden="1" customHeight="1">
      <c r="A485" s="103"/>
      <c r="B485" s="104" t="str">
        <f>"MobilePhone"</f>
        <v>MobilePhone</v>
      </c>
      <c r="C485" s="104" t="str">
        <f>"yfs_person_info.mobile_phone"</f>
        <v>yfs_person_info.mobile_phone</v>
      </c>
      <c r="D485" s="104" t="str">
        <f t="shared" ref="D485:D486" si="406">"string"</f>
        <v>string</v>
      </c>
      <c r="E485" s="105" t="str">
        <f t="shared" ref="E485:E486" si="407">"40"</f>
        <v>40</v>
      </c>
      <c r="F485" s="104" t="s">
        <v>730</v>
      </c>
      <c r="G485" s="103" t="str">
        <f t="shared" si="392"/>
        <v>O</v>
      </c>
      <c r="H485" s="103" t="str">
        <f t="shared" si="405"/>
        <v>space</v>
      </c>
      <c r="I485" s="104" t="str">
        <f t="shared" si="397"/>
        <v/>
      </c>
      <c r="J485" s="104" t="str">
        <f>"(978) 555-1212"</f>
        <v>(978) 555-1212</v>
      </c>
      <c r="K485" s="104"/>
      <c r="L485" s="105"/>
      <c r="M485" s="104"/>
      <c r="N485" s="104"/>
      <c r="O485" s="104"/>
      <c r="P485" s="104"/>
      <c r="Q485" s="104"/>
      <c r="R485" s="104"/>
      <c r="S485" s="104"/>
      <c r="T485" s="107"/>
      <c r="U485" s="107"/>
    </row>
    <row r="486" ht="15.75" hidden="1" customHeight="1">
      <c r="A486" s="103"/>
      <c r="B486" s="104" t="str">
        <f>"OtherPhone"</f>
        <v>OtherPhone</v>
      </c>
      <c r="C486" s="104" t="str">
        <f>"yfs_person_info.other_phone"</f>
        <v>yfs_person_info.other_phone</v>
      </c>
      <c r="D486" s="104" t="str">
        <f t="shared" si="406"/>
        <v>string</v>
      </c>
      <c r="E486" s="105" t="str">
        <f t="shared" si="407"/>
        <v>40</v>
      </c>
      <c r="F486" s="104" t="s">
        <v>728</v>
      </c>
      <c r="G486" s="103" t="str">
        <f t="shared" si="392"/>
        <v>O</v>
      </c>
      <c r="H486" s="103" t="str">
        <f t="shared" si="405"/>
        <v>space</v>
      </c>
      <c r="I486" s="104" t="str">
        <f t="shared" si="397"/>
        <v/>
      </c>
      <c r="J486" s="104" t="str">
        <f>"(781) 555-1212"</f>
        <v>(781) 555-1212</v>
      </c>
      <c r="K486" s="104"/>
      <c r="L486" s="105"/>
      <c r="M486" s="104"/>
      <c r="N486" s="104"/>
      <c r="O486" s="104"/>
      <c r="P486" s="104"/>
      <c r="Q486" s="104"/>
      <c r="R486" s="104"/>
      <c r="S486" s="104"/>
      <c r="T486" s="107"/>
      <c r="U486" s="107"/>
    </row>
    <row r="487" ht="15.75" hidden="1" customHeight="1">
      <c r="A487" s="103"/>
      <c r="B487" s="104" t="str">
        <f>"PersonID"</f>
        <v>PersonID</v>
      </c>
      <c r="C487" s="104" t="str">
        <f>"yfs_person_info.person_id"</f>
        <v>yfs_person_info.person_id</v>
      </c>
      <c r="D487" s="104" t="str">
        <f>"UNKNOWN"</f>
        <v>UNKNOWN</v>
      </c>
      <c r="E487" s="105" t="str">
        <f>""</f>
        <v/>
      </c>
      <c r="F487" s="104" t="s">
        <v>729</v>
      </c>
      <c r="G487" s="103" t="str">
        <f t="shared" si="392"/>
        <v>O</v>
      </c>
      <c r="H487" s="103" t="str">
        <f t="shared" si="405"/>
        <v>space</v>
      </c>
      <c r="I487" s="104" t="str">
        <f t="shared" si="397"/>
        <v/>
      </c>
      <c r="J487" s="104" t="str">
        <f>""</f>
        <v/>
      </c>
      <c r="K487" s="104"/>
      <c r="L487" s="105"/>
      <c r="M487" s="104"/>
      <c r="N487" s="104"/>
      <c r="O487" s="104"/>
      <c r="P487" s="104"/>
      <c r="Q487" s="104"/>
      <c r="R487" s="104"/>
      <c r="S487" s="104"/>
      <c r="T487" s="107"/>
      <c r="U487" s="107"/>
    </row>
    <row r="488" ht="15.75" hidden="1" customHeight="1">
      <c r="A488" s="103"/>
      <c r="B488" s="104" t="str">
        <f>"State"</f>
        <v>State</v>
      </c>
      <c r="C488" s="104" t="str">
        <f>"yfs_person_info.state"</f>
        <v>yfs_person_info.state</v>
      </c>
      <c r="D488" s="104" t="str">
        <f>"string"</f>
        <v>string</v>
      </c>
      <c r="E488" s="105" t="str">
        <f>"35"</f>
        <v>35</v>
      </c>
      <c r="F488" s="104" t="s">
        <v>731</v>
      </c>
      <c r="G488" s="103" t="str">
        <f t="shared" si="392"/>
        <v>O</v>
      </c>
      <c r="H488" s="103" t="str">
        <f t="shared" si="405"/>
        <v>space</v>
      </c>
      <c r="I488" s="104" t="str">
        <f t="shared" si="397"/>
        <v/>
      </c>
      <c r="J488" s="104" t="str">
        <f>"MA"</f>
        <v>MA</v>
      </c>
      <c r="K488" s="104"/>
      <c r="L488" s="105"/>
      <c r="M488" s="104"/>
      <c r="N488" s="104"/>
      <c r="O488" s="104"/>
      <c r="P488" s="104"/>
      <c r="Q488" s="104"/>
      <c r="R488" s="104"/>
      <c r="S488" s="104"/>
      <c r="T488" s="107"/>
      <c r="U488" s="107"/>
    </row>
    <row r="489" ht="15.75" hidden="1" customHeight="1">
      <c r="A489" s="103"/>
      <c r="B489" s="104" t="str">
        <f>"Suffix"</f>
        <v>Suffix</v>
      </c>
      <c r="C489" s="104" t="str">
        <f>"yfs_person_info.suffix"</f>
        <v>yfs_person_info.suffix</v>
      </c>
      <c r="D489" s="104" t="str">
        <f t="shared" ref="D489:D491" si="408">"UNKNOWN"</f>
        <v>UNKNOWN</v>
      </c>
      <c r="E489" s="105" t="str">
        <f t="shared" ref="E489:E491" si="409">""</f>
        <v/>
      </c>
      <c r="F489" s="104" t="s">
        <v>735</v>
      </c>
      <c r="G489" s="103" t="str">
        <f t="shared" si="392"/>
        <v>O</v>
      </c>
      <c r="H489" s="103" t="str">
        <f t="shared" si="405"/>
        <v>space</v>
      </c>
      <c r="I489" s="104" t="str">
        <f t="shared" si="397"/>
        <v/>
      </c>
      <c r="J489" s="104" t="str">
        <f t="shared" ref="J489:J490" si="410">""</f>
        <v/>
      </c>
      <c r="K489" s="104"/>
      <c r="L489" s="105"/>
      <c r="M489" s="104"/>
      <c r="N489" s="104"/>
      <c r="O489" s="104"/>
      <c r="P489" s="104"/>
      <c r="Q489" s="104"/>
      <c r="R489" s="104"/>
      <c r="S489" s="104"/>
      <c r="T489" s="107"/>
      <c r="U489" s="107"/>
    </row>
    <row r="490" ht="15.75" hidden="1" customHeight="1">
      <c r="A490" s="103"/>
      <c r="B490" s="104" t="str">
        <f>"TaxGeoCode"</f>
        <v>TaxGeoCode</v>
      </c>
      <c r="C490" s="104" t="str">
        <f>"yfs_person_info.tax_geo_code"</f>
        <v>yfs_person_info.tax_geo_code</v>
      </c>
      <c r="D490" s="104" t="str">
        <f t="shared" si="408"/>
        <v>UNKNOWN</v>
      </c>
      <c r="E490" s="105" t="str">
        <f t="shared" si="409"/>
        <v/>
      </c>
      <c r="F490" s="104" t="s">
        <v>738</v>
      </c>
      <c r="G490" s="103" t="str">
        <f t="shared" si="392"/>
        <v>O</v>
      </c>
      <c r="H490" s="103" t="str">
        <f>"null"</f>
        <v>null</v>
      </c>
      <c r="I490" s="104" t="str">
        <f t="shared" si="397"/>
        <v/>
      </c>
      <c r="J490" s="104" t="str">
        <f t="shared" si="410"/>
        <v/>
      </c>
      <c r="K490" s="104"/>
      <c r="L490" s="105"/>
      <c r="M490" s="104"/>
      <c r="N490" s="104"/>
      <c r="O490" s="104"/>
      <c r="P490" s="104"/>
      <c r="Q490" s="104"/>
      <c r="R490" s="104"/>
      <c r="S490" s="104"/>
      <c r="T490" s="107"/>
      <c r="U490" s="107"/>
    </row>
    <row r="491" ht="15.75" hidden="1" customHeight="1">
      <c r="A491" s="103"/>
      <c r="B491" s="104" t="str">
        <f>"Title"</f>
        <v>Title</v>
      </c>
      <c r="C491" s="104" t="str">
        <f>"yfs_person_info.title"</f>
        <v>yfs_person_info.title</v>
      </c>
      <c r="D491" s="104" t="str">
        <f t="shared" si="408"/>
        <v>UNKNOWN</v>
      </c>
      <c r="E491" s="105" t="str">
        <f t="shared" si="409"/>
        <v/>
      </c>
      <c r="F491" s="104" t="s">
        <v>739</v>
      </c>
      <c r="G491" s="103" t="str">
        <f t="shared" si="392"/>
        <v>O</v>
      </c>
      <c r="H491" s="103" t="str">
        <f t="shared" ref="H491:H492" si="411">"space"</f>
        <v>space</v>
      </c>
      <c r="I491" s="104" t="str">
        <f t="shared" si="397"/>
        <v/>
      </c>
      <c r="J491" s="104" t="str">
        <f>"Mr"</f>
        <v>Mr</v>
      </c>
      <c r="K491" s="104"/>
      <c r="L491" s="105"/>
      <c r="M491" s="104"/>
      <c r="N491" s="104"/>
      <c r="O491" s="104"/>
      <c r="P491" s="104"/>
      <c r="Q491" s="104"/>
      <c r="R491" s="104"/>
      <c r="S491" s="104"/>
      <c r="T491" s="107"/>
      <c r="U491" s="107"/>
    </row>
    <row r="492" ht="15.75" hidden="1" customHeight="1">
      <c r="A492" s="103"/>
      <c r="B492" s="104" t="str">
        <f>"ZipCode"</f>
        <v>ZipCode</v>
      </c>
      <c r="C492" s="104" t="str">
        <f>"yfs_person_info.zip_code"</f>
        <v>yfs_person_info.zip_code</v>
      </c>
      <c r="D492" s="104" t="str">
        <f>"string"</f>
        <v>string</v>
      </c>
      <c r="E492" s="105" t="str">
        <f>"35"</f>
        <v>35</v>
      </c>
      <c r="F492" s="104" t="s">
        <v>743</v>
      </c>
      <c r="G492" s="103" t="str">
        <f t="shared" si="392"/>
        <v>O</v>
      </c>
      <c r="H492" s="103" t="str">
        <f t="shared" si="411"/>
        <v>space</v>
      </c>
      <c r="I492" s="104" t="str">
        <f t="shared" si="397"/>
        <v/>
      </c>
      <c r="J492" s="104" t="str">
        <f>"02035-2531"</f>
        <v>02035-2531</v>
      </c>
      <c r="K492" s="104"/>
      <c r="L492" s="105"/>
      <c r="M492" s="104"/>
      <c r="N492" s="104"/>
      <c r="O492" s="104"/>
      <c r="P492" s="104"/>
      <c r="Q492" s="104"/>
      <c r="R492" s="104"/>
      <c r="S492" s="104"/>
      <c r="T492" s="107"/>
      <c r="U492" s="107"/>
    </row>
    <row r="493" ht="15.75" hidden="1" customHeight="1">
      <c r="A493" s="196" t="s">
        <v>92</v>
      </c>
      <c r="B493" s="170" t="str">
        <f>"/Order/OrderLines/OrderLine/Schedules"</f>
        <v>/Order/OrderLines/OrderLine/Schedules</v>
      </c>
      <c r="C493" s="170"/>
      <c r="D493" s="170"/>
      <c r="E493" s="170"/>
      <c r="F493" s="170"/>
      <c r="G493" s="196" t="str">
        <f t="shared" si="392"/>
        <v>O</v>
      </c>
      <c r="H493" s="170"/>
      <c r="I493" s="170"/>
      <c r="J493" s="170"/>
      <c r="K493" s="170"/>
      <c r="L493" s="170"/>
      <c r="M493" s="170"/>
      <c r="N493" s="170"/>
      <c r="O493" s="170"/>
      <c r="P493" s="170"/>
      <c r="Q493" s="170"/>
      <c r="R493" s="170"/>
      <c r="S493" s="170"/>
      <c r="T493" s="197"/>
      <c r="U493" s="197"/>
    </row>
    <row r="494" ht="15.75" hidden="1" customHeight="1">
      <c r="A494" s="196" t="s">
        <v>92</v>
      </c>
      <c r="B494" s="170" t="str">
        <f>"/Order/OrderLines/OrderLine/Schedules/Schedule/@"</f>
        <v>/Order/OrderLines/OrderLine/Schedules/Schedule/@</v>
      </c>
      <c r="C494" s="170"/>
      <c r="D494" s="170"/>
      <c r="E494" s="170"/>
      <c r="F494" s="170"/>
      <c r="G494" s="196" t="str">
        <f t="shared" si="392"/>
        <v>O</v>
      </c>
      <c r="H494" s="170"/>
      <c r="I494" s="170"/>
      <c r="J494" s="170"/>
      <c r="K494" s="170"/>
      <c r="L494" s="170"/>
      <c r="M494" s="170"/>
      <c r="N494" s="170"/>
      <c r="O494" s="170"/>
      <c r="P494" s="170"/>
      <c r="Q494" s="170"/>
      <c r="R494" s="170"/>
      <c r="S494" s="170"/>
      <c r="T494" s="197"/>
      <c r="U494" s="197"/>
    </row>
    <row r="495" ht="15.75" hidden="1" customHeight="1">
      <c r="A495" s="196" t="s">
        <v>92</v>
      </c>
      <c r="B495" s="104" t="str">
        <f>"BatchNo"</f>
        <v>BatchNo</v>
      </c>
      <c r="C495" s="104" t="str">
        <f>"yfs_order_line_schedule.batch_no"</f>
        <v>yfs_order_line_schedule.batch_no</v>
      </c>
      <c r="D495" s="104" t="str">
        <f>"string"</f>
        <v>string</v>
      </c>
      <c r="E495" s="105" t="str">
        <f>"40"</f>
        <v>40</v>
      </c>
      <c r="F495" s="104" t="s">
        <v>851</v>
      </c>
      <c r="G495" s="103" t="str">
        <f t="shared" si="392"/>
        <v>O</v>
      </c>
      <c r="H495" s="103" t="str">
        <f>"space"</f>
        <v>space</v>
      </c>
      <c r="I495" s="104" t="str">
        <f t="shared" ref="I495:J495" si="412">""</f>
        <v/>
      </c>
      <c r="J495" s="104" t="str">
        <f t="shared" si="412"/>
        <v/>
      </c>
      <c r="K495" s="104"/>
      <c r="L495" s="105"/>
      <c r="M495" s="104"/>
      <c r="N495" s="104"/>
      <c r="O495" s="104"/>
      <c r="P495" s="104"/>
      <c r="Q495" s="104"/>
      <c r="R495" s="104"/>
      <c r="S495" s="104"/>
      <c r="T495" s="107"/>
      <c r="U495" s="107"/>
    </row>
    <row r="496" ht="15.75" hidden="1" customHeight="1">
      <c r="A496" s="196" t="s">
        <v>92</v>
      </c>
      <c r="B496" s="104" t="str">
        <f>"ChangeInQuantity"</f>
        <v>ChangeInQuantity</v>
      </c>
      <c r="C496" s="104" t="str">
        <f>""</f>
        <v/>
      </c>
      <c r="D496" s="104" t="str">
        <f>"positiveInteger"</f>
        <v>positiveInteger</v>
      </c>
      <c r="E496" s="105" t="str">
        <f>"10"</f>
        <v>10</v>
      </c>
      <c r="F496" s="104" t="s">
        <v>852</v>
      </c>
      <c r="G496" s="103" t="str">
        <f>"M"</f>
        <v>M</v>
      </c>
      <c r="H496" s="103" t="str">
        <f t="shared" ref="H496:J496" si="413">""</f>
        <v/>
      </c>
      <c r="I496" s="104" t="str">
        <f t="shared" si="413"/>
        <v/>
      </c>
      <c r="J496" s="104" t="str">
        <f t="shared" si="413"/>
        <v/>
      </c>
      <c r="K496" s="104"/>
      <c r="L496" s="105"/>
      <c r="M496" s="104"/>
      <c r="N496" s="104"/>
      <c r="O496" s="104"/>
      <c r="P496" s="104"/>
      <c r="Q496" s="104"/>
      <c r="R496" s="104"/>
      <c r="S496" s="104"/>
      <c r="T496" s="107"/>
      <c r="U496" s="107"/>
    </row>
    <row r="497" ht="15.75" hidden="1" customHeight="1">
      <c r="A497" s="196" t="s">
        <v>92</v>
      </c>
      <c r="B497" s="104" t="str">
        <f>"LotNumber"</f>
        <v>LotNumber</v>
      </c>
      <c r="C497" s="104" t="str">
        <f>"yfs_order_line_schedule.lot_number"</f>
        <v>yfs_order_line_schedule.lot_number</v>
      </c>
      <c r="D497" s="104" t="str">
        <f t="shared" ref="D497:D498" si="415">"string"</f>
        <v>string</v>
      </c>
      <c r="E497" s="105" t="str">
        <f t="shared" ref="E497:E498" si="416">"40"</f>
        <v>40</v>
      </c>
      <c r="F497" s="104" t="s">
        <v>853</v>
      </c>
      <c r="G497" s="103" t="str">
        <f t="shared" ref="G497:G509" si="417">"O"</f>
        <v>O</v>
      </c>
      <c r="H497" s="103" t="str">
        <f t="shared" ref="H497:H498" si="418">"space"</f>
        <v>space</v>
      </c>
      <c r="I497" s="104" t="str">
        <f t="shared" ref="I497:J497" si="414">""</f>
        <v/>
      </c>
      <c r="J497" s="104" t="str">
        <f t="shared" si="414"/>
        <v/>
      </c>
      <c r="K497" s="104"/>
      <c r="L497" s="105"/>
      <c r="M497" s="104"/>
      <c r="N497" s="104"/>
      <c r="O497" s="104"/>
      <c r="P497" s="104"/>
      <c r="Q497" s="104"/>
      <c r="R497" s="104"/>
      <c r="S497" s="104"/>
      <c r="T497" s="107"/>
      <c r="U497" s="107"/>
    </row>
    <row r="498" ht="15.75" hidden="1" customHeight="1">
      <c r="A498" s="196" t="s">
        <v>92</v>
      </c>
      <c r="B498" s="104" t="str">
        <f>"RevisionNo"</f>
        <v>RevisionNo</v>
      </c>
      <c r="C498" s="104" t="str">
        <f>"yfs_order_line_schedule.revision_no"</f>
        <v>yfs_order_line_schedule.revision_no</v>
      </c>
      <c r="D498" s="104" t="str">
        <f t="shared" si="415"/>
        <v>string</v>
      </c>
      <c r="E498" s="105" t="str">
        <f t="shared" si="416"/>
        <v>40</v>
      </c>
      <c r="F498" s="104" t="s">
        <v>854</v>
      </c>
      <c r="G498" s="103" t="str">
        <f t="shared" si="417"/>
        <v>O</v>
      </c>
      <c r="H498" s="103" t="str">
        <f t="shared" si="418"/>
        <v>space</v>
      </c>
      <c r="I498" s="104" t="str">
        <f t="shared" ref="I498:J498" si="419">""</f>
        <v/>
      </c>
      <c r="J498" s="104" t="str">
        <f t="shared" si="419"/>
        <v/>
      </c>
      <c r="K498" s="104"/>
      <c r="L498" s="105"/>
      <c r="M498" s="104"/>
      <c r="N498" s="104"/>
      <c r="O498" s="104"/>
      <c r="P498" s="104"/>
      <c r="Q498" s="104"/>
      <c r="R498" s="104"/>
      <c r="S498" s="104"/>
      <c r="T498" s="107"/>
      <c r="U498" s="107"/>
    </row>
    <row r="499" ht="15.75" hidden="1" customHeight="1">
      <c r="A499" s="196" t="s">
        <v>92</v>
      </c>
      <c r="B499" s="170" t="str">
        <f>"/Order/OrderLines/OrderLine/Schedules/Schedule/ScheduleTranQuantity/@"</f>
        <v>/Order/OrderLines/OrderLine/Schedules/Schedule/ScheduleTranQuantity/@</v>
      </c>
      <c r="C499" s="170"/>
      <c r="D499" s="170"/>
      <c r="E499" s="170"/>
      <c r="F499" s="170"/>
      <c r="G499" s="196" t="str">
        <f t="shared" si="417"/>
        <v>O</v>
      </c>
      <c r="H499" s="170"/>
      <c r="I499" s="170"/>
      <c r="J499" s="170"/>
      <c r="K499" s="170"/>
      <c r="L499" s="170"/>
      <c r="M499" s="170"/>
      <c r="N499" s="170"/>
      <c r="O499" s="170"/>
      <c r="P499" s="170"/>
      <c r="Q499" s="170"/>
      <c r="R499" s="170"/>
      <c r="S499" s="170"/>
      <c r="T499" s="197"/>
      <c r="U499" s="197"/>
    </row>
    <row r="500" ht="15.75" hidden="1" customHeight="1">
      <c r="A500" s="196" t="s">
        <v>92</v>
      </c>
      <c r="B500" s="104" t="str">
        <f>"ChangeInQuantity"</f>
        <v>ChangeInQuantity</v>
      </c>
      <c r="C500" s="104" t="str">
        <f t="shared" ref="C500:C501" si="421">""</f>
        <v/>
      </c>
      <c r="D500" s="104" t="str">
        <f>"decimal"</f>
        <v>decimal</v>
      </c>
      <c r="E500" s="105" t="str">
        <f>"14,4"</f>
        <v>14,4</v>
      </c>
      <c r="F500" s="104" t="s">
        <v>855</v>
      </c>
      <c r="G500" s="103" t="str">
        <f t="shared" si="417"/>
        <v>O</v>
      </c>
      <c r="H500" s="103" t="str">
        <f t="shared" ref="H500:J500" si="420">""</f>
        <v/>
      </c>
      <c r="I500" s="104" t="str">
        <f t="shared" si="420"/>
        <v/>
      </c>
      <c r="J500" s="104" t="str">
        <f t="shared" si="420"/>
        <v/>
      </c>
      <c r="K500" s="104"/>
      <c r="L500" s="105"/>
      <c r="M500" s="104"/>
      <c r="N500" s="104"/>
      <c r="O500" s="104"/>
      <c r="P500" s="104"/>
      <c r="Q500" s="104"/>
      <c r="R500" s="104"/>
      <c r="S500" s="104"/>
      <c r="T500" s="107"/>
      <c r="U500" s="107"/>
    </row>
    <row r="501" ht="15.75" hidden="1" customHeight="1">
      <c r="A501" s="196" t="s">
        <v>92</v>
      </c>
      <c r="B501" s="104" t="str">
        <f>"TransactionalUOM"</f>
        <v>TransactionalUOM</v>
      </c>
      <c r="C501" s="104" t="str">
        <f t="shared" si="421"/>
        <v/>
      </c>
      <c r="D501" s="104" t="str">
        <f>"string"</f>
        <v>string</v>
      </c>
      <c r="E501" s="105" t="str">
        <f>"40"</f>
        <v>40</v>
      </c>
      <c r="F501" s="104" t="s">
        <v>499</v>
      </c>
      <c r="G501" s="103" t="str">
        <f t="shared" si="417"/>
        <v>O</v>
      </c>
      <c r="H501" s="103" t="str">
        <f t="shared" ref="H501:J501" si="422">""</f>
        <v/>
      </c>
      <c r="I501" s="104" t="str">
        <f t="shared" si="422"/>
        <v/>
      </c>
      <c r="J501" s="104" t="str">
        <f t="shared" si="422"/>
        <v/>
      </c>
      <c r="K501" s="104"/>
      <c r="L501" s="105"/>
      <c r="M501" s="104"/>
      <c r="N501" s="104"/>
      <c r="O501" s="104"/>
      <c r="P501" s="104"/>
      <c r="Q501" s="104"/>
      <c r="R501" s="104"/>
      <c r="S501" s="104"/>
      <c r="T501" s="107"/>
      <c r="U501" s="107"/>
    </row>
    <row r="502" ht="15.75" hidden="1" customHeight="1">
      <c r="A502" s="196"/>
      <c r="B502" s="170" t="str">
        <f>"/Order/OrderLines/OrderLine/Dependency/@"</f>
        <v>/Order/OrderLines/OrderLine/Dependency/@</v>
      </c>
      <c r="C502" s="170"/>
      <c r="D502" s="170"/>
      <c r="E502" s="170"/>
      <c r="F502" s="170"/>
      <c r="G502" s="196" t="str">
        <f t="shared" si="417"/>
        <v>O</v>
      </c>
      <c r="H502" s="170"/>
      <c r="I502" s="170"/>
      <c r="J502" s="170"/>
      <c r="K502" s="170"/>
      <c r="L502" s="170"/>
      <c r="M502" s="170"/>
      <c r="N502" s="170"/>
      <c r="O502" s="170"/>
      <c r="P502" s="170"/>
      <c r="Q502" s="170"/>
      <c r="R502" s="170"/>
      <c r="S502" s="170"/>
      <c r="T502" s="197"/>
      <c r="U502" s="197"/>
    </row>
    <row r="503" ht="15.75" hidden="1" customHeight="1">
      <c r="A503" s="103"/>
      <c r="B503" s="104" t="str">
        <f>"DependentOnPrimeLineNo"</f>
        <v>DependentOnPrimeLineNo</v>
      </c>
      <c r="C503" s="104"/>
      <c r="D503" s="104" t="str">
        <f t="shared" ref="D503:D504" si="424">"nonNegativeInteger"</f>
        <v>nonNegativeInteger</v>
      </c>
      <c r="E503" s="105" t="str">
        <f t="shared" ref="E503:E504" si="425">"5"</f>
        <v>5</v>
      </c>
      <c r="F503" s="104" t="s">
        <v>856</v>
      </c>
      <c r="G503" s="103" t="str">
        <f t="shared" si="417"/>
        <v>O</v>
      </c>
      <c r="H503" s="103" t="str">
        <f t="shared" ref="H503:J503" si="423">""</f>
        <v/>
      </c>
      <c r="I503" s="104" t="str">
        <f t="shared" si="423"/>
        <v/>
      </c>
      <c r="J503" s="104" t="str">
        <f t="shared" si="423"/>
        <v/>
      </c>
      <c r="K503" s="104"/>
      <c r="L503" s="105"/>
      <c r="M503" s="104"/>
      <c r="N503" s="104"/>
      <c r="O503" s="104"/>
      <c r="P503" s="104"/>
      <c r="Q503" s="104"/>
      <c r="R503" s="104"/>
      <c r="S503" s="104"/>
      <c r="T503" s="107"/>
      <c r="U503" s="107"/>
    </row>
    <row r="504" ht="15.75" hidden="1" customHeight="1">
      <c r="A504" s="103"/>
      <c r="B504" s="104" t="str">
        <f>"DependentOnSubLineNo"</f>
        <v>DependentOnSubLineNo</v>
      </c>
      <c r="C504" s="104" t="str">
        <f t="shared" ref="C504:C505" si="427">""</f>
        <v/>
      </c>
      <c r="D504" s="104" t="str">
        <f t="shared" si="424"/>
        <v>nonNegativeInteger</v>
      </c>
      <c r="E504" s="105" t="str">
        <f t="shared" si="425"/>
        <v>5</v>
      </c>
      <c r="F504" s="104" t="s">
        <v>857</v>
      </c>
      <c r="G504" s="103" t="str">
        <f t="shared" si="417"/>
        <v>O</v>
      </c>
      <c r="H504" s="103" t="str">
        <f t="shared" ref="H504:J504" si="426">""</f>
        <v/>
      </c>
      <c r="I504" s="104" t="str">
        <f t="shared" si="426"/>
        <v/>
      </c>
      <c r="J504" s="104" t="str">
        <f t="shared" si="426"/>
        <v/>
      </c>
      <c r="K504" s="104"/>
      <c r="L504" s="105"/>
      <c r="M504" s="104"/>
      <c r="N504" s="104"/>
      <c r="O504" s="104"/>
      <c r="P504" s="104"/>
      <c r="Q504" s="104"/>
      <c r="R504" s="104"/>
      <c r="S504" s="104"/>
      <c r="T504" s="107"/>
      <c r="U504" s="107"/>
    </row>
    <row r="505" ht="15.75" hidden="1" customHeight="1">
      <c r="A505" s="103"/>
      <c r="B505" s="104" t="str">
        <f>"DependentOnTransactionalLineId"</f>
        <v>DependentOnTransactionalLineId</v>
      </c>
      <c r="C505" s="104" t="str">
        <f t="shared" si="427"/>
        <v/>
      </c>
      <c r="D505" s="104" t="str">
        <f>"string"</f>
        <v>string</v>
      </c>
      <c r="E505" s="105" t="str">
        <f>"40"</f>
        <v>40</v>
      </c>
      <c r="F505" s="104" t="s">
        <v>858</v>
      </c>
      <c r="G505" s="103" t="str">
        <f t="shared" si="417"/>
        <v>O</v>
      </c>
      <c r="H505" s="103" t="str">
        <f t="shared" ref="H505:J505" si="428">""</f>
        <v/>
      </c>
      <c r="I505" s="104" t="str">
        <f t="shared" si="428"/>
        <v/>
      </c>
      <c r="J505" s="104" t="str">
        <f t="shared" si="428"/>
        <v/>
      </c>
      <c r="K505" s="104"/>
      <c r="L505" s="105"/>
      <c r="M505" s="104"/>
      <c r="N505" s="104"/>
      <c r="O505" s="104"/>
      <c r="P505" s="104"/>
      <c r="Q505" s="104"/>
      <c r="R505" s="104"/>
      <c r="S505" s="104"/>
      <c r="T505" s="107"/>
      <c r="U505" s="107"/>
    </row>
    <row r="506" ht="15.75" hidden="1" customHeight="1">
      <c r="A506" s="196"/>
      <c r="B506" s="170" t="str">
        <f>"/Order/OrderLines/OrderLine/OrderDates"</f>
        <v>/Order/OrderLines/OrderLine/OrderDates</v>
      </c>
      <c r="C506" s="170"/>
      <c r="D506" s="170"/>
      <c r="E506" s="170"/>
      <c r="F506" s="170"/>
      <c r="G506" s="196" t="str">
        <f t="shared" si="417"/>
        <v>O</v>
      </c>
      <c r="H506" s="170"/>
      <c r="I506" s="170"/>
      <c r="J506" s="170"/>
      <c r="K506" s="170"/>
      <c r="L506" s="170"/>
      <c r="M506" s="170"/>
      <c r="N506" s="170"/>
      <c r="O506" s="170"/>
      <c r="P506" s="170"/>
      <c r="Q506" s="170"/>
      <c r="R506" s="170"/>
      <c r="S506" s="170"/>
      <c r="T506" s="197"/>
      <c r="U506" s="197"/>
    </row>
    <row r="507" ht="15.75" hidden="1" customHeight="1">
      <c r="A507" s="196"/>
      <c r="B507" s="170" t="str">
        <f>"/Order/OrderLines/OrderLine/OrderDates/OrderDate/@"</f>
        <v>/Order/OrderLines/OrderLine/OrderDates/OrderDate/@</v>
      </c>
      <c r="C507" s="170"/>
      <c r="D507" s="170"/>
      <c r="E507" s="170"/>
      <c r="F507" s="170"/>
      <c r="G507" s="196" t="str">
        <f t="shared" si="417"/>
        <v>O</v>
      </c>
      <c r="H507" s="170"/>
      <c r="I507" s="170"/>
      <c r="J507" s="170"/>
      <c r="K507" s="170"/>
      <c r="L507" s="170"/>
      <c r="M507" s="170"/>
      <c r="N507" s="170"/>
      <c r="O507" s="170"/>
      <c r="P507" s="170"/>
      <c r="Q507" s="170"/>
      <c r="R507" s="170"/>
      <c r="S507" s="170"/>
      <c r="T507" s="197"/>
      <c r="U507" s="197"/>
    </row>
    <row r="508" ht="15.75" hidden="1" customHeight="1">
      <c r="A508" s="103"/>
      <c r="B508" s="104" t="str">
        <f>"ActualDate"</f>
        <v>ActualDate</v>
      </c>
      <c r="C508" s="104" t="str">
        <f>"yfs_order_date.actual_date"</f>
        <v>yfs_order_date.actual_date</v>
      </c>
      <c r="D508" s="104" t="str">
        <f t="shared" ref="D508:D509" si="430">"dateTime"</f>
        <v>dateTime</v>
      </c>
      <c r="E508" s="105" t="str">
        <f t="shared" ref="E508:E509" si="431">"25"</f>
        <v>25</v>
      </c>
      <c r="F508" s="104" t="s">
        <v>859</v>
      </c>
      <c r="G508" s="103" t="str">
        <f t="shared" si="417"/>
        <v>O</v>
      </c>
      <c r="H508" s="103" t="str">
        <f>"sysdate "</f>
        <v>sysdate </v>
      </c>
      <c r="I508" s="104" t="str">
        <f t="shared" ref="I508:J508" si="429">""</f>
        <v/>
      </c>
      <c r="J508" s="104" t="str">
        <f t="shared" si="429"/>
        <v/>
      </c>
      <c r="K508" s="104"/>
      <c r="L508" s="105"/>
      <c r="M508" s="104"/>
      <c r="N508" s="104"/>
      <c r="O508" s="104"/>
      <c r="P508" s="104"/>
      <c r="Q508" s="104"/>
      <c r="R508" s="104"/>
      <c r="S508" s="104"/>
      <c r="T508" s="107"/>
      <c r="U508" s="107"/>
    </row>
    <row r="509" ht="15.75" hidden="1" customHeight="1">
      <c r="A509" s="103"/>
      <c r="B509" s="104" t="str">
        <f>"CommittedDate"</f>
        <v>CommittedDate</v>
      </c>
      <c r="C509" s="104" t="str">
        <f>"yfs_order_date.committed_date"</f>
        <v>yfs_order_date.committed_date</v>
      </c>
      <c r="D509" s="104" t="str">
        <f t="shared" si="430"/>
        <v>dateTime</v>
      </c>
      <c r="E509" s="105" t="str">
        <f t="shared" si="431"/>
        <v>25</v>
      </c>
      <c r="F509" s="104" t="s">
        <v>860</v>
      </c>
      <c r="G509" s="103" t="str">
        <f t="shared" si="417"/>
        <v>O</v>
      </c>
      <c r="H509" s="103" t="str">
        <f>"sysdate"</f>
        <v>sysdate</v>
      </c>
      <c r="I509" s="104" t="str">
        <f t="shared" ref="I509:J509" si="432">""</f>
        <v/>
      </c>
      <c r="J509" s="104" t="str">
        <f t="shared" si="432"/>
        <v/>
      </c>
      <c r="K509" s="104"/>
      <c r="L509" s="105"/>
      <c r="M509" s="104"/>
      <c r="N509" s="104"/>
      <c r="O509" s="104"/>
      <c r="P509" s="104"/>
      <c r="Q509" s="104"/>
      <c r="R509" s="104"/>
      <c r="S509" s="104"/>
      <c r="T509" s="107"/>
      <c r="U509" s="107"/>
    </row>
    <row r="510" ht="15.75" hidden="1" customHeight="1">
      <c r="A510" s="103"/>
      <c r="B510" s="104" t="str">
        <f>"DateTypeId"</f>
        <v>DateTypeId</v>
      </c>
      <c r="C510" s="104" t="str">
        <f>"yfs_order_date.date_type_id"</f>
        <v>yfs_order_date.date_type_id</v>
      </c>
      <c r="D510" s="104" t="str">
        <f>"string"</f>
        <v>string</v>
      </c>
      <c r="E510" s="105" t="str">
        <f>"40"</f>
        <v>40</v>
      </c>
      <c r="F510" s="104" t="s">
        <v>861</v>
      </c>
      <c r="G510" s="103" t="str">
        <f>"M"</f>
        <v>M</v>
      </c>
      <c r="H510" s="103" t="str">
        <f>"space"</f>
        <v>space</v>
      </c>
      <c r="I510" s="104" t="str">
        <f t="shared" ref="I510:I512" si="433">""</f>
        <v/>
      </c>
      <c r="J510" s="104" t="str">
        <f>"SBUX_ESTIMATED_DLIVERY_DATE"</f>
        <v>SBUX_ESTIMATED_DLIVERY_DATE</v>
      </c>
      <c r="K510" s="104"/>
      <c r="L510" s="105"/>
      <c r="M510" s="104"/>
      <c r="N510" s="104"/>
      <c r="O510" s="104"/>
      <c r="P510" s="104"/>
      <c r="Q510" s="104"/>
      <c r="R510" s="104"/>
      <c r="S510" s="104"/>
      <c r="T510" s="107"/>
      <c r="U510" s="107"/>
    </row>
    <row r="511" ht="15.75" hidden="1" customHeight="1">
      <c r="A511" s="103"/>
      <c r="B511" s="104" t="str">
        <f>"ExpectedDate"</f>
        <v>ExpectedDate</v>
      </c>
      <c r="C511" s="104" t="str">
        <f>"yfs_order_date.expected_date"</f>
        <v>yfs_order_date.expected_date</v>
      </c>
      <c r="D511" s="104" t="str">
        <f t="shared" ref="D511:D512" si="434">"dateTime"</f>
        <v>dateTime</v>
      </c>
      <c r="E511" s="105" t="str">
        <f t="shared" ref="E511:E512" si="435">"25"</f>
        <v>25</v>
      </c>
      <c r="F511" s="104" t="s">
        <v>862</v>
      </c>
      <c r="G511" s="103" t="str">
        <f t="shared" ref="G511:G530" si="436">"O"</f>
        <v>O</v>
      </c>
      <c r="H511" s="103" t="str">
        <f>"sysdate"</f>
        <v>sysdate</v>
      </c>
      <c r="I511" s="104" t="str">
        <f t="shared" si="433"/>
        <v/>
      </c>
      <c r="J511" s="104" t="str">
        <f>"2010-06-27T14:22:31-04:00"</f>
        <v>2010-06-27T14:22:31-04:00</v>
      </c>
      <c r="K511" s="104"/>
      <c r="L511" s="105"/>
      <c r="M511" s="104"/>
      <c r="N511" s="104"/>
      <c r="O511" s="104"/>
      <c r="P511" s="104"/>
      <c r="Q511" s="104"/>
      <c r="R511" s="104"/>
      <c r="S511" s="104"/>
      <c r="T511" s="107"/>
      <c r="U511" s="107"/>
    </row>
    <row r="512" ht="15.75" hidden="1" customHeight="1">
      <c r="A512" s="103"/>
      <c r="B512" s="104" t="str">
        <f>"RequestedDate"</f>
        <v>RequestedDate</v>
      </c>
      <c r="C512" s="104" t="str">
        <f>"yfs_order_date.requested_date"</f>
        <v>yfs_order_date.requested_date</v>
      </c>
      <c r="D512" s="104" t="str">
        <f t="shared" si="434"/>
        <v>dateTime</v>
      </c>
      <c r="E512" s="105" t="str">
        <f t="shared" si="435"/>
        <v>25</v>
      </c>
      <c r="F512" s="104" t="s">
        <v>863</v>
      </c>
      <c r="G512" s="103" t="str">
        <f t="shared" si="436"/>
        <v>O</v>
      </c>
      <c r="H512" s="103" t="str">
        <f>"sysdate "</f>
        <v>sysdate </v>
      </c>
      <c r="I512" s="104" t="str">
        <f t="shared" si="433"/>
        <v/>
      </c>
      <c r="J512" s="104" t="str">
        <f>""</f>
        <v/>
      </c>
      <c r="K512" s="104"/>
      <c r="L512" s="105"/>
      <c r="M512" s="104"/>
      <c r="N512" s="104"/>
      <c r="O512" s="104"/>
      <c r="P512" s="104"/>
      <c r="Q512" s="104"/>
      <c r="R512" s="104"/>
      <c r="S512" s="104"/>
      <c r="T512" s="107"/>
      <c r="U512" s="107"/>
    </row>
    <row r="513" ht="15.75" hidden="1" customHeight="1">
      <c r="A513" s="196"/>
      <c r="B513" s="170" t="str">
        <f>"/Order/OrderLines/OrderLine/OrderLineInvAttRequest/@"</f>
        <v>/Order/OrderLines/OrderLine/OrderLineInvAttRequest/@</v>
      </c>
      <c r="C513" s="170"/>
      <c r="D513" s="170"/>
      <c r="E513" s="170"/>
      <c r="F513" s="170"/>
      <c r="G513" s="196" t="str">
        <f t="shared" si="436"/>
        <v>O</v>
      </c>
      <c r="H513" s="170"/>
      <c r="I513" s="170"/>
      <c r="J513" s="170"/>
      <c r="K513" s="170"/>
      <c r="L513" s="170"/>
      <c r="M513" s="170"/>
      <c r="N513" s="170"/>
      <c r="O513" s="170"/>
      <c r="P513" s="170"/>
      <c r="Q513" s="170"/>
      <c r="R513" s="170"/>
      <c r="S513" s="170"/>
      <c r="T513" s="197"/>
      <c r="U513" s="197"/>
    </row>
    <row r="514" ht="15.75" hidden="1" customHeight="1">
      <c r="A514" s="103"/>
      <c r="B514" s="104" t="str">
        <f>"BatchNo"</f>
        <v>BatchNo</v>
      </c>
      <c r="C514" s="104" t="str">
        <f>"yfs_order_line_req_tag.batch_no"</f>
        <v>yfs_order_line_req_tag.batch_no</v>
      </c>
      <c r="D514" s="104" t="str">
        <f t="shared" ref="D514:D519" si="438">"string"</f>
        <v>string</v>
      </c>
      <c r="E514" s="105" t="str">
        <f t="shared" ref="E514:E517" si="439">"40"</f>
        <v>40</v>
      </c>
      <c r="F514" s="104" t="s">
        <v>864</v>
      </c>
      <c r="G514" s="103" t="str">
        <f t="shared" si="436"/>
        <v>O</v>
      </c>
      <c r="H514" s="103" t="str">
        <f t="shared" ref="H514:H519" si="440">"space"</f>
        <v>space</v>
      </c>
      <c r="I514" s="104" t="str">
        <f t="shared" ref="I514:J514" si="437">""</f>
        <v/>
      </c>
      <c r="J514" s="104" t="str">
        <f t="shared" si="437"/>
        <v/>
      </c>
      <c r="K514" s="104"/>
      <c r="L514" s="105"/>
      <c r="M514" s="104"/>
      <c r="N514" s="104"/>
      <c r="O514" s="104"/>
      <c r="P514" s="104"/>
      <c r="Q514" s="104"/>
      <c r="R514" s="104"/>
      <c r="S514" s="104"/>
      <c r="T514" s="107"/>
      <c r="U514" s="107"/>
    </row>
    <row r="515" ht="15.75" hidden="1" customHeight="1">
      <c r="A515" s="103"/>
      <c r="B515" s="104" t="str">
        <f>"LotAttribute1"</f>
        <v>LotAttribute1</v>
      </c>
      <c r="C515" s="104" t="str">
        <f>"yfs_order_line_req_tag.lot_attribute1"</f>
        <v>yfs_order_line_req_tag.lot_attribute1</v>
      </c>
      <c r="D515" s="104" t="str">
        <f t="shared" si="438"/>
        <v>string</v>
      </c>
      <c r="E515" s="105" t="str">
        <f t="shared" si="439"/>
        <v>40</v>
      </c>
      <c r="F515" s="104" t="s">
        <v>865</v>
      </c>
      <c r="G515" s="103" t="str">
        <f t="shared" si="436"/>
        <v>O</v>
      </c>
      <c r="H515" s="103" t="str">
        <f t="shared" si="440"/>
        <v>space</v>
      </c>
      <c r="I515" s="104" t="str">
        <f t="shared" ref="I515:J515" si="441">""</f>
        <v/>
      </c>
      <c r="J515" s="104" t="str">
        <f t="shared" si="441"/>
        <v/>
      </c>
      <c r="K515" s="104"/>
      <c r="L515" s="105"/>
      <c r="M515" s="104"/>
      <c r="N515" s="104"/>
      <c r="O515" s="104"/>
      <c r="P515" s="104"/>
      <c r="Q515" s="104"/>
      <c r="R515" s="104"/>
      <c r="S515" s="104"/>
      <c r="T515" s="107"/>
      <c r="U515" s="107"/>
    </row>
    <row r="516" ht="15.75" hidden="1" customHeight="1">
      <c r="A516" s="103"/>
      <c r="B516" s="104" t="str">
        <f>"LotAttribute2"</f>
        <v>LotAttribute2</v>
      </c>
      <c r="C516" s="104" t="str">
        <f>"yfs_order_line_req_tag.lot_attribute2"</f>
        <v>yfs_order_line_req_tag.lot_attribute2</v>
      </c>
      <c r="D516" s="104" t="str">
        <f t="shared" si="438"/>
        <v>string</v>
      </c>
      <c r="E516" s="105" t="str">
        <f t="shared" si="439"/>
        <v>40</v>
      </c>
      <c r="F516" s="104" t="s">
        <v>866</v>
      </c>
      <c r="G516" s="103" t="str">
        <f t="shared" si="436"/>
        <v>O</v>
      </c>
      <c r="H516" s="103" t="str">
        <f t="shared" si="440"/>
        <v>space</v>
      </c>
      <c r="I516" s="104" t="str">
        <f t="shared" ref="I516:J516" si="442">""</f>
        <v/>
      </c>
      <c r="J516" s="104" t="str">
        <f t="shared" si="442"/>
        <v/>
      </c>
      <c r="K516" s="104"/>
      <c r="L516" s="105"/>
      <c r="M516" s="104"/>
      <c r="N516" s="104"/>
      <c r="O516" s="104"/>
      <c r="P516" s="104"/>
      <c r="Q516" s="104"/>
      <c r="R516" s="104"/>
      <c r="S516" s="104"/>
      <c r="T516" s="107"/>
      <c r="U516" s="107"/>
    </row>
    <row r="517" ht="15.75" hidden="1" customHeight="1">
      <c r="A517" s="103"/>
      <c r="B517" s="104" t="str">
        <f>"LotAttribute3"</f>
        <v>LotAttribute3</v>
      </c>
      <c r="C517" s="104" t="str">
        <f>"yfs_order_line_req_tag.lot_attribute3"</f>
        <v>yfs_order_line_req_tag.lot_attribute3</v>
      </c>
      <c r="D517" s="104" t="str">
        <f t="shared" si="438"/>
        <v>string</v>
      </c>
      <c r="E517" s="105" t="str">
        <f t="shared" si="439"/>
        <v>40</v>
      </c>
      <c r="F517" s="104" t="s">
        <v>867</v>
      </c>
      <c r="G517" s="103" t="str">
        <f t="shared" si="436"/>
        <v>O</v>
      </c>
      <c r="H517" s="103" t="str">
        <f t="shared" si="440"/>
        <v>space</v>
      </c>
      <c r="I517" s="104" t="str">
        <f t="shared" ref="I517:J517" si="443">""</f>
        <v/>
      </c>
      <c r="J517" s="104" t="str">
        <f t="shared" si="443"/>
        <v/>
      </c>
      <c r="K517" s="104"/>
      <c r="L517" s="105"/>
      <c r="M517" s="104"/>
      <c r="N517" s="104"/>
      <c r="O517" s="104"/>
      <c r="P517" s="104"/>
      <c r="Q517" s="104"/>
      <c r="R517" s="104"/>
      <c r="S517" s="104"/>
      <c r="T517" s="107"/>
      <c r="U517" s="107"/>
    </row>
    <row r="518" ht="15.75" hidden="1" customHeight="1">
      <c r="A518" s="103"/>
      <c r="B518" s="104" t="str">
        <f>"LotKeyReference"</f>
        <v>LotKeyReference</v>
      </c>
      <c r="C518" s="104" t="str">
        <f>"yfs_order_line_req_tag.lot_key_reference"</f>
        <v>yfs_order_line_req_tag.lot_key_reference</v>
      </c>
      <c r="D518" s="104" t="str">
        <f t="shared" si="438"/>
        <v>string</v>
      </c>
      <c r="E518" s="105" t="str">
        <f>"4000"</f>
        <v>4000</v>
      </c>
      <c r="F518" s="104" t="s">
        <v>868</v>
      </c>
      <c r="G518" s="103" t="str">
        <f t="shared" si="436"/>
        <v>O</v>
      </c>
      <c r="H518" s="103" t="str">
        <f t="shared" si="440"/>
        <v>space</v>
      </c>
      <c r="I518" s="104" t="str">
        <f t="shared" ref="I518:J518" si="444">""</f>
        <v/>
      </c>
      <c r="J518" s="104" t="str">
        <f t="shared" si="444"/>
        <v/>
      </c>
      <c r="K518" s="104"/>
      <c r="L518" s="105"/>
      <c r="M518" s="104"/>
      <c r="N518" s="104"/>
      <c r="O518" s="104"/>
      <c r="P518" s="104"/>
      <c r="Q518" s="104"/>
      <c r="R518" s="104"/>
      <c r="S518" s="104"/>
      <c r="T518" s="107"/>
      <c r="U518" s="107"/>
    </row>
    <row r="519" ht="15.75" hidden="1" customHeight="1">
      <c r="A519" s="103"/>
      <c r="B519" s="104" t="str">
        <f>"LotNumber"</f>
        <v>LotNumber</v>
      </c>
      <c r="C519" s="104" t="str">
        <f>"yfs_order_line_req_tag.lot_number"</f>
        <v>yfs_order_line_req_tag.lot_number</v>
      </c>
      <c r="D519" s="104" t="str">
        <f t="shared" si="438"/>
        <v>string</v>
      </c>
      <c r="E519" s="105" t="str">
        <f>"40"</f>
        <v>40</v>
      </c>
      <c r="F519" s="104" t="s">
        <v>869</v>
      </c>
      <c r="G519" s="103" t="str">
        <f t="shared" si="436"/>
        <v>O</v>
      </c>
      <c r="H519" s="103" t="str">
        <f t="shared" si="440"/>
        <v>space</v>
      </c>
      <c r="I519" s="104" t="str">
        <f t="shared" ref="I519:J519" si="445">""</f>
        <v/>
      </c>
      <c r="J519" s="104" t="str">
        <f t="shared" si="445"/>
        <v/>
      </c>
      <c r="K519" s="104"/>
      <c r="L519" s="105"/>
      <c r="M519" s="104"/>
      <c r="N519" s="104"/>
      <c r="O519" s="104"/>
      <c r="P519" s="104"/>
      <c r="Q519" s="104"/>
      <c r="R519" s="104"/>
      <c r="S519" s="104"/>
      <c r="T519" s="107"/>
      <c r="U519" s="107"/>
    </row>
    <row r="520" ht="15.75" hidden="1" customHeight="1">
      <c r="A520" s="103"/>
      <c r="B520" s="104" t="str">
        <f>"ManufacturingDate"</f>
        <v>ManufacturingDate</v>
      </c>
      <c r="C520" s="104" t="str">
        <f>"yfs_order_line_req_tag.lot_manufacture_date"</f>
        <v>yfs_order_line_req_tag.lot_manufacture_date</v>
      </c>
      <c r="D520" s="104" t="str">
        <f>"UNKNOWN"</f>
        <v>UNKNOWN</v>
      </c>
      <c r="E520" s="105" t="str">
        <f>""</f>
        <v/>
      </c>
      <c r="F520" s="104" t="s">
        <v>870</v>
      </c>
      <c r="G520" s="103" t="str">
        <f t="shared" si="436"/>
        <v>O</v>
      </c>
      <c r="H520" s="103" t="str">
        <f>"null"</f>
        <v>null</v>
      </c>
      <c r="I520" s="104" t="str">
        <f t="shared" ref="I520:J520" si="446">""</f>
        <v/>
      </c>
      <c r="J520" s="104" t="str">
        <f t="shared" si="446"/>
        <v/>
      </c>
      <c r="K520" s="104"/>
      <c r="L520" s="105"/>
      <c r="M520" s="104"/>
      <c r="N520" s="104"/>
      <c r="O520" s="104"/>
      <c r="P520" s="104"/>
      <c r="Q520" s="104"/>
      <c r="R520" s="104"/>
      <c r="S520" s="104"/>
      <c r="T520" s="107"/>
      <c r="U520" s="107"/>
    </row>
    <row r="521" ht="15.75" hidden="1" customHeight="1">
      <c r="A521" s="103"/>
      <c r="B521" s="104" t="str">
        <f>"RevisionNo"</f>
        <v>RevisionNo</v>
      </c>
      <c r="C521" s="104" t="str">
        <f>"yfs_order_line_req_tag.revision_no"</f>
        <v>yfs_order_line_req_tag.revision_no</v>
      </c>
      <c r="D521" s="104" t="str">
        <f>"string"</f>
        <v>string</v>
      </c>
      <c r="E521" s="105" t="str">
        <f>"40"</f>
        <v>40</v>
      </c>
      <c r="F521" s="104" t="s">
        <v>871</v>
      </c>
      <c r="G521" s="103" t="str">
        <f t="shared" si="436"/>
        <v>O</v>
      </c>
      <c r="H521" s="103" t="str">
        <f>"space"</f>
        <v>space</v>
      </c>
      <c r="I521" s="104" t="str">
        <f t="shared" ref="I521:J521" si="447">""</f>
        <v/>
      </c>
      <c r="J521" s="104" t="str">
        <f t="shared" si="447"/>
        <v/>
      </c>
      <c r="K521" s="104"/>
      <c r="L521" s="105"/>
      <c r="M521" s="104"/>
      <c r="N521" s="104"/>
      <c r="O521" s="104"/>
      <c r="P521" s="104"/>
      <c r="Q521" s="104"/>
      <c r="R521" s="104"/>
      <c r="S521" s="104"/>
      <c r="T521" s="107"/>
      <c r="U521" s="107"/>
    </row>
    <row r="522" ht="15.75" hidden="1" customHeight="1">
      <c r="A522" s="196"/>
      <c r="B522" s="170" t="str">
        <f>"/Order/OrderLines/OrderLine/ProductItems"</f>
        <v>/Order/OrderLines/OrderLine/ProductItems</v>
      </c>
      <c r="C522" s="170"/>
      <c r="D522" s="170"/>
      <c r="E522" s="170"/>
      <c r="F522" s="170"/>
      <c r="G522" s="196" t="str">
        <f t="shared" si="436"/>
        <v>O</v>
      </c>
      <c r="H522" s="170"/>
      <c r="I522" s="170"/>
      <c r="J522" s="170"/>
      <c r="K522" s="170"/>
      <c r="L522" s="170"/>
      <c r="M522" s="170"/>
      <c r="N522" s="170"/>
      <c r="O522" s="170"/>
      <c r="P522" s="170"/>
      <c r="Q522" s="170"/>
      <c r="R522" s="170"/>
      <c r="S522" s="170"/>
      <c r="T522" s="197"/>
      <c r="U522" s="197"/>
    </row>
    <row r="523" ht="15.75" hidden="1" customHeight="1">
      <c r="A523" s="196"/>
      <c r="B523" s="170" t="str">
        <f>"/Order/OrderLines/OrderLine/ProductItems/ProductItem/@"</f>
        <v>/Order/OrderLines/OrderLine/ProductItems/ProductItem/@</v>
      </c>
      <c r="C523" s="170"/>
      <c r="D523" s="170"/>
      <c r="E523" s="170"/>
      <c r="F523" s="170"/>
      <c r="G523" s="196" t="str">
        <f t="shared" si="436"/>
        <v>O</v>
      </c>
      <c r="H523" s="170"/>
      <c r="I523" s="170"/>
      <c r="J523" s="170"/>
      <c r="K523" s="170"/>
      <c r="L523" s="170"/>
      <c r="M523" s="170"/>
      <c r="N523" s="170"/>
      <c r="O523" s="170"/>
      <c r="P523" s="170"/>
      <c r="Q523" s="170"/>
      <c r="R523" s="170"/>
      <c r="S523" s="170"/>
      <c r="T523" s="197"/>
      <c r="U523" s="197"/>
    </row>
    <row r="524" ht="15.75" hidden="1" customHeight="1">
      <c r="A524" s="103"/>
      <c r="B524" s="104" t="str">
        <f>"ItemID"</f>
        <v>ItemID</v>
      </c>
      <c r="C524" s="104" t="str">
        <f>"yfs_order_ser_prod_item.item_id"</f>
        <v>yfs_order_ser_prod_item.item_id</v>
      </c>
      <c r="D524" s="104" t="str">
        <f>"string"</f>
        <v>string</v>
      </c>
      <c r="E524" s="105" t="str">
        <f>"40"</f>
        <v>40</v>
      </c>
      <c r="F524" s="104" t="s">
        <v>872</v>
      </c>
      <c r="G524" s="103" t="str">
        <f t="shared" si="436"/>
        <v>O</v>
      </c>
      <c r="H524" s="103" t="str">
        <f>"space"</f>
        <v>space</v>
      </c>
      <c r="I524" s="104" t="str">
        <f t="shared" ref="I524:I526" si="448">""</f>
        <v/>
      </c>
      <c r="J524" s="104" t="str">
        <f>"13027"</f>
        <v>13027</v>
      </c>
      <c r="K524" s="104"/>
      <c r="L524" s="105"/>
      <c r="M524" s="104"/>
      <c r="N524" s="104"/>
      <c r="O524" s="104"/>
      <c r="P524" s="104"/>
      <c r="Q524" s="104"/>
      <c r="R524" s="104"/>
      <c r="S524" s="104"/>
      <c r="T524" s="107"/>
      <c r="U524" s="107"/>
    </row>
    <row r="525" ht="15.75" hidden="1" customHeight="1">
      <c r="A525" s="103"/>
      <c r="B525" s="104" t="str">
        <f>"Quantity"</f>
        <v>Quantity</v>
      </c>
      <c r="C525" s="104" t="str">
        <f>"yfs_order_ser_prod_item.quantity"</f>
        <v>yfs_order_ser_prod_item.quantity</v>
      </c>
      <c r="D525" s="104" t="str">
        <f>"decimal"</f>
        <v>decimal</v>
      </c>
      <c r="E525" s="105" t="str">
        <f>"14,4"</f>
        <v>14,4</v>
      </c>
      <c r="F525" s="104" t="s">
        <v>873</v>
      </c>
      <c r="G525" s="103" t="str">
        <f t="shared" si="436"/>
        <v>O</v>
      </c>
      <c r="H525" s="103" t="str">
        <f>"0"</f>
        <v>0</v>
      </c>
      <c r="I525" s="104" t="str">
        <f t="shared" si="448"/>
        <v/>
      </c>
      <c r="J525" s="104" t="str">
        <f>""</f>
        <v/>
      </c>
      <c r="K525" s="104"/>
      <c r="L525" s="105"/>
      <c r="M525" s="104"/>
      <c r="N525" s="104"/>
      <c r="O525" s="104"/>
      <c r="P525" s="104"/>
      <c r="Q525" s="104"/>
      <c r="R525" s="104"/>
      <c r="S525" s="104"/>
      <c r="T525" s="107"/>
      <c r="U525" s="107"/>
    </row>
    <row r="526" ht="15.75" hidden="1" customHeight="1">
      <c r="A526" s="103"/>
      <c r="B526" s="104" t="str">
        <f>"UnitOfMeasure"</f>
        <v>UnitOfMeasure</v>
      </c>
      <c r="C526" s="104" t="str">
        <f>"yfs_order_ser_prod_item.uom"</f>
        <v>yfs_order_ser_prod_item.uom</v>
      </c>
      <c r="D526" s="104" t="str">
        <f>"string"</f>
        <v>string</v>
      </c>
      <c r="E526" s="105" t="str">
        <f>"40"</f>
        <v>40</v>
      </c>
      <c r="F526" s="104" t="s">
        <v>874</v>
      </c>
      <c r="G526" s="103" t="str">
        <f t="shared" si="436"/>
        <v>O</v>
      </c>
      <c r="H526" s="103" t="str">
        <f>"space"</f>
        <v>space</v>
      </c>
      <c r="I526" s="104" t="str">
        <f t="shared" si="448"/>
        <v/>
      </c>
      <c r="J526" s="104" t="str">
        <f>"LCU"</f>
        <v>LCU</v>
      </c>
      <c r="K526" s="104"/>
      <c r="L526" s="105"/>
      <c r="M526" s="104"/>
      <c r="N526" s="104"/>
      <c r="O526" s="104"/>
      <c r="P526" s="104"/>
      <c r="Q526" s="104"/>
      <c r="R526" s="104"/>
      <c r="S526" s="104"/>
      <c r="T526" s="107"/>
      <c r="U526" s="107"/>
    </row>
    <row r="527" ht="15.75" hidden="1" customHeight="1">
      <c r="A527" s="196"/>
      <c r="B527" s="170" t="str">
        <f>"/Order/OrderLines/OrderLine/OrderLineReservations"</f>
        <v>/Order/OrderLines/OrderLine/OrderLineReservations</v>
      </c>
      <c r="C527" s="170"/>
      <c r="D527" s="170"/>
      <c r="E527" s="170"/>
      <c r="F527" s="170"/>
      <c r="G527" s="196" t="str">
        <f t="shared" si="436"/>
        <v>O</v>
      </c>
      <c r="H527" s="170"/>
      <c r="I527" s="170"/>
      <c r="J527" s="170"/>
      <c r="K527" s="170"/>
      <c r="L527" s="170"/>
      <c r="M527" s="170"/>
      <c r="N527" s="170"/>
      <c r="O527" s="170"/>
      <c r="P527" s="170"/>
      <c r="Q527" s="170"/>
      <c r="R527" s="170"/>
      <c r="S527" s="170"/>
      <c r="T527" s="197"/>
      <c r="U527" s="197"/>
    </row>
    <row r="528" ht="15.75" hidden="1" customHeight="1">
      <c r="A528" s="196"/>
      <c r="B528" s="170" t="str">
        <f>"/Order/OrderLines/OrderLine/OrderLineReservations/OrderLineReservation/@"</f>
        <v>/Order/OrderLines/OrderLine/OrderLineReservations/OrderLineReservation/@</v>
      </c>
      <c r="C528" s="170"/>
      <c r="D528" s="170"/>
      <c r="E528" s="170"/>
      <c r="F528" s="170"/>
      <c r="G528" s="196" t="str">
        <f t="shared" si="436"/>
        <v>O</v>
      </c>
      <c r="H528" s="170"/>
      <c r="I528" s="170"/>
      <c r="J528" s="170"/>
      <c r="K528" s="170"/>
      <c r="L528" s="170"/>
      <c r="M528" s="170"/>
      <c r="N528" s="170"/>
      <c r="O528" s="170"/>
      <c r="P528" s="170"/>
      <c r="Q528" s="170"/>
      <c r="R528" s="170"/>
      <c r="S528" s="170"/>
      <c r="T528" s="197"/>
      <c r="U528" s="197"/>
    </row>
    <row r="529" ht="15.75" hidden="1" customHeight="1">
      <c r="A529" s="103"/>
      <c r="B529" s="104" t="str">
        <f>"BatchNo"</f>
        <v>BatchNo</v>
      </c>
      <c r="C529" s="104" t="str">
        <f>"yfs_order_line_reservation.batch_no"</f>
        <v>yfs_order_line_reservation.batch_no</v>
      </c>
      <c r="D529" s="104" t="str">
        <f t="shared" ref="D529:D534" si="450">"string"</f>
        <v>string</v>
      </c>
      <c r="E529" s="105" t="str">
        <f t="shared" ref="E529:E532" si="451">"40"</f>
        <v>40</v>
      </c>
      <c r="F529" s="104" t="s">
        <v>875</v>
      </c>
      <c r="G529" s="103" t="str">
        <f t="shared" si="436"/>
        <v>O</v>
      </c>
      <c r="H529" s="103" t="str">
        <f t="shared" ref="H529:H534" si="452">"space"</f>
        <v>space</v>
      </c>
      <c r="I529" s="104" t="str">
        <f t="shared" ref="I529:J529" si="449">""</f>
        <v/>
      </c>
      <c r="J529" s="104" t="str">
        <f t="shared" si="449"/>
        <v/>
      </c>
      <c r="K529" s="104"/>
      <c r="L529" s="105"/>
      <c r="M529" s="104"/>
      <c r="N529" s="104"/>
      <c r="O529" s="104"/>
      <c r="P529" s="104"/>
      <c r="Q529" s="104"/>
      <c r="R529" s="104"/>
      <c r="S529" s="104"/>
      <c r="T529" s="107"/>
      <c r="U529" s="107"/>
    </row>
    <row r="530" ht="15.75" hidden="1" customHeight="1">
      <c r="A530" s="103"/>
      <c r="B530" s="104" t="str">
        <f>"DemandType"</f>
        <v>DemandType</v>
      </c>
      <c r="C530" s="104" t="str">
        <f>"yfs_order_line_reservation.demand_type"</f>
        <v>yfs_order_line_reservation.demand_type</v>
      </c>
      <c r="D530" s="104" t="str">
        <f t="shared" si="450"/>
        <v>string</v>
      </c>
      <c r="E530" s="105" t="str">
        <f t="shared" si="451"/>
        <v>40</v>
      </c>
      <c r="F530" s="104" t="s">
        <v>876</v>
      </c>
      <c r="G530" s="103" t="str">
        <f t="shared" si="436"/>
        <v>O</v>
      </c>
      <c r="H530" s="103" t="str">
        <f t="shared" si="452"/>
        <v>space</v>
      </c>
      <c r="I530" s="104" t="str">
        <f t="shared" ref="I530:J530" si="453">""</f>
        <v/>
      </c>
      <c r="J530" s="104" t="str">
        <f t="shared" si="453"/>
        <v/>
      </c>
      <c r="K530" s="104"/>
      <c r="L530" s="105"/>
      <c r="M530" s="104"/>
      <c r="N530" s="104"/>
      <c r="O530" s="104"/>
      <c r="P530" s="104"/>
      <c r="Q530" s="104"/>
      <c r="R530" s="104"/>
      <c r="S530" s="104"/>
      <c r="T530" s="107"/>
      <c r="U530" s="107"/>
    </row>
    <row r="531" ht="15.75" hidden="1" customHeight="1">
      <c r="A531" s="103"/>
      <c r="B531" s="104" t="str">
        <f>"ItemID"</f>
        <v>ItemID</v>
      </c>
      <c r="C531" s="104" t="str">
        <f>"yfs_order_line_reservation.item_id"</f>
        <v>yfs_order_line_reservation.item_id</v>
      </c>
      <c r="D531" s="104" t="str">
        <f t="shared" si="450"/>
        <v>string</v>
      </c>
      <c r="E531" s="105" t="str">
        <f t="shared" si="451"/>
        <v>40</v>
      </c>
      <c r="F531" s="104" t="s">
        <v>877</v>
      </c>
      <c r="G531" s="103" t="str">
        <f>"M"</f>
        <v>M</v>
      </c>
      <c r="H531" s="103" t="str">
        <f t="shared" si="452"/>
        <v>space</v>
      </c>
      <c r="I531" s="104" t="str">
        <f t="shared" ref="I531:I539" si="454">""</f>
        <v/>
      </c>
      <c r="J531" s="104" t="str">
        <f>"13027"</f>
        <v>13027</v>
      </c>
      <c r="K531" s="104"/>
      <c r="L531" s="105"/>
      <c r="M531" s="104"/>
      <c r="N531" s="104"/>
      <c r="O531" s="104"/>
      <c r="P531" s="104"/>
      <c r="Q531" s="104"/>
      <c r="R531" s="104"/>
      <c r="S531" s="104"/>
      <c r="T531" s="107"/>
      <c r="U531" s="107"/>
    </row>
    <row r="532" ht="15.75" hidden="1" customHeight="1">
      <c r="A532" s="103"/>
      <c r="B532" s="104" t="str">
        <f>"LotNumber"</f>
        <v>LotNumber</v>
      </c>
      <c r="C532" s="104" t="str">
        <f>"yfs_order_line_reservation.lot_number"</f>
        <v>yfs_order_line_reservation.lot_number</v>
      </c>
      <c r="D532" s="104" t="str">
        <f t="shared" si="450"/>
        <v>string</v>
      </c>
      <c r="E532" s="105" t="str">
        <f t="shared" si="451"/>
        <v>40</v>
      </c>
      <c r="F532" s="104" t="s">
        <v>878</v>
      </c>
      <c r="G532" s="103" t="str">
        <f>"O"</f>
        <v>O</v>
      </c>
      <c r="H532" s="103" t="str">
        <f t="shared" si="452"/>
        <v>space</v>
      </c>
      <c r="I532" s="104" t="str">
        <f t="shared" si="454"/>
        <v/>
      </c>
      <c r="J532" s="104" t="str">
        <f>""</f>
        <v/>
      </c>
      <c r="K532" s="104"/>
      <c r="L532" s="105"/>
      <c r="M532" s="104"/>
      <c r="N532" s="104"/>
      <c r="O532" s="104"/>
      <c r="P532" s="104"/>
      <c r="Q532" s="104"/>
      <c r="R532" s="104"/>
      <c r="S532" s="104"/>
      <c r="T532" s="107"/>
      <c r="U532" s="107"/>
    </row>
    <row r="533" ht="15.75" hidden="1" customHeight="1">
      <c r="A533" s="103"/>
      <c r="B533" s="104" t="str">
        <f>"Node"</f>
        <v>Node</v>
      </c>
      <c r="C533" s="104" t="str">
        <f>"yfs_order_line_reservation.node_key"</f>
        <v>yfs_order_line_reservation.node_key</v>
      </c>
      <c r="D533" s="104" t="str">
        <f t="shared" si="450"/>
        <v>string</v>
      </c>
      <c r="E533" s="105" t="str">
        <f>"24"</f>
        <v>24</v>
      </c>
      <c r="F533" s="104" t="s">
        <v>879</v>
      </c>
      <c r="G533" s="103" t="str">
        <f>"M"</f>
        <v>M</v>
      </c>
      <c r="H533" s="103" t="str">
        <f t="shared" si="452"/>
        <v>space</v>
      </c>
      <c r="I533" s="104" t="str">
        <f t="shared" si="454"/>
        <v/>
      </c>
      <c r="J533" s="104" t="str">
        <f>"2010050314595404413"</f>
        <v>2010050314595404413</v>
      </c>
      <c r="K533" s="104"/>
      <c r="L533" s="105"/>
      <c r="M533" s="104"/>
      <c r="N533" s="104"/>
      <c r="O533" s="104"/>
      <c r="P533" s="104"/>
      <c r="Q533" s="104"/>
      <c r="R533" s="104"/>
      <c r="S533" s="104"/>
      <c r="T533" s="107"/>
      <c r="U533" s="107"/>
    </row>
    <row r="534" ht="15.75" hidden="1" customHeight="1">
      <c r="A534" s="103"/>
      <c r="B534" s="104" t="str">
        <f>"ProductClass"</f>
        <v>ProductClass</v>
      </c>
      <c r="C534" s="104" t="str">
        <f>"yfs_order_line_reservation.product_class"</f>
        <v>yfs_order_line_reservation.product_class</v>
      </c>
      <c r="D534" s="104" t="str">
        <f t="shared" si="450"/>
        <v>string</v>
      </c>
      <c r="E534" s="105" t="str">
        <f>"10"</f>
        <v>10</v>
      </c>
      <c r="F534" s="104" t="s">
        <v>880</v>
      </c>
      <c r="G534" s="103" t="str">
        <f>"O"</f>
        <v>O</v>
      </c>
      <c r="H534" s="103" t="str">
        <f t="shared" si="452"/>
        <v>space</v>
      </c>
      <c r="I534" s="104" t="str">
        <f t="shared" si="454"/>
        <v/>
      </c>
      <c r="J534" s="104" t="str">
        <f>"GOOD"</f>
        <v>GOOD</v>
      </c>
      <c r="K534" s="104"/>
      <c r="L534" s="105"/>
      <c r="M534" s="104"/>
      <c r="N534" s="104"/>
      <c r="O534" s="104"/>
      <c r="P534" s="104"/>
      <c r="Q534" s="104"/>
      <c r="R534" s="104"/>
      <c r="S534" s="104"/>
      <c r="T534" s="107"/>
      <c r="U534" s="107"/>
    </row>
    <row r="535" ht="15.75" hidden="1" customHeight="1">
      <c r="A535" s="103"/>
      <c r="B535" s="104" t="str">
        <f>"Quantity"</f>
        <v>Quantity</v>
      </c>
      <c r="C535" s="104" t="str">
        <f>"yfs_order_line_reservation.quantity"</f>
        <v>yfs_order_line_reservation.quantity</v>
      </c>
      <c r="D535" s="104" t="str">
        <f>"decimal"</f>
        <v>decimal</v>
      </c>
      <c r="E535" s="105" t="str">
        <f>"14,4"</f>
        <v>14,4</v>
      </c>
      <c r="F535" s="104" t="s">
        <v>881</v>
      </c>
      <c r="G535" s="103" t="str">
        <f>"M"</f>
        <v>M</v>
      </c>
      <c r="H535" s="103" t="str">
        <f>"0"</f>
        <v>0</v>
      </c>
      <c r="I535" s="104" t="str">
        <f t="shared" si="454"/>
        <v/>
      </c>
      <c r="J535" s="104" t="str">
        <f t="shared" ref="J535:J538" si="455">""</f>
        <v/>
      </c>
      <c r="K535" s="104"/>
      <c r="L535" s="105"/>
      <c r="M535" s="104"/>
      <c r="N535" s="104"/>
      <c r="O535" s="104"/>
      <c r="P535" s="104"/>
      <c r="Q535" s="104"/>
      <c r="R535" s="104"/>
      <c r="S535" s="104"/>
      <c r="T535" s="107"/>
      <c r="U535" s="107"/>
    </row>
    <row r="536" ht="15.75" hidden="1" customHeight="1">
      <c r="A536" s="103"/>
      <c r="B536" s="104" t="str">
        <f>"RequestedReservationDate"</f>
        <v>RequestedReservationDate</v>
      </c>
      <c r="C536" s="104" t="str">
        <f>"yfs_order_line_reservation.req_reservation_date"</f>
        <v>yfs_order_line_reservation.req_reservation_date</v>
      </c>
      <c r="D536" s="104" t="str">
        <f>"dateTime"</f>
        <v>dateTime</v>
      </c>
      <c r="E536" s="105" t="str">
        <f>"25"</f>
        <v>25</v>
      </c>
      <c r="F536" s="104" t="s">
        <v>882</v>
      </c>
      <c r="G536" s="103" t="str">
        <f t="shared" ref="G536:G583" si="456">"O"</f>
        <v>O</v>
      </c>
      <c r="H536" s="103" t="str">
        <f>"sysdate"</f>
        <v>sysdate</v>
      </c>
      <c r="I536" s="104" t="str">
        <f t="shared" si="454"/>
        <v/>
      </c>
      <c r="J536" s="104" t="str">
        <f t="shared" si="455"/>
        <v/>
      </c>
      <c r="K536" s="104"/>
      <c r="L536" s="105"/>
      <c r="M536" s="104"/>
      <c r="N536" s="104"/>
      <c r="O536" s="104"/>
      <c r="P536" s="104"/>
      <c r="Q536" s="104"/>
      <c r="R536" s="104"/>
      <c r="S536" s="104"/>
      <c r="T536" s="107"/>
      <c r="U536" s="107"/>
    </row>
    <row r="537" ht="15.75" hidden="1" customHeight="1">
      <c r="A537" s="103"/>
      <c r="B537" s="104" t="str">
        <f>"ReservationID"</f>
        <v>ReservationID</v>
      </c>
      <c r="C537" s="104" t="str">
        <f>"yfs_inventory_reservation.reservation_id"</f>
        <v>yfs_inventory_reservation.reservation_id</v>
      </c>
      <c r="D537" s="104" t="str">
        <f t="shared" ref="D537:D539" si="457">"string"</f>
        <v>string</v>
      </c>
      <c r="E537" s="105" t="str">
        <f>"100"</f>
        <v>100</v>
      </c>
      <c r="F537" s="104" t="s">
        <v>883</v>
      </c>
      <c r="G537" s="103" t="str">
        <f t="shared" si="456"/>
        <v>O</v>
      </c>
      <c r="H537" s="103" t="str">
        <f t="shared" ref="H537:H539" si="458">"space"</f>
        <v>space</v>
      </c>
      <c r="I537" s="104" t="str">
        <f t="shared" si="454"/>
        <v/>
      </c>
      <c r="J537" s="104" t="str">
        <f t="shared" si="455"/>
        <v/>
      </c>
      <c r="K537" s="104"/>
      <c r="L537" s="105"/>
      <c r="M537" s="104"/>
      <c r="N537" s="104"/>
      <c r="O537" s="104"/>
      <c r="P537" s="104"/>
      <c r="Q537" s="104"/>
      <c r="R537" s="104"/>
      <c r="S537" s="104"/>
      <c r="T537" s="107"/>
      <c r="U537" s="107"/>
    </row>
    <row r="538" ht="15.75" hidden="1" customHeight="1">
      <c r="A538" s="103"/>
      <c r="B538" s="104" t="str">
        <f>"RevisionNo"</f>
        <v>RevisionNo</v>
      </c>
      <c r="C538" s="104" t="str">
        <f>"yfs_order_line_reservation.revision_no"</f>
        <v>yfs_order_line_reservation.revision_no</v>
      </c>
      <c r="D538" s="104" t="str">
        <f t="shared" si="457"/>
        <v>string</v>
      </c>
      <c r="E538" s="105" t="str">
        <f t="shared" ref="E538:E539" si="459">"40"</f>
        <v>40</v>
      </c>
      <c r="F538" s="104" t="s">
        <v>884</v>
      </c>
      <c r="G538" s="103" t="str">
        <f t="shared" si="456"/>
        <v>O</v>
      </c>
      <c r="H538" s="103" t="str">
        <f t="shared" si="458"/>
        <v>space</v>
      </c>
      <c r="I538" s="104" t="str">
        <f t="shared" si="454"/>
        <v/>
      </c>
      <c r="J538" s="104" t="str">
        <f t="shared" si="455"/>
        <v/>
      </c>
      <c r="K538" s="104"/>
      <c r="L538" s="105"/>
      <c r="M538" s="104"/>
      <c r="N538" s="104"/>
      <c r="O538" s="104"/>
      <c r="P538" s="104"/>
      <c r="Q538" s="104"/>
      <c r="R538" s="104"/>
      <c r="S538" s="104"/>
      <c r="T538" s="107"/>
      <c r="U538" s="107"/>
    </row>
    <row r="539" ht="15.75" hidden="1" customHeight="1">
      <c r="A539" s="103"/>
      <c r="B539" s="104" t="str">
        <f>"UnitOfMeasure"</f>
        <v>UnitOfMeasure</v>
      </c>
      <c r="C539" s="104" t="str">
        <f>"yfs_order_line_reservation.uom"</f>
        <v>yfs_order_line_reservation.uom</v>
      </c>
      <c r="D539" s="104" t="str">
        <f t="shared" si="457"/>
        <v>string</v>
      </c>
      <c r="E539" s="105" t="str">
        <f t="shared" si="459"/>
        <v>40</v>
      </c>
      <c r="F539" s="104" t="s">
        <v>885</v>
      </c>
      <c r="G539" s="103" t="str">
        <f t="shared" si="456"/>
        <v>O</v>
      </c>
      <c r="H539" s="103" t="str">
        <f t="shared" si="458"/>
        <v>space</v>
      </c>
      <c r="I539" s="104" t="str">
        <f t="shared" si="454"/>
        <v/>
      </c>
      <c r="J539" s="104" t="str">
        <f>"LCU"</f>
        <v>LCU</v>
      </c>
      <c r="K539" s="104"/>
      <c r="L539" s="105"/>
      <c r="M539" s="104"/>
      <c r="N539" s="104"/>
      <c r="O539" s="104"/>
      <c r="P539" s="104"/>
      <c r="Q539" s="104"/>
      <c r="R539" s="104"/>
      <c r="S539" s="104"/>
      <c r="T539" s="107"/>
      <c r="U539" s="107"/>
    </row>
    <row r="540" ht="15.75" hidden="1" customHeight="1">
      <c r="A540" s="196" t="s">
        <v>92</v>
      </c>
      <c r="B540" s="170" t="str">
        <f>"/Order/OrderLines/OrderLine/Promotions/@"</f>
        <v>/Order/OrderLines/OrderLine/Promotions/@</v>
      </c>
      <c r="C540" s="170"/>
      <c r="D540" s="170"/>
      <c r="E540" s="170"/>
      <c r="F540" s="170"/>
      <c r="G540" s="196" t="str">
        <f t="shared" si="456"/>
        <v>O</v>
      </c>
      <c r="H540" s="170"/>
      <c r="I540" s="170"/>
      <c r="J540" s="170"/>
      <c r="K540" s="170"/>
      <c r="L540" s="170"/>
      <c r="M540" s="170"/>
      <c r="N540" s="170"/>
      <c r="O540" s="170"/>
      <c r="P540" s="170"/>
      <c r="Q540" s="170"/>
      <c r="R540" s="170"/>
      <c r="S540" s="170"/>
      <c r="T540" s="197"/>
      <c r="U540" s="197"/>
    </row>
    <row r="541" ht="15.75" hidden="1" customHeight="1">
      <c r="A541" s="103" t="s">
        <v>92</v>
      </c>
      <c r="B541" s="104" t="str">
        <f>"Reset"</f>
        <v>Reset</v>
      </c>
      <c r="C541" s="104" t="str">
        <f>""</f>
        <v/>
      </c>
      <c r="D541" s="104" t="str">
        <f>"string"</f>
        <v>string</v>
      </c>
      <c r="E541" s="105" t="str">
        <f>"1"</f>
        <v>1</v>
      </c>
      <c r="F541" s="104" t="s">
        <v>886</v>
      </c>
      <c r="G541" s="103" t="str">
        <f t="shared" si="456"/>
        <v>O</v>
      </c>
      <c r="H541" s="103" t="str">
        <f>""</f>
        <v/>
      </c>
      <c r="I541" s="104" t="str">
        <f>"N, Y"</f>
        <v>N, Y</v>
      </c>
      <c r="J541" s="104" t="str">
        <f>""</f>
        <v/>
      </c>
      <c r="K541" s="104"/>
      <c r="L541" s="105"/>
      <c r="M541" s="104"/>
      <c r="N541" s="104"/>
      <c r="O541" s="104"/>
      <c r="P541" s="104"/>
      <c r="Q541" s="104"/>
      <c r="R541" s="104"/>
      <c r="S541" s="104"/>
      <c r="T541" s="107"/>
      <c r="U541" s="107"/>
    </row>
    <row r="542" ht="15.75" hidden="1" customHeight="1">
      <c r="A542" s="196" t="s">
        <v>92</v>
      </c>
      <c r="B542" s="170" t="str">
        <f>"/Order/OrderLines/OrderLine/Promotions/Promotion/@"</f>
        <v>/Order/OrderLines/OrderLine/Promotions/Promotion/@</v>
      </c>
      <c r="C542" s="170"/>
      <c r="D542" s="170"/>
      <c r="E542" s="170"/>
      <c r="F542" s="170"/>
      <c r="G542" s="196" t="str">
        <f t="shared" si="456"/>
        <v>O</v>
      </c>
      <c r="H542" s="170"/>
      <c r="I542" s="170"/>
      <c r="J542" s="170"/>
      <c r="K542" s="170"/>
      <c r="L542" s="170"/>
      <c r="M542" s="170"/>
      <c r="N542" s="170"/>
      <c r="O542" s="170"/>
      <c r="P542" s="170"/>
      <c r="Q542" s="170"/>
      <c r="R542" s="170"/>
      <c r="S542" s="170"/>
      <c r="T542" s="197"/>
      <c r="U542" s="197"/>
    </row>
    <row r="543" ht="15.75" hidden="1" customHeight="1">
      <c r="A543" s="103" t="s">
        <v>92</v>
      </c>
      <c r="B543" s="104" t="str">
        <f>"Action"</f>
        <v>Action</v>
      </c>
      <c r="C543" s="104" t="str">
        <f>""</f>
        <v/>
      </c>
      <c r="D543" s="104" t="str">
        <f t="shared" ref="D543:D544" si="461">"string"</f>
        <v>string</v>
      </c>
      <c r="E543" s="105" t="str">
        <f>"40"</f>
        <v>40</v>
      </c>
      <c r="F543" s="104" t="s">
        <v>887</v>
      </c>
      <c r="G543" s="103" t="str">
        <f t="shared" si="456"/>
        <v>O</v>
      </c>
      <c r="H543" s="103" t="str">
        <f t="shared" ref="H543:J543" si="460">""</f>
        <v/>
      </c>
      <c r="I543" s="104" t="str">
        <f t="shared" si="460"/>
        <v/>
      </c>
      <c r="J543" s="104" t="str">
        <f t="shared" si="460"/>
        <v/>
      </c>
      <c r="K543" s="104"/>
      <c r="L543" s="105"/>
      <c r="M543" s="104"/>
      <c r="N543" s="104"/>
      <c r="O543" s="104"/>
      <c r="P543" s="104"/>
      <c r="Q543" s="104"/>
      <c r="R543" s="104"/>
      <c r="S543" s="104"/>
      <c r="T543" s="107"/>
      <c r="U543" s="107"/>
    </row>
    <row r="544" ht="15.75" hidden="1" customHeight="1">
      <c r="A544" s="103" t="s">
        <v>92</v>
      </c>
      <c r="B544" s="104" t="str">
        <f>"DenialReason"</f>
        <v>DenialReason</v>
      </c>
      <c r="C544" s="104" t="str">
        <f>"yfs_promotion.denial_reason"</f>
        <v>yfs_promotion.denial_reason</v>
      </c>
      <c r="D544" s="104" t="str">
        <f t="shared" si="461"/>
        <v>string</v>
      </c>
      <c r="E544" s="105" t="str">
        <f>"100"</f>
        <v>100</v>
      </c>
      <c r="F544" s="104" t="s">
        <v>888</v>
      </c>
      <c r="G544" s="103" t="str">
        <f t="shared" si="456"/>
        <v>O</v>
      </c>
      <c r="H544" s="103" t="str">
        <f>"space"</f>
        <v>space</v>
      </c>
      <c r="I544" s="104" t="str">
        <f t="shared" ref="I544:J544" si="462">""</f>
        <v/>
      </c>
      <c r="J544" s="104" t="str">
        <f t="shared" si="462"/>
        <v/>
      </c>
      <c r="K544" s="104"/>
      <c r="L544" s="105"/>
      <c r="M544" s="104"/>
      <c r="N544" s="104"/>
      <c r="O544" s="104"/>
      <c r="P544" s="104"/>
      <c r="Q544" s="104"/>
      <c r="R544" s="104"/>
      <c r="S544" s="104"/>
      <c r="T544" s="107"/>
      <c r="U544" s="107"/>
    </row>
    <row r="545" ht="15.75" hidden="1" customHeight="1">
      <c r="A545" s="103" t="s">
        <v>92</v>
      </c>
      <c r="B545" s="104" t="str">
        <f>"ExclusivityId"</f>
        <v>ExclusivityId</v>
      </c>
      <c r="C545" s="104" t="str">
        <f>"yfs_promotion.exclusivity_id"</f>
        <v>yfs_promotion.exclusivity_id</v>
      </c>
      <c r="D545" s="104" t="str">
        <f t="shared" ref="D545:D546" si="464">"UNKNOWN"</f>
        <v>UNKNOWN</v>
      </c>
      <c r="E545" s="105" t="str">
        <f t="shared" ref="E545:E546" si="465">""</f>
        <v/>
      </c>
      <c r="F545" s="104" t="s">
        <v>889</v>
      </c>
      <c r="G545" s="103" t="str">
        <f t="shared" si="456"/>
        <v>O</v>
      </c>
      <c r="H545" s="103" t="str">
        <f t="shared" ref="H545:J545" si="463">""</f>
        <v/>
      </c>
      <c r="I545" s="104" t="str">
        <f t="shared" si="463"/>
        <v/>
      </c>
      <c r="J545" s="104" t="str">
        <f t="shared" si="463"/>
        <v/>
      </c>
      <c r="K545" s="104"/>
      <c r="L545" s="105"/>
      <c r="M545" s="104"/>
      <c r="N545" s="104"/>
      <c r="O545" s="104"/>
      <c r="P545" s="104"/>
      <c r="Q545" s="104"/>
      <c r="R545" s="104"/>
      <c r="S545" s="104"/>
      <c r="T545" s="107"/>
      <c r="U545" s="107"/>
    </row>
    <row r="546" ht="15.75" hidden="1" customHeight="1">
      <c r="A546" s="103" t="s">
        <v>92</v>
      </c>
      <c r="B546" s="104" t="str">
        <f>"ExclusivityType"</f>
        <v>ExclusivityType</v>
      </c>
      <c r="C546" s="104" t="str">
        <f>"yfs_promotion.exclusivity_type"</f>
        <v>yfs_promotion.exclusivity_type</v>
      </c>
      <c r="D546" s="104" t="str">
        <f t="shared" si="464"/>
        <v>UNKNOWN</v>
      </c>
      <c r="E546" s="105" t="str">
        <f t="shared" si="465"/>
        <v/>
      </c>
      <c r="F546" s="104" t="s">
        <v>890</v>
      </c>
      <c r="G546" s="103" t="str">
        <f t="shared" si="456"/>
        <v>O</v>
      </c>
      <c r="H546" s="103" t="str">
        <f t="shared" ref="H546:J546" si="466">""</f>
        <v/>
      </c>
      <c r="I546" s="104" t="str">
        <f t="shared" si="466"/>
        <v/>
      </c>
      <c r="J546" s="104" t="str">
        <f t="shared" si="466"/>
        <v/>
      </c>
      <c r="K546" s="104"/>
      <c r="L546" s="105"/>
      <c r="M546" s="104"/>
      <c r="N546" s="104"/>
      <c r="O546" s="104"/>
      <c r="P546" s="104"/>
      <c r="Q546" s="104"/>
      <c r="R546" s="104"/>
      <c r="S546" s="104"/>
      <c r="T546" s="107"/>
      <c r="U546" s="107"/>
    </row>
    <row r="547" ht="15.75" hidden="1" customHeight="1">
      <c r="A547" s="103" t="s">
        <v>92</v>
      </c>
      <c r="B547" s="104" t="str">
        <f>"IsExternal"</f>
        <v>IsExternal</v>
      </c>
      <c r="C547" s="104" t="str">
        <f>"yfs_promotion.is_external"</f>
        <v>yfs_promotion.is_external</v>
      </c>
      <c r="D547" s="104" t="str">
        <f>"string"</f>
        <v>string</v>
      </c>
      <c r="E547" s="105" t="str">
        <f>"1"</f>
        <v>1</v>
      </c>
      <c r="F547" s="104" t="s">
        <v>891</v>
      </c>
      <c r="G547" s="103" t="str">
        <f t="shared" si="456"/>
        <v>O</v>
      </c>
      <c r="H547" s="103" t="str">
        <f t="shared" ref="H547:J547" si="467">""</f>
        <v/>
      </c>
      <c r="I547" s="104" t="str">
        <f t="shared" si="467"/>
        <v/>
      </c>
      <c r="J547" s="104" t="str">
        <f t="shared" si="467"/>
        <v/>
      </c>
      <c r="K547" s="104"/>
      <c r="L547" s="105"/>
      <c r="M547" s="104"/>
      <c r="N547" s="104"/>
      <c r="O547" s="104"/>
      <c r="P547" s="104"/>
      <c r="Q547" s="104"/>
      <c r="R547" s="104"/>
      <c r="S547" s="104"/>
      <c r="T547" s="107"/>
      <c r="U547" s="107"/>
    </row>
    <row r="548" ht="15.75" hidden="1" customHeight="1">
      <c r="A548" s="103" t="s">
        <v>92</v>
      </c>
      <c r="B548" s="104" t="str">
        <f>"OverrideAdjustmentValue"</f>
        <v>OverrideAdjustmentValue</v>
      </c>
      <c r="C548" s="104" t="str">
        <f>"yfs_promotion.override_adjustment_value"</f>
        <v>yfs_promotion.override_adjustment_value</v>
      </c>
      <c r="D548" s="104" t="str">
        <f t="shared" ref="D548:D550" si="469">"UNKNOWN"</f>
        <v>UNKNOWN</v>
      </c>
      <c r="E548" s="105" t="str">
        <f t="shared" ref="E548:E550" si="470">""</f>
        <v/>
      </c>
      <c r="F548" s="104" t="s">
        <v>892</v>
      </c>
      <c r="G548" s="103" t="str">
        <f t="shared" si="456"/>
        <v>O</v>
      </c>
      <c r="H548" s="103" t="str">
        <f t="shared" ref="H548:J548" si="468">""</f>
        <v/>
      </c>
      <c r="I548" s="104" t="str">
        <f t="shared" si="468"/>
        <v/>
      </c>
      <c r="J548" s="104" t="str">
        <f t="shared" si="468"/>
        <v/>
      </c>
      <c r="K548" s="104"/>
      <c r="L548" s="105"/>
      <c r="M548" s="104"/>
      <c r="N548" s="104"/>
      <c r="O548" s="104"/>
      <c r="P548" s="104"/>
      <c r="Q548" s="104"/>
      <c r="R548" s="104"/>
      <c r="S548" s="104"/>
      <c r="T548" s="107"/>
      <c r="U548" s="107"/>
    </row>
    <row r="549" ht="15.75" hidden="1" customHeight="1">
      <c r="A549" s="103" t="s">
        <v>92</v>
      </c>
      <c r="B549" s="104" t="str">
        <f>"OverrideMaxAdjustment"</f>
        <v>OverrideMaxAdjustment</v>
      </c>
      <c r="C549" s="104" t="str">
        <f>"yfs_promotion.override_max_adjustment"</f>
        <v>yfs_promotion.override_max_adjustment</v>
      </c>
      <c r="D549" s="104" t="str">
        <f t="shared" si="469"/>
        <v>UNKNOWN</v>
      </c>
      <c r="E549" s="105" t="str">
        <f t="shared" si="470"/>
        <v/>
      </c>
      <c r="F549" s="104" t="s">
        <v>893</v>
      </c>
      <c r="G549" s="103" t="str">
        <f t="shared" si="456"/>
        <v>O</v>
      </c>
      <c r="H549" s="103" t="str">
        <f t="shared" ref="H549:J549" si="471">""</f>
        <v/>
      </c>
      <c r="I549" s="104" t="str">
        <f t="shared" si="471"/>
        <v/>
      </c>
      <c r="J549" s="104" t="str">
        <f t="shared" si="471"/>
        <v/>
      </c>
      <c r="K549" s="104"/>
      <c r="L549" s="105"/>
      <c r="M549" s="104"/>
      <c r="N549" s="104"/>
      <c r="O549" s="104"/>
      <c r="P549" s="104"/>
      <c r="Q549" s="104"/>
      <c r="R549" s="104"/>
      <c r="S549" s="104"/>
      <c r="T549" s="107"/>
      <c r="U549" s="107"/>
    </row>
    <row r="550" ht="15.75" hidden="1" customHeight="1">
      <c r="A550" s="103" t="s">
        <v>92</v>
      </c>
      <c r="B550" s="104" t="str">
        <f>"Priority"</f>
        <v>Priority</v>
      </c>
      <c r="C550" s="104" t="str">
        <f>"yfs_promotion.priority"</f>
        <v>yfs_promotion.priority</v>
      </c>
      <c r="D550" s="104" t="str">
        <f t="shared" si="469"/>
        <v>UNKNOWN</v>
      </c>
      <c r="E550" s="105" t="str">
        <f t="shared" si="470"/>
        <v/>
      </c>
      <c r="F550" s="104" t="s">
        <v>894</v>
      </c>
      <c r="G550" s="103" t="str">
        <f t="shared" si="456"/>
        <v>O</v>
      </c>
      <c r="H550" s="103" t="str">
        <f t="shared" ref="H550:J550" si="472">""</f>
        <v/>
      </c>
      <c r="I550" s="104" t="str">
        <f t="shared" si="472"/>
        <v/>
      </c>
      <c r="J550" s="104" t="str">
        <f t="shared" si="472"/>
        <v/>
      </c>
      <c r="K550" s="104"/>
      <c r="L550" s="105"/>
      <c r="M550" s="104"/>
      <c r="N550" s="104"/>
      <c r="O550" s="104"/>
      <c r="P550" s="104"/>
      <c r="Q550" s="104"/>
      <c r="R550" s="104"/>
      <c r="S550" s="104"/>
      <c r="T550" s="107"/>
      <c r="U550" s="107"/>
    </row>
    <row r="551" ht="15.75" hidden="1" customHeight="1">
      <c r="A551" s="103" t="s">
        <v>92</v>
      </c>
      <c r="B551" s="104" t="str">
        <f>"PromotionApplied"</f>
        <v>PromotionApplied</v>
      </c>
      <c r="C551" s="104" t="str">
        <f>"yfs_promotion.promotion_applied"</f>
        <v>yfs_promotion.promotion_applied</v>
      </c>
      <c r="D551" s="104" t="str">
        <f t="shared" ref="D551:D555" si="474">"string"</f>
        <v>string</v>
      </c>
      <c r="E551" s="105" t="str">
        <f>"1"</f>
        <v>1</v>
      </c>
      <c r="F551" s="104" t="s">
        <v>895</v>
      </c>
      <c r="G551" s="103" t="str">
        <f t="shared" si="456"/>
        <v>O</v>
      </c>
      <c r="H551" s="103" t="str">
        <f>"N"</f>
        <v>N</v>
      </c>
      <c r="I551" s="104" t="str">
        <f t="shared" ref="I551:J551" si="473">""</f>
        <v/>
      </c>
      <c r="J551" s="104" t="str">
        <f t="shared" si="473"/>
        <v/>
      </c>
      <c r="K551" s="104"/>
      <c r="L551" s="105"/>
      <c r="M551" s="104"/>
      <c r="N551" s="104"/>
      <c r="O551" s="104"/>
      <c r="P551" s="104"/>
      <c r="Q551" s="104"/>
      <c r="R551" s="104"/>
      <c r="S551" s="104"/>
      <c r="T551" s="107"/>
      <c r="U551" s="107"/>
    </row>
    <row r="552" ht="15.75" hidden="1" customHeight="1">
      <c r="A552" s="103" t="s">
        <v>92</v>
      </c>
      <c r="B552" s="104" t="str">
        <f>"PromotionCategory"</f>
        <v>PromotionCategory</v>
      </c>
      <c r="C552" s="104" t="str">
        <f>"yfs_promotion.promotion_category"</f>
        <v>yfs_promotion.promotion_category</v>
      </c>
      <c r="D552" s="104" t="str">
        <f t="shared" si="474"/>
        <v>string</v>
      </c>
      <c r="E552" s="105" t="str">
        <f>"24"</f>
        <v>24</v>
      </c>
      <c r="F552" s="104" t="s">
        <v>896</v>
      </c>
      <c r="G552" s="103" t="str">
        <f t="shared" si="456"/>
        <v>O</v>
      </c>
      <c r="H552" s="103" t="str">
        <f t="shared" ref="H552:J552" si="475">""</f>
        <v/>
      </c>
      <c r="I552" s="104" t="str">
        <f t="shared" si="475"/>
        <v/>
      </c>
      <c r="J552" s="104" t="str">
        <f t="shared" si="475"/>
        <v/>
      </c>
      <c r="K552" s="104"/>
      <c r="L552" s="105"/>
      <c r="M552" s="104"/>
      <c r="N552" s="104"/>
      <c r="O552" s="104"/>
      <c r="P552" s="104"/>
      <c r="Q552" s="104"/>
      <c r="R552" s="104"/>
      <c r="S552" s="104"/>
      <c r="T552" s="107"/>
      <c r="U552" s="107"/>
    </row>
    <row r="553" ht="15.75" hidden="1" customHeight="1">
      <c r="A553" s="103" t="s">
        <v>92</v>
      </c>
      <c r="B553" s="104" t="str">
        <f>"PromotionId"</f>
        <v>PromotionId</v>
      </c>
      <c r="C553" s="104" t="str">
        <f>"yfs_promotion.promotion_id"</f>
        <v>yfs_promotion.promotion_id</v>
      </c>
      <c r="D553" s="104" t="str">
        <f t="shared" si="474"/>
        <v>string</v>
      </c>
      <c r="E553" s="105" t="str">
        <f t="shared" ref="E553:E554" si="477">"100"</f>
        <v>100</v>
      </c>
      <c r="F553" s="104" t="s">
        <v>897</v>
      </c>
      <c r="G553" s="103" t="str">
        <f t="shared" si="456"/>
        <v>O</v>
      </c>
      <c r="H553" s="103" t="str">
        <f t="shared" ref="H553:H554" si="478">"space"</f>
        <v>space</v>
      </c>
      <c r="I553" s="104" t="str">
        <f t="shared" ref="I553:J553" si="476">""</f>
        <v/>
      </c>
      <c r="J553" s="104" t="str">
        <f t="shared" si="476"/>
        <v/>
      </c>
      <c r="K553" s="104"/>
      <c r="L553" s="105"/>
      <c r="M553" s="104"/>
      <c r="N553" s="104"/>
      <c r="O553" s="104"/>
      <c r="P553" s="104"/>
      <c r="Q553" s="104"/>
      <c r="R553" s="104"/>
      <c r="S553" s="104"/>
      <c r="T553" s="107"/>
      <c r="U553" s="107"/>
    </row>
    <row r="554" ht="15.75" hidden="1" customHeight="1">
      <c r="A554" s="103" t="s">
        <v>92</v>
      </c>
      <c r="B554" s="104" t="str">
        <f>"PromotionType"</f>
        <v>PromotionType</v>
      </c>
      <c r="C554" s="104" t="str">
        <f>"yfs_promotion.promotion_type"</f>
        <v>yfs_promotion.promotion_type</v>
      </c>
      <c r="D554" s="104" t="str">
        <f t="shared" si="474"/>
        <v>string</v>
      </c>
      <c r="E554" s="105" t="str">
        <f t="shared" si="477"/>
        <v>100</v>
      </c>
      <c r="F554" s="104" t="s">
        <v>898</v>
      </c>
      <c r="G554" s="103" t="str">
        <f t="shared" si="456"/>
        <v>O</v>
      </c>
      <c r="H554" s="103" t="str">
        <f t="shared" si="478"/>
        <v>space</v>
      </c>
      <c r="I554" s="104" t="str">
        <f t="shared" ref="I554:J554" si="479">""</f>
        <v/>
      </c>
      <c r="J554" s="104" t="str">
        <f t="shared" si="479"/>
        <v/>
      </c>
      <c r="K554" s="104"/>
      <c r="L554" s="105"/>
      <c r="M554" s="104"/>
      <c r="N554" s="104"/>
      <c r="O554" s="104"/>
      <c r="P554" s="104"/>
      <c r="Q554" s="104"/>
      <c r="R554" s="104"/>
      <c r="S554" s="104"/>
      <c r="T554" s="107"/>
      <c r="U554" s="107"/>
    </row>
    <row r="555" ht="15.75" hidden="1" customHeight="1">
      <c r="A555" s="103" t="s">
        <v>92</v>
      </c>
      <c r="B555" s="104" t="str">
        <f>"ValidateReferences"</f>
        <v>ValidateReferences</v>
      </c>
      <c r="C555" s="104" t="str">
        <f>""</f>
        <v/>
      </c>
      <c r="D555" s="104" t="str">
        <f t="shared" si="474"/>
        <v>string</v>
      </c>
      <c r="E555" s="105" t="str">
        <f>"1"</f>
        <v>1</v>
      </c>
      <c r="F555" s="104" t="s">
        <v>899</v>
      </c>
      <c r="G555" s="103" t="str">
        <f t="shared" si="456"/>
        <v>O</v>
      </c>
      <c r="H555" s="103" t="str">
        <f t="shared" ref="H555:J555" si="480">""</f>
        <v/>
      </c>
      <c r="I555" s="104" t="str">
        <f t="shared" si="480"/>
        <v/>
      </c>
      <c r="J555" s="104" t="str">
        <f t="shared" si="480"/>
        <v/>
      </c>
      <c r="K555" s="104"/>
      <c r="L555" s="105"/>
      <c r="M555" s="104"/>
      <c r="N555" s="104"/>
      <c r="O555" s="104"/>
      <c r="P555" s="104"/>
      <c r="Q555" s="104"/>
      <c r="R555" s="104"/>
      <c r="S555" s="104"/>
      <c r="T555" s="107"/>
      <c r="U555" s="107"/>
    </row>
    <row r="556" ht="15.75" hidden="1" customHeight="1">
      <c r="A556" s="196" t="s">
        <v>92</v>
      </c>
      <c r="B556" s="170" t="str">
        <f>"/Order/OrderLines/OrderLine/Awards"</f>
        <v>/Order/OrderLines/OrderLine/Awards</v>
      </c>
      <c r="C556" s="170"/>
      <c r="D556" s="170"/>
      <c r="E556" s="170"/>
      <c r="F556" s="170"/>
      <c r="G556" s="196" t="str">
        <f t="shared" si="456"/>
        <v>O</v>
      </c>
      <c r="H556" s="170"/>
      <c r="I556" s="170"/>
      <c r="J556" s="170"/>
      <c r="K556" s="170"/>
      <c r="L556" s="170"/>
      <c r="M556" s="170"/>
      <c r="N556" s="170"/>
      <c r="O556" s="170"/>
      <c r="P556" s="170"/>
      <c r="Q556" s="170"/>
      <c r="R556" s="170"/>
      <c r="S556" s="170"/>
      <c r="T556" s="197"/>
      <c r="U556" s="197"/>
    </row>
    <row r="557" ht="15.75" hidden="1" customHeight="1">
      <c r="A557" s="196" t="s">
        <v>92</v>
      </c>
      <c r="B557" s="170" t="str">
        <f>"/Order/OrderLines/OrderLine/Awards/Award/@"</f>
        <v>/Order/OrderLines/OrderLine/Awards/Award/@</v>
      </c>
      <c r="C557" s="170"/>
      <c r="D557" s="170"/>
      <c r="E557" s="170"/>
      <c r="F557" s="170"/>
      <c r="G557" s="196" t="str">
        <f t="shared" si="456"/>
        <v>O</v>
      </c>
      <c r="H557" s="170"/>
      <c r="I557" s="170"/>
      <c r="J557" s="170"/>
      <c r="K557" s="170"/>
      <c r="L557" s="170"/>
      <c r="M557" s="170"/>
      <c r="N557" s="170"/>
      <c r="O557" s="170"/>
      <c r="P557" s="170"/>
      <c r="Q557" s="170"/>
      <c r="R557" s="170"/>
      <c r="S557" s="170"/>
      <c r="T557" s="197"/>
      <c r="U557" s="197"/>
    </row>
    <row r="558" ht="15.75" hidden="1" customHeight="1">
      <c r="A558" s="103" t="s">
        <v>92</v>
      </c>
      <c r="B558" s="104" t="str">
        <f>"Action"</f>
        <v>Action</v>
      </c>
      <c r="C558" s="104" t="str">
        <f>""</f>
        <v/>
      </c>
      <c r="D558" s="104" t="str">
        <f>"string"</f>
        <v>string</v>
      </c>
      <c r="E558" s="105" t="str">
        <f>"40"</f>
        <v>40</v>
      </c>
      <c r="F558" s="104" t="s">
        <v>900</v>
      </c>
      <c r="G558" s="103" t="str">
        <f t="shared" si="456"/>
        <v>O</v>
      </c>
      <c r="H558" s="103" t="str">
        <f t="shared" ref="H558:J558" si="481">""</f>
        <v/>
      </c>
      <c r="I558" s="104" t="str">
        <f t="shared" si="481"/>
        <v/>
      </c>
      <c r="J558" s="104" t="str">
        <f t="shared" si="481"/>
        <v/>
      </c>
      <c r="K558" s="104"/>
      <c r="L558" s="105"/>
      <c r="M558" s="104"/>
      <c r="N558" s="104"/>
      <c r="O558" s="104"/>
      <c r="P558" s="104"/>
      <c r="Q558" s="104"/>
      <c r="R558" s="104"/>
      <c r="S558" s="104"/>
      <c r="T558" s="107"/>
      <c r="U558" s="107"/>
    </row>
    <row r="559" ht="15.75" hidden="1" customHeight="1">
      <c r="A559" s="103" t="s">
        <v>92</v>
      </c>
      <c r="B559" s="104" t="str">
        <f>"AwardAmount"</f>
        <v>AwardAmount</v>
      </c>
      <c r="C559" s="104" t="str">
        <f>"yfs_promotion_award.award_amount"</f>
        <v>yfs_promotion_award.award_amount</v>
      </c>
      <c r="D559" s="104" t="str">
        <f>"UNKNOWN"</f>
        <v>UNKNOWN</v>
      </c>
      <c r="E559" s="105" t="str">
        <f>""</f>
        <v/>
      </c>
      <c r="F559" s="104" t="s">
        <v>901</v>
      </c>
      <c r="G559" s="103" t="str">
        <f t="shared" si="456"/>
        <v>O</v>
      </c>
      <c r="H559" s="103" t="str">
        <f>"0 "</f>
        <v>0 </v>
      </c>
      <c r="I559" s="104" t="str">
        <f t="shared" ref="I559:J559" si="482">""</f>
        <v/>
      </c>
      <c r="J559" s="104" t="str">
        <f t="shared" si="482"/>
        <v/>
      </c>
      <c r="K559" s="104"/>
      <c r="L559" s="105"/>
      <c r="M559" s="104"/>
      <c r="N559" s="104"/>
      <c r="O559" s="104"/>
      <c r="P559" s="104"/>
      <c r="Q559" s="104"/>
      <c r="R559" s="104"/>
      <c r="S559" s="104"/>
      <c r="T559" s="107"/>
      <c r="U559" s="107"/>
    </row>
    <row r="560" ht="15.75" hidden="1" customHeight="1">
      <c r="A560" s="103" t="s">
        <v>92</v>
      </c>
      <c r="B560" s="104" t="str">
        <f>"AwardApplied"</f>
        <v>AwardApplied</v>
      </c>
      <c r="C560" s="104" t="str">
        <f>"yfs_promotion_award.award_applied"</f>
        <v>yfs_promotion_award.award_applied</v>
      </c>
      <c r="D560" s="104" t="str">
        <f t="shared" ref="D560:D561" si="484">"string"</f>
        <v>string</v>
      </c>
      <c r="E560" s="105" t="str">
        <f>"1"</f>
        <v>1</v>
      </c>
      <c r="F560" s="104" t="s">
        <v>902</v>
      </c>
      <c r="G560" s="103" t="str">
        <f t="shared" si="456"/>
        <v>O</v>
      </c>
      <c r="H560" s="103" t="str">
        <f>"N"</f>
        <v>N</v>
      </c>
      <c r="I560" s="104" t="str">
        <f t="shared" ref="I560:J560" si="483">""</f>
        <v/>
      </c>
      <c r="J560" s="104" t="str">
        <f t="shared" si="483"/>
        <v/>
      </c>
      <c r="K560" s="104"/>
      <c r="L560" s="105"/>
      <c r="M560" s="104"/>
      <c r="N560" s="104"/>
      <c r="O560" s="104"/>
      <c r="P560" s="104"/>
      <c r="Q560" s="104"/>
      <c r="R560" s="104"/>
      <c r="S560" s="104"/>
      <c r="T560" s="107"/>
      <c r="U560" s="107"/>
    </row>
    <row r="561" ht="15.75" hidden="1" customHeight="1">
      <c r="A561" s="103" t="s">
        <v>92</v>
      </c>
      <c r="B561" s="104" t="str">
        <f>"AwardId"</f>
        <v>AwardId</v>
      </c>
      <c r="C561" s="104" t="str">
        <f>"yfs_promotion_award.award_id"</f>
        <v>yfs_promotion_award.award_id</v>
      </c>
      <c r="D561" s="104" t="str">
        <f t="shared" si="484"/>
        <v>string</v>
      </c>
      <c r="E561" s="105" t="str">
        <f>"120"</f>
        <v>120</v>
      </c>
      <c r="F561" s="104" t="s">
        <v>903</v>
      </c>
      <c r="G561" s="103" t="str">
        <f t="shared" si="456"/>
        <v>O</v>
      </c>
      <c r="H561" s="103" t="str">
        <f>"space"</f>
        <v>space</v>
      </c>
      <c r="I561" s="104" t="str">
        <f t="shared" ref="I561:J561" si="485">""</f>
        <v/>
      </c>
      <c r="J561" s="104" t="str">
        <f t="shared" si="485"/>
        <v/>
      </c>
      <c r="K561" s="104"/>
      <c r="L561" s="105"/>
      <c r="M561" s="104"/>
      <c r="N561" s="104"/>
      <c r="O561" s="104"/>
      <c r="P561" s="104"/>
      <c r="Q561" s="104"/>
      <c r="R561" s="104"/>
      <c r="S561" s="104"/>
      <c r="T561" s="107"/>
      <c r="U561" s="107"/>
    </row>
    <row r="562" ht="15.75" hidden="1" customHeight="1">
      <c r="A562" s="103" t="s">
        <v>92</v>
      </c>
      <c r="B562" s="104" t="str">
        <f>"AwardQuantity"</f>
        <v>AwardQuantity</v>
      </c>
      <c r="C562" s="104" t="str">
        <f>"yfs_promotion_award.award_quantity"</f>
        <v>yfs_promotion_award.award_quantity</v>
      </c>
      <c r="D562" s="104" t="str">
        <f>"UNKNOWN"</f>
        <v>UNKNOWN</v>
      </c>
      <c r="E562" s="105" t="str">
        <f>""</f>
        <v/>
      </c>
      <c r="F562" s="104" t="s">
        <v>904</v>
      </c>
      <c r="G562" s="103" t="str">
        <f t="shared" si="456"/>
        <v>O</v>
      </c>
      <c r="H562" s="103" t="str">
        <f t="shared" ref="H562:J562" si="486">""</f>
        <v/>
      </c>
      <c r="I562" s="104" t="str">
        <f t="shared" si="486"/>
        <v/>
      </c>
      <c r="J562" s="104" t="str">
        <f t="shared" si="486"/>
        <v/>
      </c>
      <c r="K562" s="104"/>
      <c r="L562" s="105"/>
      <c r="M562" s="104"/>
      <c r="N562" s="104"/>
      <c r="O562" s="104"/>
      <c r="P562" s="104"/>
      <c r="Q562" s="104"/>
      <c r="R562" s="104"/>
      <c r="S562" s="104"/>
      <c r="T562" s="107"/>
      <c r="U562" s="107"/>
    </row>
    <row r="563" ht="15.75" hidden="1" customHeight="1">
      <c r="A563" s="103" t="s">
        <v>92</v>
      </c>
      <c r="B563" s="104" t="str">
        <f>"AwardType"</f>
        <v>AwardType</v>
      </c>
      <c r="C563" s="104" t="str">
        <f>"yfs_promotion_award.award_type"</f>
        <v>yfs_promotion_award.award_type</v>
      </c>
      <c r="D563" s="104" t="str">
        <f t="shared" ref="D563:D570" si="488">"string"</f>
        <v>string</v>
      </c>
      <c r="E563" s="105" t="str">
        <f>"100"</f>
        <v>100</v>
      </c>
      <c r="F563" s="104" t="s">
        <v>905</v>
      </c>
      <c r="G563" s="103" t="str">
        <f t="shared" si="456"/>
        <v>O</v>
      </c>
      <c r="H563" s="103" t="str">
        <f>"space"</f>
        <v>space</v>
      </c>
      <c r="I563" s="104" t="str">
        <f t="shared" ref="I563:J563" si="487">""</f>
        <v/>
      </c>
      <c r="J563" s="104" t="str">
        <f t="shared" si="487"/>
        <v/>
      </c>
      <c r="K563" s="104"/>
      <c r="L563" s="105"/>
      <c r="M563" s="104"/>
      <c r="N563" s="104"/>
      <c r="O563" s="104"/>
      <c r="P563" s="104"/>
      <c r="Q563" s="104"/>
      <c r="R563" s="104"/>
      <c r="S563" s="104"/>
      <c r="T563" s="107"/>
      <c r="U563" s="107"/>
    </row>
    <row r="564" ht="15.75" hidden="1" customHeight="1">
      <c r="A564" s="103" t="s">
        <v>92</v>
      </c>
      <c r="B564" s="104" t="str">
        <f>"ChargeCategory"</f>
        <v>ChargeCategory</v>
      </c>
      <c r="C564" s="104" t="str">
        <f>"yfs_promotion_award.charge_category"</f>
        <v>yfs_promotion_award.charge_category</v>
      </c>
      <c r="D564" s="104" t="str">
        <f t="shared" si="488"/>
        <v>string</v>
      </c>
      <c r="E564" s="105" t="str">
        <f>"20"</f>
        <v>20</v>
      </c>
      <c r="F564" s="104" t="s">
        <v>906</v>
      </c>
      <c r="G564" s="103" t="str">
        <f t="shared" si="456"/>
        <v>O</v>
      </c>
      <c r="H564" s="103" t="str">
        <f t="shared" ref="H564:H565" si="490">"null"</f>
        <v>null</v>
      </c>
      <c r="I564" s="104" t="str">
        <f t="shared" ref="I564:J564" si="489">""</f>
        <v/>
      </c>
      <c r="J564" s="104" t="str">
        <f t="shared" si="489"/>
        <v/>
      </c>
      <c r="K564" s="104"/>
      <c r="L564" s="105"/>
      <c r="M564" s="104"/>
      <c r="N564" s="104"/>
      <c r="O564" s="104"/>
      <c r="P564" s="104"/>
      <c r="Q564" s="104"/>
      <c r="R564" s="104"/>
      <c r="S564" s="104"/>
      <c r="T564" s="107"/>
      <c r="U564" s="107"/>
    </row>
    <row r="565" ht="15.75" hidden="1" customHeight="1">
      <c r="A565" s="103" t="s">
        <v>92</v>
      </c>
      <c r="B565" s="104" t="str">
        <f>"ChargeName"</f>
        <v>ChargeName</v>
      </c>
      <c r="C565" s="104" t="str">
        <f>"yfs_promotion_award.charge_name"</f>
        <v>yfs_promotion_award.charge_name</v>
      </c>
      <c r="D565" s="104" t="str">
        <f t="shared" si="488"/>
        <v>string</v>
      </c>
      <c r="E565" s="105" t="str">
        <f>"40"</f>
        <v>40</v>
      </c>
      <c r="F565" s="104" t="s">
        <v>907</v>
      </c>
      <c r="G565" s="103" t="str">
        <f t="shared" si="456"/>
        <v>O</v>
      </c>
      <c r="H565" s="103" t="str">
        <f t="shared" si="490"/>
        <v>null</v>
      </c>
      <c r="I565" s="104" t="str">
        <f t="shared" ref="I565:J565" si="491">""</f>
        <v/>
      </c>
      <c r="J565" s="104" t="str">
        <f t="shared" si="491"/>
        <v/>
      </c>
      <c r="K565" s="104"/>
      <c r="L565" s="105"/>
      <c r="M565" s="104"/>
      <c r="N565" s="104"/>
      <c r="O565" s="104"/>
      <c r="P565" s="104"/>
      <c r="Q565" s="104"/>
      <c r="R565" s="104"/>
      <c r="S565" s="104"/>
      <c r="T565" s="107"/>
      <c r="U565" s="107"/>
    </row>
    <row r="566" ht="15.75" hidden="1" customHeight="1">
      <c r="A566" s="103" t="s">
        <v>92</v>
      </c>
      <c r="B566" s="104" t="str">
        <f>"DenialReason"</f>
        <v>DenialReason</v>
      </c>
      <c r="C566" s="104" t="str">
        <f>"yfs_promotion_award.denial_reason"</f>
        <v>yfs_promotion_award.denial_reason</v>
      </c>
      <c r="D566" s="104" t="str">
        <f t="shared" si="488"/>
        <v>string</v>
      </c>
      <c r="E566" s="105" t="str">
        <f>"100"</f>
        <v>100</v>
      </c>
      <c r="F566" s="104" t="s">
        <v>908</v>
      </c>
      <c r="G566" s="103" t="str">
        <f t="shared" si="456"/>
        <v>O</v>
      </c>
      <c r="H566" s="103" t="str">
        <f t="shared" ref="H566:H567" si="493">"space"</f>
        <v>space</v>
      </c>
      <c r="I566" s="104" t="str">
        <f t="shared" ref="I566:J566" si="492">""</f>
        <v/>
      </c>
      <c r="J566" s="104" t="str">
        <f t="shared" si="492"/>
        <v/>
      </c>
      <c r="K566" s="104"/>
      <c r="L566" s="105"/>
      <c r="M566" s="104"/>
      <c r="N566" s="104"/>
      <c r="O566" s="104"/>
      <c r="P566" s="104"/>
      <c r="Q566" s="104"/>
      <c r="R566" s="104"/>
      <c r="S566" s="104"/>
      <c r="T566" s="107"/>
      <c r="U566" s="107"/>
    </row>
    <row r="567" ht="15.75" hidden="1" customHeight="1">
      <c r="A567" s="103" t="s">
        <v>92</v>
      </c>
      <c r="B567" s="104" t="str">
        <f>"Description"</f>
        <v>Description</v>
      </c>
      <c r="C567" s="104" t="str">
        <f>"yfs_promotion_award.description"</f>
        <v>yfs_promotion_award.description</v>
      </c>
      <c r="D567" s="104" t="str">
        <f t="shared" si="488"/>
        <v>string</v>
      </c>
      <c r="E567" s="105" t="str">
        <f>"2000"</f>
        <v>2000</v>
      </c>
      <c r="F567" s="104" t="s">
        <v>909</v>
      </c>
      <c r="G567" s="103" t="str">
        <f t="shared" si="456"/>
        <v>O</v>
      </c>
      <c r="H567" s="103" t="str">
        <f t="shared" si="493"/>
        <v>space</v>
      </c>
      <c r="I567" s="104" t="str">
        <f t="shared" ref="I567:J567" si="494">""</f>
        <v/>
      </c>
      <c r="J567" s="104" t="str">
        <f t="shared" si="494"/>
        <v/>
      </c>
      <c r="K567" s="104"/>
      <c r="L567" s="105"/>
      <c r="M567" s="104"/>
      <c r="N567" s="104"/>
      <c r="O567" s="104"/>
      <c r="P567" s="104"/>
      <c r="Q567" s="104"/>
      <c r="R567" s="104"/>
      <c r="S567" s="104"/>
      <c r="T567" s="107"/>
      <c r="U567" s="107"/>
    </row>
    <row r="568" ht="15.75" hidden="1" customHeight="1">
      <c r="A568" s="103" t="s">
        <v>92</v>
      </c>
      <c r="B568" s="104" t="str">
        <f>"IsFreeGiftAward"</f>
        <v>IsFreeGiftAward</v>
      </c>
      <c r="C568" s="104" t="str">
        <f>"yfs_promotion_award.is_free_gift_award"</f>
        <v>yfs_promotion_award.is_free_gift_award</v>
      </c>
      <c r="D568" s="104" t="str">
        <f t="shared" si="488"/>
        <v>string</v>
      </c>
      <c r="E568" s="105" t="str">
        <f>"1"</f>
        <v>1</v>
      </c>
      <c r="F568" s="104" t="s">
        <v>910</v>
      </c>
      <c r="G568" s="103" t="str">
        <f t="shared" si="456"/>
        <v>O</v>
      </c>
      <c r="H568" s="103" t="str">
        <f t="shared" ref="H568:J568" si="495">""</f>
        <v/>
      </c>
      <c r="I568" s="104" t="str">
        <f t="shared" si="495"/>
        <v/>
      </c>
      <c r="J568" s="104" t="str">
        <f t="shared" si="495"/>
        <v/>
      </c>
      <c r="K568" s="104"/>
      <c r="L568" s="105"/>
      <c r="M568" s="104"/>
      <c r="N568" s="104"/>
      <c r="O568" s="104"/>
      <c r="P568" s="104"/>
      <c r="Q568" s="104"/>
      <c r="R568" s="104"/>
      <c r="S568" s="104"/>
      <c r="T568" s="107"/>
      <c r="U568" s="107"/>
    </row>
    <row r="569" ht="15.75" hidden="1" customHeight="1">
      <c r="A569" s="103" t="s">
        <v>92</v>
      </c>
      <c r="B569" s="104" t="str">
        <f>"PosReasonCode"</f>
        <v>PosReasonCode</v>
      </c>
      <c r="C569" s="104" t="str">
        <f>"yfs_promotion_award.pos_reason_code"</f>
        <v>yfs_promotion_award.pos_reason_code</v>
      </c>
      <c r="D569" s="104" t="str">
        <f t="shared" si="488"/>
        <v>string</v>
      </c>
      <c r="E569" s="105" t="str">
        <f t="shared" ref="E569:E570" si="497">"100"</f>
        <v>100</v>
      </c>
      <c r="F569" s="104" t="s">
        <v>911</v>
      </c>
      <c r="G569" s="103" t="str">
        <f t="shared" si="456"/>
        <v>O</v>
      </c>
      <c r="H569" s="103" t="str">
        <f t="shared" ref="H569:H570" si="498">"space"</f>
        <v>space</v>
      </c>
      <c r="I569" s="104" t="str">
        <f t="shared" ref="I569:J569" si="496">""</f>
        <v/>
      </c>
      <c r="J569" s="104" t="str">
        <f t="shared" si="496"/>
        <v/>
      </c>
      <c r="K569" s="104"/>
      <c r="L569" s="105"/>
      <c r="M569" s="104"/>
      <c r="N569" s="104"/>
      <c r="O569" s="104"/>
      <c r="P569" s="104"/>
      <c r="Q569" s="104"/>
      <c r="R569" s="104"/>
      <c r="S569" s="104"/>
      <c r="T569" s="107"/>
      <c r="U569" s="107"/>
    </row>
    <row r="570" ht="15.75" hidden="1" customHeight="1">
      <c r="A570" s="103" t="s">
        <v>92</v>
      </c>
      <c r="B570" s="104" t="str">
        <f>"PromotionId"</f>
        <v>PromotionId</v>
      </c>
      <c r="C570" s="104" t="str">
        <f>"yfs_promotion_award.promotion_id"</f>
        <v>yfs_promotion_award.promotion_id</v>
      </c>
      <c r="D570" s="104" t="str">
        <f t="shared" si="488"/>
        <v>string</v>
      </c>
      <c r="E570" s="105" t="str">
        <f t="shared" si="497"/>
        <v>100</v>
      </c>
      <c r="F570" s="104" t="s">
        <v>912</v>
      </c>
      <c r="G570" s="103" t="str">
        <f t="shared" si="456"/>
        <v>O</v>
      </c>
      <c r="H570" s="103" t="str">
        <f t="shared" si="498"/>
        <v>space</v>
      </c>
      <c r="I570" s="104" t="str">
        <f t="shared" ref="I570:J570" si="499">""</f>
        <v/>
      </c>
      <c r="J570" s="104" t="str">
        <f t="shared" si="499"/>
        <v/>
      </c>
      <c r="K570" s="104"/>
      <c r="L570" s="105"/>
      <c r="M570" s="104"/>
      <c r="N570" s="104"/>
      <c r="O570" s="104"/>
      <c r="P570" s="104"/>
      <c r="Q570" s="104"/>
      <c r="R570" s="104"/>
      <c r="S570" s="104"/>
      <c r="T570" s="107"/>
      <c r="U570" s="107"/>
    </row>
    <row r="571" ht="15.75" hidden="1" customHeight="1">
      <c r="A571" s="196" t="s">
        <v>92</v>
      </c>
      <c r="B571" s="170" t="str">
        <f>"/Order/OrderLines/OrderLine/Awards/Award/PromotionReferences"</f>
        <v>/Order/OrderLines/OrderLine/Awards/Award/PromotionReferences</v>
      </c>
      <c r="C571" s="170"/>
      <c r="D571" s="170"/>
      <c r="E571" s="170"/>
      <c r="F571" s="170"/>
      <c r="G571" s="196" t="str">
        <f t="shared" si="456"/>
        <v>O</v>
      </c>
      <c r="H571" s="170"/>
      <c r="I571" s="170"/>
      <c r="J571" s="170"/>
      <c r="K571" s="170"/>
      <c r="L571" s="170"/>
      <c r="M571" s="170"/>
      <c r="N571" s="170"/>
      <c r="O571" s="170"/>
      <c r="P571" s="170"/>
      <c r="Q571" s="170"/>
      <c r="R571" s="170"/>
      <c r="S571" s="170"/>
      <c r="T571" s="197"/>
      <c r="U571" s="197"/>
    </row>
    <row r="572" ht="15.75" hidden="1" customHeight="1">
      <c r="A572" s="196" t="s">
        <v>92</v>
      </c>
      <c r="B572" s="170" t="str">
        <f>"/Order/OrderLines/OrderLine/Awards/Award/PromotionReferences/PromotionReference/@"</f>
        <v>/Order/OrderLines/OrderLine/Awards/Award/PromotionReferences/PromotionReference/@</v>
      </c>
      <c r="C572" s="170"/>
      <c r="D572" s="170"/>
      <c r="E572" s="170"/>
      <c r="F572" s="170"/>
      <c r="G572" s="196" t="str">
        <f t="shared" si="456"/>
        <v>O</v>
      </c>
      <c r="H572" s="170"/>
      <c r="I572" s="170"/>
      <c r="J572" s="170"/>
      <c r="K572" s="170"/>
      <c r="L572" s="170"/>
      <c r="M572" s="170"/>
      <c r="N572" s="170"/>
      <c r="O572" s="170"/>
      <c r="P572" s="170"/>
      <c r="Q572" s="170"/>
      <c r="R572" s="170"/>
      <c r="S572" s="170"/>
      <c r="T572" s="197"/>
      <c r="U572" s="197"/>
    </row>
    <row r="573" ht="15.75" hidden="1" customHeight="1">
      <c r="A573" s="103" t="s">
        <v>92</v>
      </c>
      <c r="B573" s="104" t="str">
        <f>"IsUnique"</f>
        <v>IsUnique</v>
      </c>
      <c r="C573" s="104" t="str">
        <f>"yfs_promotion_reference.is_unique"</f>
        <v>yfs_promotion_reference.is_unique</v>
      </c>
      <c r="D573" s="104" t="str">
        <f t="shared" ref="D573:D574" si="501">"string"</f>
        <v>string</v>
      </c>
      <c r="E573" s="105" t="str">
        <f>"1"</f>
        <v>1</v>
      </c>
      <c r="F573" s="104" t="s">
        <v>913</v>
      </c>
      <c r="G573" s="103" t="str">
        <f t="shared" si="456"/>
        <v>O</v>
      </c>
      <c r="H573" s="103" t="str">
        <f t="shared" ref="H573:J573" si="500">""</f>
        <v/>
      </c>
      <c r="I573" s="104" t="str">
        <f t="shared" si="500"/>
        <v/>
      </c>
      <c r="J573" s="104" t="str">
        <f t="shared" si="500"/>
        <v/>
      </c>
      <c r="K573" s="104"/>
      <c r="L573" s="105"/>
      <c r="M573" s="104"/>
      <c r="N573" s="104"/>
      <c r="O573" s="104"/>
      <c r="P573" s="104"/>
      <c r="Q573" s="104"/>
      <c r="R573" s="104"/>
      <c r="S573" s="104"/>
      <c r="T573" s="107"/>
      <c r="U573" s="107"/>
    </row>
    <row r="574" ht="15.75" hidden="1" customHeight="1">
      <c r="A574" s="103" t="s">
        <v>92</v>
      </c>
      <c r="B574" s="104" t="str">
        <f>"ReferenceId"</f>
        <v>ReferenceId</v>
      </c>
      <c r="C574" s="104" t="str">
        <f>"yfs_promotion_reference.reference_id"</f>
        <v>yfs_promotion_reference.reference_id</v>
      </c>
      <c r="D574" s="104" t="str">
        <f t="shared" si="501"/>
        <v>string</v>
      </c>
      <c r="E574" s="105" t="str">
        <f>"40"</f>
        <v>40</v>
      </c>
      <c r="F574" s="104" t="s">
        <v>914</v>
      </c>
      <c r="G574" s="103" t="str">
        <f t="shared" si="456"/>
        <v>O</v>
      </c>
      <c r="H574" s="103" t="str">
        <f t="shared" ref="H574:J574" si="502">""</f>
        <v/>
      </c>
      <c r="I574" s="104" t="str">
        <f t="shared" si="502"/>
        <v/>
      </c>
      <c r="J574" s="104" t="str">
        <f t="shared" si="502"/>
        <v/>
      </c>
      <c r="K574" s="104"/>
      <c r="L574" s="105"/>
      <c r="M574" s="104"/>
      <c r="N574" s="104"/>
      <c r="O574" s="104"/>
      <c r="P574" s="104"/>
      <c r="Q574" s="104"/>
      <c r="R574" s="104"/>
      <c r="S574" s="104"/>
      <c r="T574" s="107"/>
      <c r="U574" s="107"/>
    </row>
    <row r="575" ht="15.75" hidden="1" customHeight="1">
      <c r="A575" s="103" t="s">
        <v>92</v>
      </c>
      <c r="B575" s="104" t="str">
        <f>"ReferenceSequence"</f>
        <v>ReferenceSequence</v>
      </c>
      <c r="C575" s="104" t="str">
        <f>"yfs_promotion_reference.reference_sequence"</f>
        <v>yfs_promotion_reference.reference_sequence</v>
      </c>
      <c r="D575" s="104" t="str">
        <f>"UNKNOWN"</f>
        <v>UNKNOWN</v>
      </c>
      <c r="E575" s="105" t="str">
        <f>""</f>
        <v/>
      </c>
      <c r="F575" s="104" t="s">
        <v>915</v>
      </c>
      <c r="G575" s="103" t="str">
        <f t="shared" si="456"/>
        <v>O</v>
      </c>
      <c r="H575" s="103" t="str">
        <f t="shared" ref="H575:J575" si="503">""</f>
        <v/>
      </c>
      <c r="I575" s="104" t="str">
        <f t="shared" si="503"/>
        <v/>
      </c>
      <c r="J575" s="104" t="str">
        <f t="shared" si="503"/>
        <v/>
      </c>
      <c r="K575" s="104"/>
      <c r="L575" s="105"/>
      <c r="M575" s="104"/>
      <c r="N575" s="104"/>
      <c r="O575" s="104"/>
      <c r="P575" s="104"/>
      <c r="Q575" s="104"/>
      <c r="R575" s="104"/>
      <c r="S575" s="104"/>
      <c r="T575" s="107"/>
      <c r="U575" s="107"/>
    </row>
    <row r="576" ht="15.75" hidden="1" customHeight="1">
      <c r="A576" s="196"/>
      <c r="B576" s="170" t="str">
        <f>"/Order/OrderLines/OrderLine/Notes"</f>
        <v>/Order/OrderLines/OrderLine/Notes</v>
      </c>
      <c r="C576" s="170"/>
      <c r="D576" s="170"/>
      <c r="E576" s="170"/>
      <c r="F576" s="170"/>
      <c r="G576" s="196" t="str">
        <f t="shared" si="456"/>
        <v>O</v>
      </c>
      <c r="H576" s="170"/>
      <c r="I576" s="170"/>
      <c r="J576" s="170"/>
      <c r="K576" s="170"/>
      <c r="L576" s="170"/>
      <c r="M576" s="170"/>
      <c r="N576" s="170"/>
      <c r="O576" s="170"/>
      <c r="P576" s="170"/>
      <c r="Q576" s="170"/>
      <c r="R576" s="170"/>
      <c r="S576" s="170"/>
      <c r="T576" s="197"/>
      <c r="U576" s="197"/>
    </row>
    <row r="577" ht="15.75" hidden="1" customHeight="1">
      <c r="A577" s="196"/>
      <c r="B577" s="170" t="str">
        <f>"/Order/OrderLines/OrderLine/Notes/Note/@"</f>
        <v>/Order/OrderLines/OrderLine/Notes/Note/@</v>
      </c>
      <c r="C577" s="170"/>
      <c r="D577" s="170"/>
      <c r="E577" s="170"/>
      <c r="F577" s="170"/>
      <c r="G577" s="196" t="str">
        <f t="shared" si="456"/>
        <v>O</v>
      </c>
      <c r="H577" s="170"/>
      <c r="I577" s="170"/>
      <c r="J577" s="170"/>
      <c r="K577" s="170"/>
      <c r="L577" s="170"/>
      <c r="M577" s="170"/>
      <c r="N577" s="170"/>
      <c r="O577" s="170"/>
      <c r="P577" s="170"/>
      <c r="Q577" s="170"/>
      <c r="R577" s="170"/>
      <c r="S577" s="170"/>
      <c r="T577" s="197"/>
      <c r="U577" s="197"/>
    </row>
    <row r="578" ht="15.75" hidden="1" customHeight="1">
      <c r="A578" s="103"/>
      <c r="B578" s="104" t="str">
        <f>"AuditTransactionId"</f>
        <v>AuditTransactionId</v>
      </c>
      <c r="C578" s="104" t="str">
        <f>"yfs_notes.audit_transaction_id"</f>
        <v>yfs_notes.audit_transaction_id</v>
      </c>
      <c r="D578" s="104" t="str">
        <f>"string"</f>
        <v>string</v>
      </c>
      <c r="E578" s="105" t="str">
        <f>"40"</f>
        <v>40</v>
      </c>
      <c r="F578" s="104" t="s">
        <v>916</v>
      </c>
      <c r="G578" s="103" t="str">
        <f t="shared" si="456"/>
        <v>O</v>
      </c>
      <c r="H578" s="103" t="str">
        <f t="shared" ref="H578:H579" si="505">"space"</f>
        <v>space</v>
      </c>
      <c r="I578" s="104" t="str">
        <f t="shared" ref="I578:J578" si="504">""</f>
        <v/>
      </c>
      <c r="J578" s="104" t="str">
        <f t="shared" si="504"/>
        <v/>
      </c>
      <c r="K578" s="104"/>
      <c r="L578" s="105"/>
      <c r="M578" s="104"/>
      <c r="N578" s="104"/>
      <c r="O578" s="104"/>
      <c r="P578" s="104"/>
      <c r="Q578" s="104"/>
      <c r="R578" s="104"/>
      <c r="S578" s="104"/>
      <c r="T578" s="107"/>
      <c r="U578" s="107"/>
    </row>
    <row r="579" ht="15.75" hidden="1" customHeight="1">
      <c r="A579" s="103"/>
      <c r="B579" s="104" t="str">
        <f>"ContactReference"</f>
        <v>ContactReference</v>
      </c>
      <c r="C579" s="104" t="str">
        <f>"yfs_notes.contact_reference"</f>
        <v>yfs_notes.contact_reference</v>
      </c>
      <c r="D579" s="104" t="str">
        <f>"UNKNOWN"</f>
        <v>UNKNOWN</v>
      </c>
      <c r="E579" s="105" t="str">
        <f>""</f>
        <v/>
      </c>
      <c r="F579" s="104" t="s">
        <v>917</v>
      </c>
      <c r="G579" s="103" t="str">
        <f t="shared" si="456"/>
        <v>O</v>
      </c>
      <c r="H579" s="103" t="str">
        <f t="shared" si="505"/>
        <v>space</v>
      </c>
      <c r="I579" s="104" t="str">
        <f t="shared" ref="I579:J579" si="506">""</f>
        <v/>
      </c>
      <c r="J579" s="104" t="str">
        <f t="shared" si="506"/>
        <v/>
      </c>
      <c r="K579" s="104"/>
      <c r="L579" s="105"/>
      <c r="M579" s="104"/>
      <c r="N579" s="104"/>
      <c r="O579" s="104"/>
      <c r="P579" s="104"/>
      <c r="Q579" s="104"/>
      <c r="R579" s="104"/>
      <c r="S579" s="104"/>
      <c r="T579" s="107"/>
      <c r="U579" s="107"/>
    </row>
    <row r="580" ht="15.75" hidden="1" customHeight="1">
      <c r="A580" s="103"/>
      <c r="B580" s="104" t="str">
        <f>"ContactTime"</f>
        <v>ContactTime</v>
      </c>
      <c r="C580" s="104" t="str">
        <f>"yfs_notes.contact_time"</f>
        <v>yfs_notes.contact_time</v>
      </c>
      <c r="D580" s="104" t="str">
        <f>"dateTime"</f>
        <v>dateTime</v>
      </c>
      <c r="E580" s="105" t="str">
        <f>"25"</f>
        <v>25</v>
      </c>
      <c r="F580" s="104" t="s">
        <v>918</v>
      </c>
      <c r="G580" s="103" t="str">
        <f t="shared" si="456"/>
        <v>O</v>
      </c>
      <c r="H580" s="103" t="str">
        <f>"sysdate "</f>
        <v>sysdate </v>
      </c>
      <c r="I580" s="104" t="str">
        <f t="shared" ref="I580:J580" si="507">""</f>
        <v/>
      </c>
      <c r="J580" s="104" t="str">
        <f t="shared" si="507"/>
        <v/>
      </c>
      <c r="K580" s="104"/>
      <c r="L580" s="105"/>
      <c r="M580" s="104"/>
      <c r="N580" s="104"/>
      <c r="O580" s="104"/>
      <c r="P580" s="104"/>
      <c r="Q580" s="104"/>
      <c r="R580" s="104"/>
      <c r="S580" s="104"/>
      <c r="T580" s="107"/>
      <c r="U580" s="107"/>
    </row>
    <row r="581" ht="15.75" hidden="1" customHeight="1">
      <c r="A581" s="103"/>
      <c r="B581" s="104" t="str">
        <f>"ContactType"</f>
        <v>ContactType</v>
      </c>
      <c r="C581" s="104" t="str">
        <f>"yfs_notes.contact_type"</f>
        <v>yfs_notes.contact_type</v>
      </c>
      <c r="D581" s="104" t="str">
        <f t="shared" ref="D581:D582" si="509">"string"</f>
        <v>string</v>
      </c>
      <c r="E581" s="105" t="str">
        <f>"100"</f>
        <v>100</v>
      </c>
      <c r="F581" s="104" t="s">
        <v>919</v>
      </c>
      <c r="G581" s="103" t="str">
        <f t="shared" si="456"/>
        <v>O</v>
      </c>
      <c r="H581" s="103" t="str">
        <f t="shared" ref="H581:H584" si="510">"space"</f>
        <v>space</v>
      </c>
      <c r="I581" s="104" t="str">
        <f t="shared" ref="I581:J581" si="508">""</f>
        <v/>
      </c>
      <c r="J581" s="104" t="str">
        <f t="shared" si="508"/>
        <v/>
      </c>
      <c r="K581" s="104"/>
      <c r="L581" s="105"/>
      <c r="M581" s="104"/>
      <c r="N581" s="104"/>
      <c r="O581" s="104"/>
      <c r="P581" s="104"/>
      <c r="Q581" s="104"/>
      <c r="R581" s="104"/>
      <c r="S581" s="104"/>
      <c r="T581" s="107"/>
      <c r="U581" s="107"/>
    </row>
    <row r="582" ht="15.75" hidden="1" customHeight="1">
      <c r="A582" s="103"/>
      <c r="B582" s="104" t="str">
        <f>"ContactUser"</f>
        <v>ContactUser</v>
      </c>
      <c r="C582" s="104" t="str">
        <f>"yfs_notes.contact_user"</f>
        <v>yfs_notes.contact_user</v>
      </c>
      <c r="D582" s="104" t="str">
        <f t="shared" si="509"/>
        <v>string</v>
      </c>
      <c r="E582" s="105" t="str">
        <f>"40"</f>
        <v>40</v>
      </c>
      <c r="F582" s="104" t="s">
        <v>920</v>
      </c>
      <c r="G582" s="103" t="str">
        <f t="shared" si="456"/>
        <v>O</v>
      </c>
      <c r="H582" s="103" t="str">
        <f t="shared" si="510"/>
        <v>space</v>
      </c>
      <c r="I582" s="104" t="str">
        <f t="shared" ref="I582:J582" si="511">""</f>
        <v/>
      </c>
      <c r="J582" s="104" t="str">
        <f t="shared" si="511"/>
        <v/>
      </c>
      <c r="K582" s="104"/>
      <c r="L582" s="105"/>
      <c r="M582" s="104"/>
      <c r="N582" s="104"/>
      <c r="O582" s="104"/>
      <c r="P582" s="104"/>
      <c r="Q582" s="104"/>
      <c r="R582" s="104"/>
      <c r="S582" s="104"/>
      <c r="T582" s="107"/>
      <c r="U582" s="107"/>
    </row>
    <row r="583" ht="15.75" hidden="1" customHeight="1">
      <c r="A583" s="103"/>
      <c r="B583" s="104" t="str">
        <f>"CustomerSatIndicator"</f>
        <v>CustomerSatIndicator</v>
      </c>
      <c r="C583" s="104" t="str">
        <f>"yfs_notes.customer_sat_indicator"</f>
        <v>yfs_notes.customer_sat_indicator</v>
      </c>
      <c r="D583" s="104" t="str">
        <f t="shared" ref="D583:D584" si="513">"UNKNOWN"</f>
        <v>UNKNOWN</v>
      </c>
      <c r="E583" s="105" t="str">
        <f t="shared" ref="E583:E584" si="514">""</f>
        <v/>
      </c>
      <c r="F583" s="104" t="s">
        <v>921</v>
      </c>
      <c r="G583" s="103" t="str">
        <f t="shared" si="456"/>
        <v>O</v>
      </c>
      <c r="H583" s="103" t="str">
        <f t="shared" si="510"/>
        <v>space</v>
      </c>
      <c r="I583" s="104" t="str">
        <f t="shared" ref="I583:J583" si="512">""</f>
        <v/>
      </c>
      <c r="J583" s="104" t="str">
        <f t="shared" si="512"/>
        <v/>
      </c>
      <c r="K583" s="104"/>
      <c r="L583" s="105"/>
      <c r="M583" s="104"/>
      <c r="N583" s="104"/>
      <c r="O583" s="104"/>
      <c r="P583" s="104"/>
      <c r="Q583" s="104"/>
      <c r="R583" s="104"/>
      <c r="S583" s="104"/>
      <c r="T583" s="107"/>
      <c r="U583" s="107"/>
    </row>
    <row r="584" ht="15.75" hidden="1" customHeight="1">
      <c r="A584" s="103"/>
      <c r="B584" s="104" t="str">
        <f>"NoteText"</f>
        <v>NoteText</v>
      </c>
      <c r="C584" s="104" t="str">
        <f>"yfs_notes.note_text"</f>
        <v>yfs_notes.note_text</v>
      </c>
      <c r="D584" s="104" t="str">
        <f t="shared" si="513"/>
        <v>UNKNOWN</v>
      </c>
      <c r="E584" s="105" t="str">
        <f t="shared" si="514"/>
        <v/>
      </c>
      <c r="F584" s="104" t="s">
        <v>922</v>
      </c>
      <c r="G584" s="103" t="str">
        <f>"M"</f>
        <v>M</v>
      </c>
      <c r="H584" s="103" t="str">
        <f t="shared" si="510"/>
        <v>space</v>
      </c>
      <c r="I584" s="104" t="str">
        <f t="shared" ref="I584:J584" si="515">""</f>
        <v/>
      </c>
      <c r="J584" s="104" t="str">
        <f t="shared" si="515"/>
        <v/>
      </c>
      <c r="K584" s="104"/>
      <c r="L584" s="105"/>
      <c r="M584" s="104"/>
      <c r="N584" s="104"/>
      <c r="O584" s="104"/>
      <c r="P584" s="104"/>
      <c r="Q584" s="104"/>
      <c r="R584" s="104"/>
      <c r="S584" s="104"/>
      <c r="T584" s="107"/>
      <c r="U584" s="107"/>
    </row>
    <row r="585" ht="15.75" hidden="1" customHeight="1">
      <c r="A585" s="103"/>
      <c r="B585" s="104" t="str">
        <f>"Priority"</f>
        <v>Priority</v>
      </c>
      <c r="C585" s="104" t="str">
        <f>"yfs_notes.priority"</f>
        <v>yfs_notes.priority</v>
      </c>
      <c r="D585" s="104" t="str">
        <f>"decimal"</f>
        <v>decimal</v>
      </c>
      <c r="E585" s="105" t="str">
        <f>"10,2"</f>
        <v>10,2</v>
      </c>
      <c r="F585" s="104" t="s">
        <v>923</v>
      </c>
      <c r="G585" s="103" t="str">
        <f t="shared" ref="G585:G595" si="517">"O"</f>
        <v>O</v>
      </c>
      <c r="H585" s="103" t="str">
        <f>"0"</f>
        <v>0</v>
      </c>
      <c r="I585" s="104" t="str">
        <f t="shared" ref="I585:J585" si="516">""</f>
        <v/>
      </c>
      <c r="J585" s="104" t="str">
        <f t="shared" si="516"/>
        <v/>
      </c>
      <c r="K585" s="104"/>
      <c r="L585" s="105"/>
      <c r="M585" s="104"/>
      <c r="N585" s="104"/>
      <c r="O585" s="104"/>
      <c r="P585" s="104"/>
      <c r="Q585" s="104"/>
      <c r="R585" s="104"/>
      <c r="S585" s="104"/>
      <c r="T585" s="107"/>
      <c r="U585" s="107"/>
    </row>
    <row r="586" ht="15.75" hidden="1" customHeight="1">
      <c r="A586" s="103"/>
      <c r="B586" s="104" t="str">
        <f>"ReasonCode"</f>
        <v>ReasonCode</v>
      </c>
      <c r="C586" s="104" t="str">
        <f>"yfs_notes.reason_code"</f>
        <v>yfs_notes.reason_code</v>
      </c>
      <c r="D586" s="104" t="str">
        <f>"string"</f>
        <v>string</v>
      </c>
      <c r="E586" s="105" t="str">
        <f>"40"</f>
        <v>40</v>
      </c>
      <c r="F586" s="104" t="s">
        <v>924</v>
      </c>
      <c r="G586" s="103" t="str">
        <f t="shared" si="517"/>
        <v>O</v>
      </c>
      <c r="H586" s="103" t="str">
        <f>"space"</f>
        <v>space</v>
      </c>
      <c r="I586" s="104" t="str">
        <f t="shared" ref="I586:J586" si="518">""</f>
        <v/>
      </c>
      <c r="J586" s="104" t="str">
        <f t="shared" si="518"/>
        <v/>
      </c>
      <c r="K586" s="104"/>
      <c r="L586" s="105"/>
      <c r="M586" s="104"/>
      <c r="N586" s="104"/>
      <c r="O586" s="104"/>
      <c r="P586" s="104"/>
      <c r="Q586" s="104"/>
      <c r="R586" s="104"/>
      <c r="S586" s="104"/>
      <c r="T586" s="107"/>
      <c r="U586" s="107"/>
    </row>
    <row r="587" ht="15.75" hidden="1" customHeight="1">
      <c r="A587" s="103"/>
      <c r="B587" s="104" t="str">
        <f>"SequenceNo"</f>
        <v>SequenceNo</v>
      </c>
      <c r="C587" s="104" t="str">
        <f>"yfs_notes.sequence_no"</f>
        <v>yfs_notes.sequence_no</v>
      </c>
      <c r="D587" s="104" t="str">
        <f>"nonNegativeInteger"</f>
        <v>nonNegativeInteger</v>
      </c>
      <c r="E587" s="105" t="str">
        <f>"5"</f>
        <v>5</v>
      </c>
      <c r="F587" s="104" t="s">
        <v>925</v>
      </c>
      <c r="G587" s="103" t="str">
        <f t="shared" si="517"/>
        <v>O</v>
      </c>
      <c r="H587" s="103" t="str">
        <f>"0 "</f>
        <v>0 </v>
      </c>
      <c r="I587" s="104" t="str">
        <f t="shared" ref="I587:J587" si="519">""</f>
        <v/>
      </c>
      <c r="J587" s="104" t="str">
        <f t="shared" si="519"/>
        <v/>
      </c>
      <c r="K587" s="104"/>
      <c r="L587" s="105"/>
      <c r="M587" s="104"/>
      <c r="N587" s="104"/>
      <c r="O587" s="104"/>
      <c r="P587" s="104"/>
      <c r="Q587" s="104"/>
      <c r="R587" s="104"/>
      <c r="S587" s="104"/>
      <c r="T587" s="107"/>
      <c r="U587" s="107"/>
    </row>
    <row r="588" ht="15.75" hidden="1" customHeight="1">
      <c r="A588" s="103"/>
      <c r="B588" s="104" t="str">
        <f>"VisibleToAll"</f>
        <v>VisibleToAll</v>
      </c>
      <c r="C588" s="104" t="str">
        <f>"yfs_notes.visible_to_all"</f>
        <v>yfs_notes.visible_to_all</v>
      </c>
      <c r="D588" s="104" t="str">
        <f>"string"</f>
        <v>string</v>
      </c>
      <c r="E588" s="105" t="str">
        <f>"1"</f>
        <v>1</v>
      </c>
      <c r="F588" s="104" t="s">
        <v>926</v>
      </c>
      <c r="G588" s="103" t="str">
        <f t="shared" si="517"/>
        <v>O</v>
      </c>
      <c r="H588" s="103" t="str">
        <f>"null"</f>
        <v>null</v>
      </c>
      <c r="I588" s="104" t="str">
        <f t="shared" ref="I588:J588" si="520">""</f>
        <v/>
      </c>
      <c r="J588" s="104" t="str">
        <f t="shared" si="520"/>
        <v/>
      </c>
      <c r="K588" s="104"/>
      <c r="L588" s="105"/>
      <c r="M588" s="104"/>
      <c r="N588" s="104"/>
      <c r="O588" s="104"/>
      <c r="P588" s="104"/>
      <c r="Q588" s="104"/>
      <c r="R588" s="104"/>
      <c r="S588" s="104"/>
      <c r="T588" s="107"/>
      <c r="U588" s="107"/>
    </row>
    <row r="589" ht="15.75" hidden="1" customHeight="1">
      <c r="A589" s="196"/>
      <c r="B589" s="170" t="str">
        <f>"/Order/OrderLines/OrderLine/BundleParentLine/@"</f>
        <v>/Order/OrderLines/OrderLine/BundleParentLine/@</v>
      </c>
      <c r="C589" s="170"/>
      <c r="D589" s="170"/>
      <c r="E589" s="170"/>
      <c r="F589" s="170"/>
      <c r="G589" s="196" t="str">
        <f t="shared" si="517"/>
        <v>O</v>
      </c>
      <c r="H589" s="170"/>
      <c r="I589" s="170"/>
      <c r="J589" s="170"/>
      <c r="K589" s="170"/>
      <c r="L589" s="170"/>
      <c r="M589" s="170"/>
      <c r="N589" s="170"/>
      <c r="O589" s="170"/>
      <c r="P589" s="170"/>
      <c r="Q589" s="170"/>
      <c r="R589" s="170"/>
      <c r="S589" s="170"/>
      <c r="T589" s="197"/>
      <c r="U589" s="197"/>
    </row>
    <row r="590" ht="15.75" hidden="1" customHeight="1">
      <c r="A590" s="103"/>
      <c r="B590" s="104" t="str">
        <f>"OrderLineKey"</f>
        <v>OrderLineKey</v>
      </c>
      <c r="C590" s="104" t="str">
        <f>"yfs_order_line.order_line_key"</f>
        <v>yfs_order_line.order_line_key</v>
      </c>
      <c r="D590" s="104" t="str">
        <f>"string"</f>
        <v>string</v>
      </c>
      <c r="E590" s="105" t="str">
        <f>"24"</f>
        <v>24</v>
      </c>
      <c r="F590" s="104" t="s">
        <v>927</v>
      </c>
      <c r="G590" s="103" t="str">
        <f t="shared" si="517"/>
        <v>O</v>
      </c>
      <c r="H590" s="103" t="str">
        <f>"space"</f>
        <v>space</v>
      </c>
      <c r="I590" s="104" t="str">
        <f t="shared" ref="I590:I592" si="521">""</f>
        <v/>
      </c>
      <c r="J590" s="104" t="str">
        <f>"2010050314595404020"</f>
        <v>2010050314595404020</v>
      </c>
      <c r="K590" s="104"/>
      <c r="L590" s="105"/>
      <c r="M590" s="104"/>
      <c r="N590" s="104"/>
      <c r="O590" s="104"/>
      <c r="P590" s="104"/>
      <c r="Q590" s="104"/>
      <c r="R590" s="104"/>
      <c r="S590" s="104"/>
      <c r="T590" s="107"/>
      <c r="U590" s="107"/>
    </row>
    <row r="591" ht="15.75" hidden="1" customHeight="1">
      <c r="A591" s="103"/>
      <c r="B591" s="104" t="str">
        <f>"PrimeLineNo"</f>
        <v>PrimeLineNo</v>
      </c>
      <c r="C591" s="104" t="str">
        <f>"yfs_order_line.prime_line_no"</f>
        <v>yfs_order_line.prime_line_no</v>
      </c>
      <c r="D591" s="104" t="str">
        <f t="shared" ref="D591:D592" si="522">"nonNegativeInteger"</f>
        <v>nonNegativeInteger</v>
      </c>
      <c r="E591" s="105" t="str">
        <f t="shared" ref="E591:E592" si="523">"5"</f>
        <v>5</v>
      </c>
      <c r="F591" s="104" t="s">
        <v>928</v>
      </c>
      <c r="G591" s="103" t="str">
        <f t="shared" si="517"/>
        <v>O</v>
      </c>
      <c r="H591" s="103" t="str">
        <f t="shared" ref="H591:H592" si="524">"0 "</f>
        <v>0 </v>
      </c>
      <c r="I591" s="104" t="str">
        <f t="shared" si="521"/>
        <v/>
      </c>
      <c r="J591" s="104" t="str">
        <f t="shared" ref="J591:J592" si="525">"1"</f>
        <v>1</v>
      </c>
      <c r="K591" s="104"/>
      <c r="L591" s="105"/>
      <c r="M591" s="104"/>
      <c r="N591" s="104"/>
      <c r="O591" s="104"/>
      <c r="P591" s="104"/>
      <c r="Q591" s="104"/>
      <c r="R591" s="104"/>
      <c r="S591" s="104"/>
      <c r="T591" s="107"/>
      <c r="U591" s="107"/>
    </row>
    <row r="592" ht="15.75" hidden="1" customHeight="1">
      <c r="A592" s="103"/>
      <c r="B592" s="104" t="str">
        <f>"SubLineNo"</f>
        <v>SubLineNo</v>
      </c>
      <c r="C592" s="104" t="str">
        <f>"yfs_order_line.sub_line_no"</f>
        <v>yfs_order_line.sub_line_no</v>
      </c>
      <c r="D592" s="104" t="str">
        <f t="shared" si="522"/>
        <v>nonNegativeInteger</v>
      </c>
      <c r="E592" s="105" t="str">
        <f t="shared" si="523"/>
        <v>5</v>
      </c>
      <c r="F592" s="104" t="s">
        <v>929</v>
      </c>
      <c r="G592" s="103" t="str">
        <f t="shared" si="517"/>
        <v>O</v>
      </c>
      <c r="H592" s="103" t="str">
        <f t="shared" si="524"/>
        <v>0 </v>
      </c>
      <c r="I592" s="104" t="str">
        <f t="shared" si="521"/>
        <v/>
      </c>
      <c r="J592" s="104" t="str">
        <f t="shared" si="525"/>
        <v>1</v>
      </c>
      <c r="K592" s="104"/>
      <c r="L592" s="105"/>
      <c r="M592" s="104"/>
      <c r="N592" s="104"/>
      <c r="O592" s="104"/>
      <c r="P592" s="104"/>
      <c r="Q592" s="104"/>
      <c r="R592" s="104"/>
      <c r="S592" s="104"/>
      <c r="T592" s="107"/>
      <c r="U592" s="107"/>
    </row>
    <row r="593" ht="15.75" hidden="1" customHeight="1">
      <c r="A593" s="103"/>
      <c r="B593" s="104" t="str">
        <f>"TransactionalLineId"</f>
        <v>TransactionalLineId</v>
      </c>
      <c r="C593" s="104" t="str">
        <f>""</f>
        <v/>
      </c>
      <c r="D593" s="104" t="str">
        <f>"string"</f>
        <v>string</v>
      </c>
      <c r="E593" s="105" t="str">
        <f>"40"</f>
        <v>40</v>
      </c>
      <c r="F593" s="104" t="s">
        <v>930</v>
      </c>
      <c r="G593" s="103" t="str">
        <f t="shared" si="517"/>
        <v>O</v>
      </c>
      <c r="H593" s="103" t="str">
        <f t="shared" ref="H593:J593" si="526">""</f>
        <v/>
      </c>
      <c r="I593" s="104" t="str">
        <f t="shared" si="526"/>
        <v/>
      </c>
      <c r="J593" s="104" t="str">
        <f t="shared" si="526"/>
        <v/>
      </c>
      <c r="K593" s="104"/>
      <c r="L593" s="105"/>
      <c r="M593" s="104"/>
      <c r="N593" s="104"/>
      <c r="O593" s="104"/>
      <c r="P593" s="104"/>
      <c r="Q593" s="104"/>
      <c r="R593" s="104"/>
      <c r="S593" s="104"/>
      <c r="T593" s="107"/>
      <c r="U593" s="107"/>
    </row>
    <row r="594" ht="15.75" hidden="1" customHeight="1">
      <c r="A594" s="196"/>
      <c r="B594" s="170" t="str">
        <f>"/Order/OrderLines/OrderLine/OrderHoldTypes"</f>
        <v>/Order/OrderLines/OrderLine/OrderHoldTypes</v>
      </c>
      <c r="C594" s="170"/>
      <c r="D594" s="170"/>
      <c r="E594" s="170"/>
      <c r="F594" s="170"/>
      <c r="G594" s="196" t="str">
        <f t="shared" si="517"/>
        <v>O</v>
      </c>
      <c r="H594" s="170"/>
      <c r="I594" s="170"/>
      <c r="J594" s="170"/>
      <c r="K594" s="170"/>
      <c r="L594" s="170"/>
      <c r="M594" s="170"/>
      <c r="N594" s="170"/>
      <c r="O594" s="170"/>
      <c r="P594" s="170"/>
      <c r="Q594" s="170"/>
      <c r="R594" s="170"/>
      <c r="S594" s="170"/>
      <c r="T594" s="197"/>
      <c r="U594" s="197"/>
    </row>
    <row r="595" ht="15.75" hidden="1" customHeight="1">
      <c r="A595" s="196"/>
      <c r="B595" s="170" t="str">
        <f>"/Order/OrderLines/OrderLine/OrderHoldTypes/OrderHoldType/@"</f>
        <v>/Order/OrderLines/OrderLine/OrderHoldTypes/OrderHoldType/@</v>
      </c>
      <c r="C595" s="170"/>
      <c r="D595" s="170"/>
      <c r="E595" s="170"/>
      <c r="F595" s="170"/>
      <c r="G595" s="196" t="str">
        <f t="shared" si="517"/>
        <v>O</v>
      </c>
      <c r="H595" s="170"/>
      <c r="I595" s="170"/>
      <c r="J595" s="170"/>
      <c r="K595" s="170"/>
      <c r="L595" s="170"/>
      <c r="M595" s="170"/>
      <c r="N595" s="170"/>
      <c r="O595" s="170"/>
      <c r="P595" s="170"/>
      <c r="Q595" s="170"/>
      <c r="R595" s="170"/>
      <c r="S595" s="170"/>
      <c r="T595" s="197"/>
      <c r="U595" s="197"/>
    </row>
    <row r="596" ht="15.75" hidden="1" customHeight="1">
      <c r="A596" s="103"/>
      <c r="B596" s="104" t="str">
        <f>"HoldType"</f>
        <v>HoldType</v>
      </c>
      <c r="C596" s="104" t="str">
        <f>"yfs_order_hold_type.hold_type"</f>
        <v>yfs_order_hold_type.hold_type</v>
      </c>
      <c r="D596" s="104" t="str">
        <f t="shared" ref="D596:D598" si="528">"string"</f>
        <v>string</v>
      </c>
      <c r="E596" s="105" t="str">
        <f>"20"</f>
        <v>20</v>
      </c>
      <c r="F596" s="104" t="s">
        <v>931</v>
      </c>
      <c r="G596" s="103" t="str">
        <f>"M"</f>
        <v>M</v>
      </c>
      <c r="H596" s="103" t="str">
        <f t="shared" ref="H596:H597" si="529">"space"</f>
        <v>space</v>
      </c>
      <c r="I596" s="104" t="str">
        <f t="shared" ref="I596:J596" si="527">""</f>
        <v/>
      </c>
      <c r="J596" s="104" t="str">
        <f t="shared" si="527"/>
        <v/>
      </c>
      <c r="K596" s="104"/>
      <c r="L596" s="105"/>
      <c r="M596" s="104"/>
      <c r="N596" s="104"/>
      <c r="O596" s="104"/>
      <c r="P596" s="104"/>
      <c r="Q596" s="104"/>
      <c r="R596" s="104"/>
      <c r="S596" s="104"/>
      <c r="T596" s="107"/>
      <c r="U596" s="107"/>
    </row>
    <row r="597" ht="15.75" hidden="1" customHeight="1">
      <c r="A597" s="103"/>
      <c r="B597" s="104" t="str">
        <f>"ReasonText"</f>
        <v>ReasonText</v>
      </c>
      <c r="C597" s="104" t="str">
        <f>"yfs_order_hold_type.reason_text"</f>
        <v>yfs_order_hold_type.reason_text</v>
      </c>
      <c r="D597" s="104" t="str">
        <f t="shared" si="528"/>
        <v>string</v>
      </c>
      <c r="E597" s="105" t="str">
        <f>"255"</f>
        <v>255</v>
      </c>
      <c r="F597" s="104" t="s">
        <v>932</v>
      </c>
      <c r="G597" s="103" t="str">
        <f t="shared" ref="G597:G652" si="531">"O"</f>
        <v>O</v>
      </c>
      <c r="H597" s="103" t="str">
        <f t="shared" si="529"/>
        <v>space</v>
      </c>
      <c r="I597" s="104" t="str">
        <f t="shared" ref="I597:J597" si="530">""</f>
        <v/>
      </c>
      <c r="J597" s="104" t="str">
        <f t="shared" si="530"/>
        <v/>
      </c>
      <c r="K597" s="104"/>
      <c r="L597" s="105"/>
      <c r="M597" s="104"/>
      <c r="N597" s="104"/>
      <c r="O597" s="104"/>
      <c r="P597" s="104"/>
      <c r="Q597" s="104"/>
      <c r="R597" s="104"/>
      <c r="S597" s="104"/>
      <c r="T597" s="107"/>
      <c r="U597" s="107"/>
    </row>
    <row r="598" ht="15.75" hidden="1" customHeight="1">
      <c r="A598" s="103"/>
      <c r="B598" s="104" t="str">
        <f>"ResolverUserId"</f>
        <v>ResolverUserId</v>
      </c>
      <c r="C598" s="104" t="str">
        <f>"yfs_order_hold_type.resolver_user_id"</f>
        <v>yfs_order_hold_type.resolver_user_id</v>
      </c>
      <c r="D598" s="104" t="str">
        <f t="shared" si="528"/>
        <v>string</v>
      </c>
      <c r="E598" s="105" t="str">
        <f>"50"</f>
        <v>50</v>
      </c>
      <c r="F598" s="104" t="s">
        <v>933</v>
      </c>
      <c r="G598" s="103" t="str">
        <f t="shared" si="531"/>
        <v>O</v>
      </c>
      <c r="H598" s="103" t="str">
        <f>"null"</f>
        <v>null</v>
      </c>
      <c r="I598" s="104" t="str">
        <f t="shared" ref="I598:J598" si="532">""</f>
        <v/>
      </c>
      <c r="J598" s="104" t="str">
        <f t="shared" si="532"/>
        <v/>
      </c>
      <c r="K598" s="104"/>
      <c r="L598" s="105"/>
      <c r="M598" s="104"/>
      <c r="N598" s="104"/>
      <c r="O598" s="104"/>
      <c r="P598" s="104"/>
      <c r="Q598" s="104"/>
      <c r="R598" s="104"/>
      <c r="S598" s="104"/>
      <c r="T598" s="107"/>
      <c r="U598" s="107"/>
    </row>
    <row r="599" ht="15.75" hidden="1" customHeight="1">
      <c r="A599" s="196"/>
      <c r="B599" s="170" t="str">
        <f>"/Order/OrderLines/OrderLine/OrderOverride/@"</f>
        <v>/Order/OrderLines/OrderLine/OrderOverride/@</v>
      </c>
      <c r="C599" s="170"/>
      <c r="D599" s="170"/>
      <c r="E599" s="170"/>
      <c r="F599" s="170"/>
      <c r="G599" s="196" t="str">
        <f t="shared" si="531"/>
        <v>O</v>
      </c>
      <c r="H599" s="170"/>
      <c r="I599" s="170"/>
      <c r="J599" s="170"/>
      <c r="K599" s="170"/>
      <c r="L599" s="170"/>
      <c r="M599" s="170"/>
      <c r="N599" s="170"/>
      <c r="O599" s="170"/>
      <c r="P599" s="170"/>
      <c r="Q599" s="170"/>
      <c r="R599" s="170"/>
      <c r="S599" s="170"/>
      <c r="T599" s="197"/>
      <c r="U599" s="197"/>
    </row>
    <row r="600" ht="15.75" hidden="1" customHeight="1">
      <c r="A600" s="103"/>
      <c r="B600" s="104" t="str">
        <f>"QuantityLimitOverridden"</f>
        <v>QuantityLimitOverridden</v>
      </c>
      <c r="C600" s="104" t="str">
        <f>"yfs_order_override.quantity_limit_overridden"</f>
        <v>yfs_order_override.quantity_limit_overridden</v>
      </c>
      <c r="D600" s="104" t="str">
        <f t="shared" ref="D600:D601" si="534">"string"</f>
        <v>string</v>
      </c>
      <c r="E600" s="105" t="str">
        <f t="shared" ref="E600:E601" si="535">"1"</f>
        <v>1</v>
      </c>
      <c r="F600" s="104" t="s">
        <v>934</v>
      </c>
      <c r="G600" s="103" t="str">
        <f t="shared" si="531"/>
        <v>O</v>
      </c>
      <c r="H600" s="103" t="str">
        <f>"space"</f>
        <v>space</v>
      </c>
      <c r="I600" s="104" t="str">
        <f t="shared" ref="I600:J600" si="533">""</f>
        <v/>
      </c>
      <c r="J600" s="104" t="str">
        <f t="shared" si="533"/>
        <v/>
      </c>
      <c r="K600" s="104"/>
      <c r="L600" s="105"/>
      <c r="M600" s="104"/>
      <c r="N600" s="104"/>
      <c r="O600" s="104"/>
      <c r="P600" s="104"/>
      <c r="Q600" s="104"/>
      <c r="R600" s="104"/>
      <c r="S600" s="104"/>
      <c r="T600" s="107"/>
      <c r="U600" s="107"/>
    </row>
    <row r="601" ht="15.75" hidden="1" customHeight="1">
      <c r="A601" s="103"/>
      <c r="B601" s="104" t="str">
        <f>"ValidateItem"</f>
        <v>ValidateItem</v>
      </c>
      <c r="C601" s="104" t="str">
        <f>"yfs_order_override.validate_item"</f>
        <v>yfs_order_override.validate_item</v>
      </c>
      <c r="D601" s="104" t="str">
        <f t="shared" si="534"/>
        <v>string</v>
      </c>
      <c r="E601" s="105" t="str">
        <f t="shared" si="535"/>
        <v>1</v>
      </c>
      <c r="F601" s="104" t="s">
        <v>935</v>
      </c>
      <c r="G601" s="103" t="str">
        <f t="shared" si="531"/>
        <v>O</v>
      </c>
      <c r="H601" s="103" t="str">
        <f t="shared" ref="H601:J601" si="536">""</f>
        <v/>
      </c>
      <c r="I601" s="104" t="str">
        <f t="shared" si="536"/>
        <v/>
      </c>
      <c r="J601" s="104" t="str">
        <f t="shared" si="536"/>
        <v/>
      </c>
      <c r="K601" s="104"/>
      <c r="L601" s="105"/>
      <c r="M601" s="104"/>
      <c r="N601" s="104"/>
      <c r="O601" s="104"/>
      <c r="P601" s="104"/>
      <c r="Q601" s="104"/>
      <c r="R601" s="104"/>
      <c r="S601" s="104"/>
      <c r="T601" s="107"/>
      <c r="U601" s="107"/>
    </row>
    <row r="602" ht="15.75" hidden="1" customHeight="1">
      <c r="A602" s="196"/>
      <c r="B602" s="170" t="str">
        <f>"/Order/OrderLines/OrderLine/AdditionalLinePrices"</f>
        <v>/Order/OrderLines/OrderLine/AdditionalLinePrices</v>
      </c>
      <c r="C602" s="170"/>
      <c r="D602" s="170"/>
      <c r="E602" s="170"/>
      <c r="F602" s="170"/>
      <c r="G602" s="196" t="str">
        <f t="shared" si="531"/>
        <v>O</v>
      </c>
      <c r="H602" s="170"/>
      <c r="I602" s="170"/>
      <c r="J602" s="170"/>
      <c r="K602" s="170"/>
      <c r="L602" s="170"/>
      <c r="M602" s="170"/>
      <c r="N602" s="170"/>
      <c r="O602" s="170"/>
      <c r="P602" s="170"/>
      <c r="Q602" s="170"/>
      <c r="R602" s="170"/>
      <c r="S602" s="170"/>
      <c r="T602" s="197"/>
      <c r="U602" s="197"/>
    </row>
    <row r="603" ht="15.75" hidden="1" customHeight="1">
      <c r="A603" s="196"/>
      <c r="B603" s="170" t="str">
        <f>"/Order/OrderLines/OrderLine/AdditionalLinePrices/AdditionalLinePrice/@"</f>
        <v>/Order/OrderLines/OrderLine/AdditionalLinePrices/AdditionalLinePrice/@</v>
      </c>
      <c r="C603" s="170"/>
      <c r="D603" s="170"/>
      <c r="E603" s="170"/>
      <c r="F603" s="170"/>
      <c r="G603" s="196" t="str">
        <f t="shared" si="531"/>
        <v>O</v>
      </c>
      <c r="H603" s="170"/>
      <c r="I603" s="170"/>
      <c r="J603" s="170"/>
      <c r="K603" s="170"/>
      <c r="L603" s="170"/>
      <c r="M603" s="170"/>
      <c r="N603" s="170"/>
      <c r="O603" s="170"/>
      <c r="P603" s="170"/>
      <c r="Q603" s="170"/>
      <c r="R603" s="170"/>
      <c r="S603" s="170"/>
      <c r="T603" s="197"/>
      <c r="U603" s="197"/>
    </row>
    <row r="604" ht="15.75" hidden="1" customHeight="1">
      <c r="A604" s="103"/>
      <c r="B604" s="104" t="str">
        <f>"IsPriceLocked"</f>
        <v>IsPriceLocked</v>
      </c>
      <c r="C604" s="104" t="str">
        <f>"yfs_addnl_line_price.is_price_locked"</f>
        <v>yfs_addnl_line_price.is_price_locked</v>
      </c>
      <c r="D604" s="104" t="str">
        <f t="shared" ref="D604:D606" si="538">"string"</f>
        <v>string</v>
      </c>
      <c r="E604" s="105" t="str">
        <f t="shared" ref="E604:E605" si="539">"1"</f>
        <v>1</v>
      </c>
      <c r="F604" s="104" t="s">
        <v>936</v>
      </c>
      <c r="G604" s="103" t="str">
        <f t="shared" si="531"/>
        <v>O</v>
      </c>
      <c r="H604" s="103" t="str">
        <f t="shared" ref="H604:J604" si="537">""</f>
        <v/>
      </c>
      <c r="I604" s="104" t="str">
        <f t="shared" si="537"/>
        <v/>
      </c>
      <c r="J604" s="104" t="str">
        <f t="shared" si="537"/>
        <v/>
      </c>
      <c r="K604" s="104"/>
      <c r="L604" s="105"/>
      <c r="M604" s="104"/>
      <c r="N604" s="104"/>
      <c r="O604" s="104"/>
      <c r="P604" s="104"/>
      <c r="Q604" s="104"/>
      <c r="R604" s="104"/>
      <c r="S604" s="104"/>
      <c r="T604" s="107"/>
      <c r="U604" s="107"/>
    </row>
    <row r="605" ht="15.75" hidden="1" customHeight="1">
      <c r="A605" s="103"/>
      <c r="B605" s="104" t="str">
        <f>"IsPriceTypeForInformationOnly"</f>
        <v>IsPriceTypeForInformationOnly</v>
      </c>
      <c r="C605" s="104" t="str">
        <f>"yfs_addnl_line_price.price_type_info_only"</f>
        <v>yfs_addnl_line_price.price_type_info_only</v>
      </c>
      <c r="D605" s="104" t="str">
        <f t="shared" si="538"/>
        <v>string</v>
      </c>
      <c r="E605" s="105" t="str">
        <f t="shared" si="539"/>
        <v>1</v>
      </c>
      <c r="F605" s="104" t="s">
        <v>937</v>
      </c>
      <c r="G605" s="103" t="str">
        <f t="shared" si="531"/>
        <v>O</v>
      </c>
      <c r="H605" s="103" t="str">
        <f t="shared" ref="H605:J605" si="540">""</f>
        <v/>
      </c>
      <c r="I605" s="104" t="str">
        <f t="shared" si="540"/>
        <v/>
      </c>
      <c r="J605" s="104" t="str">
        <f t="shared" si="540"/>
        <v/>
      </c>
      <c r="K605" s="104"/>
      <c r="L605" s="105"/>
      <c r="M605" s="104"/>
      <c r="N605" s="104"/>
      <c r="O605" s="104"/>
      <c r="P605" s="104"/>
      <c r="Q605" s="104"/>
      <c r="R605" s="104"/>
      <c r="S605" s="104"/>
      <c r="T605" s="107"/>
      <c r="U605" s="107"/>
    </row>
    <row r="606" ht="15.75" hidden="1" customHeight="1">
      <c r="A606" s="103"/>
      <c r="B606" s="104" t="str">
        <f>"Operation"</f>
        <v>Operation</v>
      </c>
      <c r="C606" s="104" t="str">
        <f>""</f>
        <v/>
      </c>
      <c r="D606" s="104" t="str">
        <f t="shared" si="538"/>
        <v>string</v>
      </c>
      <c r="E606" s="105" t="str">
        <f>"40"</f>
        <v>40</v>
      </c>
      <c r="F606" s="104" t="s">
        <v>938</v>
      </c>
      <c r="G606" s="103" t="str">
        <f t="shared" si="531"/>
        <v>O</v>
      </c>
      <c r="H606" s="103" t="str">
        <f t="shared" ref="H606:J606" si="541">""</f>
        <v/>
      </c>
      <c r="I606" s="104" t="str">
        <f t="shared" si="541"/>
        <v/>
      </c>
      <c r="J606" s="104" t="str">
        <f t="shared" si="541"/>
        <v/>
      </c>
      <c r="K606" s="104"/>
      <c r="L606" s="105"/>
      <c r="M606" s="104"/>
      <c r="N606" s="104"/>
      <c r="O606" s="104"/>
      <c r="P606" s="104"/>
      <c r="Q606" s="104"/>
      <c r="R606" s="104"/>
      <c r="S606" s="104"/>
      <c r="T606" s="107"/>
      <c r="U606" s="107"/>
    </row>
    <row r="607" ht="15.75" hidden="1" customHeight="1">
      <c r="A607" s="103"/>
      <c r="B607" s="104" t="str">
        <f>"Price"</f>
        <v>Price</v>
      </c>
      <c r="C607" s="104" t="str">
        <f>"yfs_addnl_line_price.price"</f>
        <v>yfs_addnl_line_price.price</v>
      </c>
      <c r="D607" s="104" t="str">
        <f t="shared" ref="D607:D608" si="543">"UNKNOWN"</f>
        <v>UNKNOWN</v>
      </c>
      <c r="E607" s="105" t="str">
        <f t="shared" ref="E607:E608" si="544">""</f>
        <v/>
      </c>
      <c r="F607" s="104" t="s">
        <v>939</v>
      </c>
      <c r="G607" s="103" t="str">
        <f t="shared" si="531"/>
        <v>O</v>
      </c>
      <c r="H607" s="103" t="str">
        <f t="shared" ref="H607:J607" si="542">""</f>
        <v/>
      </c>
      <c r="I607" s="104" t="str">
        <f t="shared" si="542"/>
        <v/>
      </c>
      <c r="J607" s="104" t="str">
        <f t="shared" si="542"/>
        <v/>
      </c>
      <c r="K607" s="104"/>
      <c r="L607" s="105"/>
      <c r="M607" s="104"/>
      <c r="N607" s="104"/>
      <c r="O607" s="104"/>
      <c r="P607" s="104"/>
      <c r="Q607" s="104"/>
      <c r="R607" s="104"/>
      <c r="S607" s="104"/>
      <c r="T607" s="107"/>
      <c r="U607" s="107"/>
    </row>
    <row r="608" ht="15.75" hidden="1" customHeight="1">
      <c r="A608" s="103"/>
      <c r="B608" s="104" t="str">
        <f>"PriceTypeName"</f>
        <v>PriceTypeName</v>
      </c>
      <c r="C608" s="104" t="str">
        <f>"yfs_addnl_line_price.price_type_name"</f>
        <v>yfs_addnl_line_price.price_type_name</v>
      </c>
      <c r="D608" s="104" t="str">
        <f t="shared" si="543"/>
        <v>UNKNOWN</v>
      </c>
      <c r="E608" s="105" t="str">
        <f t="shared" si="544"/>
        <v/>
      </c>
      <c r="F608" s="104" t="s">
        <v>940</v>
      </c>
      <c r="G608" s="103" t="str">
        <f t="shared" si="531"/>
        <v>O</v>
      </c>
      <c r="H608" s="103" t="str">
        <f t="shared" ref="H608:J608" si="545">""</f>
        <v/>
      </c>
      <c r="I608" s="104" t="str">
        <f t="shared" si="545"/>
        <v/>
      </c>
      <c r="J608" s="104" t="str">
        <f t="shared" si="545"/>
        <v/>
      </c>
      <c r="K608" s="104"/>
      <c r="L608" s="105"/>
      <c r="M608" s="104"/>
      <c r="N608" s="104"/>
      <c r="O608" s="104"/>
      <c r="P608" s="104"/>
      <c r="Q608" s="104"/>
      <c r="R608" s="104"/>
      <c r="S608" s="104"/>
      <c r="T608" s="107"/>
      <c r="U608" s="107"/>
    </row>
    <row r="609" ht="15.75" hidden="1" customHeight="1">
      <c r="A609" s="196" t="s">
        <v>92</v>
      </c>
      <c r="B609" s="170" t="str">
        <f>"/Order/OrderLines/OrderLine/AdditionalLinePrices/AdditionalLinePrice/Promotions/@"</f>
        <v>/Order/OrderLines/OrderLine/AdditionalLinePrices/AdditionalLinePrice/Promotions/@</v>
      </c>
      <c r="C609" s="170"/>
      <c r="D609" s="170"/>
      <c r="E609" s="170"/>
      <c r="F609" s="170"/>
      <c r="G609" s="196" t="str">
        <f t="shared" si="531"/>
        <v>O</v>
      </c>
      <c r="H609" s="170"/>
      <c r="I609" s="170"/>
      <c r="J609" s="170"/>
      <c r="K609" s="170"/>
      <c r="L609" s="170"/>
      <c r="M609" s="170"/>
      <c r="N609" s="170"/>
      <c r="O609" s="170"/>
      <c r="P609" s="170"/>
      <c r="Q609" s="170"/>
      <c r="R609" s="170"/>
      <c r="S609" s="170"/>
      <c r="T609" s="197"/>
      <c r="U609" s="197"/>
    </row>
    <row r="610" ht="15.75" hidden="1" customHeight="1">
      <c r="A610" s="103" t="s">
        <v>92</v>
      </c>
      <c r="B610" s="104" t="str">
        <f>"Reset"</f>
        <v>Reset</v>
      </c>
      <c r="C610" s="104" t="str">
        <f>""</f>
        <v/>
      </c>
      <c r="D610" s="104" t="str">
        <f>"string"</f>
        <v>string</v>
      </c>
      <c r="E610" s="105" t="str">
        <f>"1"</f>
        <v>1</v>
      </c>
      <c r="F610" s="104" t="s">
        <v>886</v>
      </c>
      <c r="G610" s="103" t="str">
        <f t="shared" si="531"/>
        <v>O</v>
      </c>
      <c r="H610" s="103" t="str">
        <f>""</f>
        <v/>
      </c>
      <c r="I610" s="104" t="str">
        <f>"N, Y"</f>
        <v>N, Y</v>
      </c>
      <c r="J610" s="104" t="str">
        <f>""</f>
        <v/>
      </c>
      <c r="K610" s="104"/>
      <c r="L610" s="105"/>
      <c r="M610" s="104"/>
      <c r="N610" s="104"/>
      <c r="O610" s="104"/>
      <c r="P610" s="104"/>
      <c r="Q610" s="104"/>
      <c r="R610" s="104"/>
      <c r="S610" s="104"/>
      <c r="T610" s="107"/>
      <c r="U610" s="107"/>
    </row>
    <row r="611" ht="15.75" hidden="1" customHeight="1">
      <c r="A611" s="196" t="s">
        <v>92</v>
      </c>
      <c r="B611" s="170" t="str">
        <f>"/Order/OrderLines/OrderLine/AdditionalLinePrices/AdditionalLinePrice/Promotions/Promotion/@"</f>
        <v>/Order/OrderLines/OrderLine/AdditionalLinePrices/AdditionalLinePrice/Promotions/Promotion/@</v>
      </c>
      <c r="C611" s="170"/>
      <c r="D611" s="170"/>
      <c r="E611" s="170"/>
      <c r="F611" s="170"/>
      <c r="G611" s="196" t="str">
        <f t="shared" si="531"/>
        <v>O</v>
      </c>
      <c r="H611" s="170"/>
      <c r="I611" s="170"/>
      <c r="J611" s="170"/>
      <c r="K611" s="170"/>
      <c r="L611" s="170"/>
      <c r="M611" s="170"/>
      <c r="N611" s="170"/>
      <c r="O611" s="170"/>
      <c r="P611" s="170"/>
      <c r="Q611" s="170"/>
      <c r="R611" s="170"/>
      <c r="S611" s="170"/>
      <c r="T611" s="197"/>
      <c r="U611" s="197"/>
    </row>
    <row r="612" ht="15.75" hidden="1" customHeight="1">
      <c r="A612" s="103" t="s">
        <v>92</v>
      </c>
      <c r="B612" s="104" t="str">
        <f>"Action"</f>
        <v>Action</v>
      </c>
      <c r="C612" s="104" t="str">
        <f>""</f>
        <v/>
      </c>
      <c r="D612" s="104" t="str">
        <f t="shared" ref="D612:D613" si="547">"string"</f>
        <v>string</v>
      </c>
      <c r="E612" s="105" t="str">
        <f>"40"</f>
        <v>40</v>
      </c>
      <c r="F612" s="104" t="s">
        <v>887</v>
      </c>
      <c r="G612" s="103" t="str">
        <f t="shared" si="531"/>
        <v>O</v>
      </c>
      <c r="H612" s="103" t="str">
        <f t="shared" ref="H612:J612" si="546">""</f>
        <v/>
      </c>
      <c r="I612" s="104" t="str">
        <f t="shared" si="546"/>
        <v/>
      </c>
      <c r="J612" s="104" t="str">
        <f t="shared" si="546"/>
        <v/>
      </c>
      <c r="K612" s="104"/>
      <c r="L612" s="105"/>
      <c r="M612" s="104"/>
      <c r="N612" s="104"/>
      <c r="O612" s="104"/>
      <c r="P612" s="104"/>
      <c r="Q612" s="104"/>
      <c r="R612" s="104"/>
      <c r="S612" s="104"/>
      <c r="T612" s="107"/>
      <c r="U612" s="107"/>
    </row>
    <row r="613" ht="15.75" hidden="1" customHeight="1">
      <c r="A613" s="103" t="s">
        <v>92</v>
      </c>
      <c r="B613" s="104" t="str">
        <f>"DenialReason"</f>
        <v>DenialReason</v>
      </c>
      <c r="C613" s="104" t="str">
        <f>"yfs_promotion.denial_reason"</f>
        <v>yfs_promotion.denial_reason</v>
      </c>
      <c r="D613" s="104" t="str">
        <f t="shared" si="547"/>
        <v>string</v>
      </c>
      <c r="E613" s="105" t="str">
        <f>"100"</f>
        <v>100</v>
      </c>
      <c r="F613" s="104" t="s">
        <v>888</v>
      </c>
      <c r="G613" s="103" t="str">
        <f t="shared" si="531"/>
        <v>O</v>
      </c>
      <c r="H613" s="103" t="str">
        <f>"space"</f>
        <v>space</v>
      </c>
      <c r="I613" s="104" t="str">
        <f t="shared" ref="I613:J613" si="548">""</f>
        <v/>
      </c>
      <c r="J613" s="104" t="str">
        <f t="shared" si="548"/>
        <v/>
      </c>
      <c r="K613" s="104"/>
      <c r="L613" s="105"/>
      <c r="M613" s="104"/>
      <c r="N613" s="104"/>
      <c r="O613" s="104"/>
      <c r="P613" s="104"/>
      <c r="Q613" s="104"/>
      <c r="R613" s="104"/>
      <c r="S613" s="104"/>
      <c r="T613" s="107"/>
      <c r="U613" s="107"/>
    </row>
    <row r="614" ht="15.75" hidden="1" customHeight="1">
      <c r="A614" s="103" t="s">
        <v>92</v>
      </c>
      <c r="B614" s="104" t="str">
        <f>"ExclusivityId"</f>
        <v>ExclusivityId</v>
      </c>
      <c r="C614" s="104" t="str">
        <f>"yfs_promotion.exclusivity_id"</f>
        <v>yfs_promotion.exclusivity_id</v>
      </c>
      <c r="D614" s="104" t="str">
        <f t="shared" ref="D614:D615" si="550">"UNKNOWN"</f>
        <v>UNKNOWN</v>
      </c>
      <c r="E614" s="105" t="str">
        <f t="shared" ref="E614:E615" si="551">""</f>
        <v/>
      </c>
      <c r="F614" s="104" t="s">
        <v>889</v>
      </c>
      <c r="G614" s="103" t="str">
        <f t="shared" si="531"/>
        <v>O</v>
      </c>
      <c r="H614" s="103" t="str">
        <f t="shared" ref="H614:J614" si="549">""</f>
        <v/>
      </c>
      <c r="I614" s="104" t="str">
        <f t="shared" si="549"/>
        <v/>
      </c>
      <c r="J614" s="104" t="str">
        <f t="shared" si="549"/>
        <v/>
      </c>
      <c r="K614" s="104"/>
      <c r="L614" s="105"/>
      <c r="M614" s="104"/>
      <c r="N614" s="104"/>
      <c r="O614" s="104"/>
      <c r="P614" s="104"/>
      <c r="Q614" s="104"/>
      <c r="R614" s="104"/>
      <c r="S614" s="104"/>
      <c r="T614" s="107"/>
      <c r="U614" s="107"/>
    </row>
    <row r="615" ht="15.75" hidden="1" customHeight="1">
      <c r="A615" s="103" t="s">
        <v>92</v>
      </c>
      <c r="B615" s="104" t="str">
        <f>"ExclusivityType"</f>
        <v>ExclusivityType</v>
      </c>
      <c r="C615" s="104" t="str">
        <f>"yfs_promotion.exclusivity_type"</f>
        <v>yfs_promotion.exclusivity_type</v>
      </c>
      <c r="D615" s="104" t="str">
        <f t="shared" si="550"/>
        <v>UNKNOWN</v>
      </c>
      <c r="E615" s="105" t="str">
        <f t="shared" si="551"/>
        <v/>
      </c>
      <c r="F615" s="104" t="s">
        <v>890</v>
      </c>
      <c r="G615" s="103" t="str">
        <f t="shared" si="531"/>
        <v>O</v>
      </c>
      <c r="H615" s="103" t="str">
        <f t="shared" ref="H615:J615" si="552">""</f>
        <v/>
      </c>
      <c r="I615" s="104" t="str">
        <f t="shared" si="552"/>
        <v/>
      </c>
      <c r="J615" s="104" t="str">
        <f t="shared" si="552"/>
        <v/>
      </c>
      <c r="K615" s="104"/>
      <c r="L615" s="105"/>
      <c r="M615" s="104"/>
      <c r="N615" s="104"/>
      <c r="O615" s="104"/>
      <c r="P615" s="104"/>
      <c r="Q615" s="104"/>
      <c r="R615" s="104"/>
      <c r="S615" s="104"/>
      <c r="T615" s="107"/>
      <c r="U615" s="107"/>
    </row>
    <row r="616" ht="15.75" hidden="1" customHeight="1">
      <c r="A616" s="103" t="s">
        <v>92</v>
      </c>
      <c r="B616" s="104" t="str">
        <f>"IsExternal"</f>
        <v>IsExternal</v>
      </c>
      <c r="C616" s="104" t="str">
        <f>"yfs_promotion.is_external"</f>
        <v>yfs_promotion.is_external</v>
      </c>
      <c r="D616" s="104" t="str">
        <f>"string"</f>
        <v>string</v>
      </c>
      <c r="E616" s="105" t="str">
        <f>"1"</f>
        <v>1</v>
      </c>
      <c r="F616" s="104" t="s">
        <v>891</v>
      </c>
      <c r="G616" s="103" t="str">
        <f t="shared" si="531"/>
        <v>O</v>
      </c>
      <c r="H616" s="103" t="str">
        <f t="shared" ref="H616:J616" si="553">""</f>
        <v/>
      </c>
      <c r="I616" s="104" t="str">
        <f t="shared" si="553"/>
        <v/>
      </c>
      <c r="J616" s="104" t="str">
        <f t="shared" si="553"/>
        <v/>
      </c>
      <c r="K616" s="104"/>
      <c r="L616" s="105"/>
      <c r="M616" s="104"/>
      <c r="N616" s="104"/>
      <c r="O616" s="104"/>
      <c r="P616" s="104"/>
      <c r="Q616" s="104"/>
      <c r="R616" s="104"/>
      <c r="S616" s="104"/>
      <c r="T616" s="107"/>
      <c r="U616" s="107"/>
    </row>
    <row r="617" ht="15.75" hidden="1" customHeight="1">
      <c r="A617" s="103" t="s">
        <v>92</v>
      </c>
      <c r="B617" s="104" t="str">
        <f>"OverrideAdjustmentValue"</f>
        <v>OverrideAdjustmentValue</v>
      </c>
      <c r="C617" s="104" t="str">
        <f>"yfs_promotion.override_adjustment_value"</f>
        <v>yfs_promotion.override_adjustment_value</v>
      </c>
      <c r="D617" s="104" t="str">
        <f t="shared" ref="D617:D619" si="555">"UNKNOWN"</f>
        <v>UNKNOWN</v>
      </c>
      <c r="E617" s="105" t="str">
        <f t="shared" ref="E617:E619" si="556">""</f>
        <v/>
      </c>
      <c r="F617" s="104" t="s">
        <v>892</v>
      </c>
      <c r="G617" s="103" t="str">
        <f t="shared" si="531"/>
        <v>O</v>
      </c>
      <c r="H617" s="103" t="str">
        <f t="shared" ref="H617:J617" si="554">""</f>
        <v/>
      </c>
      <c r="I617" s="104" t="str">
        <f t="shared" si="554"/>
        <v/>
      </c>
      <c r="J617" s="104" t="str">
        <f t="shared" si="554"/>
        <v/>
      </c>
      <c r="K617" s="104"/>
      <c r="L617" s="105"/>
      <c r="M617" s="104"/>
      <c r="N617" s="104"/>
      <c r="O617" s="104"/>
      <c r="P617" s="104"/>
      <c r="Q617" s="104"/>
      <c r="R617" s="104"/>
      <c r="S617" s="104"/>
      <c r="T617" s="107"/>
      <c r="U617" s="107"/>
    </row>
    <row r="618" ht="15.75" hidden="1" customHeight="1">
      <c r="A618" s="103" t="s">
        <v>92</v>
      </c>
      <c r="B618" s="104" t="str">
        <f>"OverrideMaxAdjustment"</f>
        <v>OverrideMaxAdjustment</v>
      </c>
      <c r="C618" s="104" t="str">
        <f>"yfs_promotion.override_max_adjustment"</f>
        <v>yfs_promotion.override_max_adjustment</v>
      </c>
      <c r="D618" s="104" t="str">
        <f t="shared" si="555"/>
        <v>UNKNOWN</v>
      </c>
      <c r="E618" s="105" t="str">
        <f t="shared" si="556"/>
        <v/>
      </c>
      <c r="F618" s="104" t="s">
        <v>893</v>
      </c>
      <c r="G618" s="103" t="str">
        <f t="shared" si="531"/>
        <v>O</v>
      </c>
      <c r="H618" s="103" t="str">
        <f t="shared" ref="H618:J618" si="557">""</f>
        <v/>
      </c>
      <c r="I618" s="104" t="str">
        <f t="shared" si="557"/>
        <v/>
      </c>
      <c r="J618" s="104" t="str">
        <f t="shared" si="557"/>
        <v/>
      </c>
      <c r="K618" s="104"/>
      <c r="L618" s="105"/>
      <c r="M618" s="104"/>
      <c r="N618" s="104"/>
      <c r="O618" s="104"/>
      <c r="P618" s="104"/>
      <c r="Q618" s="104"/>
      <c r="R618" s="104"/>
      <c r="S618" s="104"/>
      <c r="T618" s="107"/>
      <c r="U618" s="107"/>
    </row>
    <row r="619" ht="15.75" hidden="1" customHeight="1">
      <c r="A619" s="103" t="s">
        <v>92</v>
      </c>
      <c r="B619" s="104" t="str">
        <f>"Priority"</f>
        <v>Priority</v>
      </c>
      <c r="C619" s="104" t="str">
        <f>"yfs_promotion.priority"</f>
        <v>yfs_promotion.priority</v>
      </c>
      <c r="D619" s="104" t="str">
        <f t="shared" si="555"/>
        <v>UNKNOWN</v>
      </c>
      <c r="E619" s="105" t="str">
        <f t="shared" si="556"/>
        <v/>
      </c>
      <c r="F619" s="104" t="s">
        <v>894</v>
      </c>
      <c r="G619" s="103" t="str">
        <f t="shared" si="531"/>
        <v>O</v>
      </c>
      <c r="H619" s="103" t="str">
        <f t="shared" ref="H619:J619" si="558">""</f>
        <v/>
      </c>
      <c r="I619" s="104" t="str">
        <f t="shared" si="558"/>
        <v/>
      </c>
      <c r="J619" s="104" t="str">
        <f t="shared" si="558"/>
        <v/>
      </c>
      <c r="K619" s="104"/>
      <c r="L619" s="105"/>
      <c r="M619" s="104"/>
      <c r="N619" s="104"/>
      <c r="O619" s="104"/>
      <c r="P619" s="104"/>
      <c r="Q619" s="104"/>
      <c r="R619" s="104"/>
      <c r="S619" s="104"/>
      <c r="T619" s="107"/>
      <c r="U619" s="107"/>
    </row>
    <row r="620" ht="15.75" hidden="1" customHeight="1">
      <c r="A620" s="103" t="s">
        <v>92</v>
      </c>
      <c r="B620" s="104" t="str">
        <f>"PromotionApplied"</f>
        <v>PromotionApplied</v>
      </c>
      <c r="C620" s="104" t="str">
        <f>"yfs_promotion.promotion_applied"</f>
        <v>yfs_promotion.promotion_applied</v>
      </c>
      <c r="D620" s="104" t="str">
        <f t="shared" ref="D620:D624" si="560">"string"</f>
        <v>string</v>
      </c>
      <c r="E620" s="105" t="str">
        <f>"1"</f>
        <v>1</v>
      </c>
      <c r="F620" s="104" t="s">
        <v>895</v>
      </c>
      <c r="G620" s="103" t="str">
        <f t="shared" si="531"/>
        <v>O</v>
      </c>
      <c r="H620" s="103" t="str">
        <f>"N"</f>
        <v>N</v>
      </c>
      <c r="I620" s="104" t="str">
        <f t="shared" ref="I620:J620" si="559">""</f>
        <v/>
      </c>
      <c r="J620" s="104" t="str">
        <f t="shared" si="559"/>
        <v/>
      </c>
      <c r="K620" s="104"/>
      <c r="L620" s="105"/>
      <c r="M620" s="104"/>
      <c r="N620" s="104"/>
      <c r="O620" s="104"/>
      <c r="P620" s="104"/>
      <c r="Q620" s="104"/>
      <c r="R620" s="104"/>
      <c r="S620" s="104"/>
      <c r="T620" s="107"/>
      <c r="U620" s="107"/>
    </row>
    <row r="621" ht="15.75" hidden="1" customHeight="1">
      <c r="A621" s="103" t="s">
        <v>92</v>
      </c>
      <c r="B621" s="104" t="str">
        <f>"PromotionCategory"</f>
        <v>PromotionCategory</v>
      </c>
      <c r="C621" s="104" t="str">
        <f>"yfs_promotion.promotion_category"</f>
        <v>yfs_promotion.promotion_category</v>
      </c>
      <c r="D621" s="104" t="str">
        <f t="shared" si="560"/>
        <v>string</v>
      </c>
      <c r="E621" s="105" t="str">
        <f>"24"</f>
        <v>24</v>
      </c>
      <c r="F621" s="104" t="s">
        <v>896</v>
      </c>
      <c r="G621" s="103" t="str">
        <f t="shared" si="531"/>
        <v>O</v>
      </c>
      <c r="H621" s="103" t="str">
        <f t="shared" ref="H621:J621" si="561">""</f>
        <v/>
      </c>
      <c r="I621" s="104" t="str">
        <f t="shared" si="561"/>
        <v/>
      </c>
      <c r="J621" s="104" t="str">
        <f t="shared" si="561"/>
        <v/>
      </c>
      <c r="K621" s="104"/>
      <c r="L621" s="105"/>
      <c r="M621" s="104"/>
      <c r="N621" s="104"/>
      <c r="O621" s="104"/>
      <c r="P621" s="104"/>
      <c r="Q621" s="104"/>
      <c r="R621" s="104"/>
      <c r="S621" s="104"/>
      <c r="T621" s="107"/>
      <c r="U621" s="107"/>
    </row>
    <row r="622" ht="15.75" hidden="1" customHeight="1">
      <c r="A622" s="103" t="s">
        <v>92</v>
      </c>
      <c r="B622" s="104" t="str">
        <f>"PromotionId"</f>
        <v>PromotionId</v>
      </c>
      <c r="C622" s="104" t="str">
        <f>"yfs_promotion.promotion_id"</f>
        <v>yfs_promotion.promotion_id</v>
      </c>
      <c r="D622" s="104" t="str">
        <f t="shared" si="560"/>
        <v>string</v>
      </c>
      <c r="E622" s="105" t="str">
        <f t="shared" ref="E622:E623" si="563">"100"</f>
        <v>100</v>
      </c>
      <c r="F622" s="104" t="s">
        <v>897</v>
      </c>
      <c r="G622" s="103" t="str">
        <f t="shared" si="531"/>
        <v>O</v>
      </c>
      <c r="H622" s="103" t="str">
        <f t="shared" ref="H622:H623" si="564">"space"</f>
        <v>space</v>
      </c>
      <c r="I622" s="104" t="str">
        <f t="shared" ref="I622:J622" si="562">""</f>
        <v/>
      </c>
      <c r="J622" s="104" t="str">
        <f t="shared" si="562"/>
        <v/>
      </c>
      <c r="K622" s="104"/>
      <c r="L622" s="105"/>
      <c r="M622" s="104"/>
      <c r="N622" s="104"/>
      <c r="O622" s="104"/>
      <c r="P622" s="104"/>
      <c r="Q622" s="104"/>
      <c r="R622" s="104"/>
      <c r="S622" s="104"/>
      <c r="T622" s="107"/>
      <c r="U622" s="107"/>
    </row>
    <row r="623" ht="15.75" hidden="1" customHeight="1">
      <c r="A623" s="103" t="s">
        <v>92</v>
      </c>
      <c r="B623" s="104" t="str">
        <f>"PromotionType"</f>
        <v>PromotionType</v>
      </c>
      <c r="C623" s="104" t="str">
        <f>"yfs_promotion.promotion_type"</f>
        <v>yfs_promotion.promotion_type</v>
      </c>
      <c r="D623" s="104" t="str">
        <f t="shared" si="560"/>
        <v>string</v>
      </c>
      <c r="E623" s="105" t="str">
        <f t="shared" si="563"/>
        <v>100</v>
      </c>
      <c r="F623" s="104" t="s">
        <v>898</v>
      </c>
      <c r="G623" s="103" t="str">
        <f t="shared" si="531"/>
        <v>O</v>
      </c>
      <c r="H623" s="103" t="str">
        <f t="shared" si="564"/>
        <v>space</v>
      </c>
      <c r="I623" s="104" t="str">
        <f t="shared" ref="I623:J623" si="565">""</f>
        <v/>
      </c>
      <c r="J623" s="104" t="str">
        <f t="shared" si="565"/>
        <v/>
      </c>
      <c r="K623" s="104"/>
      <c r="L623" s="105"/>
      <c r="M623" s="104"/>
      <c r="N623" s="104"/>
      <c r="O623" s="104"/>
      <c r="P623" s="104"/>
      <c r="Q623" s="104"/>
      <c r="R623" s="104"/>
      <c r="S623" s="104"/>
      <c r="T623" s="107"/>
      <c r="U623" s="107"/>
    </row>
    <row r="624" ht="15.75" hidden="1" customHeight="1">
      <c r="A624" s="103" t="s">
        <v>92</v>
      </c>
      <c r="B624" s="104" t="str">
        <f>"ValidateReferences"</f>
        <v>ValidateReferences</v>
      </c>
      <c r="C624" s="104" t="str">
        <f>""</f>
        <v/>
      </c>
      <c r="D624" s="104" t="str">
        <f t="shared" si="560"/>
        <v>string</v>
      </c>
      <c r="E624" s="105" t="str">
        <f>"1"</f>
        <v>1</v>
      </c>
      <c r="F624" s="104" t="s">
        <v>899</v>
      </c>
      <c r="G624" s="103" t="str">
        <f t="shared" si="531"/>
        <v>O</v>
      </c>
      <c r="H624" s="103" t="str">
        <f t="shared" ref="H624:J624" si="566">""</f>
        <v/>
      </c>
      <c r="I624" s="104" t="str">
        <f t="shared" si="566"/>
        <v/>
      </c>
      <c r="J624" s="104" t="str">
        <f t="shared" si="566"/>
        <v/>
      </c>
      <c r="K624" s="104"/>
      <c r="L624" s="105"/>
      <c r="M624" s="104"/>
      <c r="N624" s="104"/>
      <c r="O624" s="104"/>
      <c r="P624" s="104"/>
      <c r="Q624" s="104"/>
      <c r="R624" s="104"/>
      <c r="S624" s="104"/>
      <c r="T624" s="107"/>
      <c r="U624" s="107"/>
    </row>
    <row r="625" ht="15.75" hidden="1" customHeight="1">
      <c r="A625" s="196" t="s">
        <v>92</v>
      </c>
      <c r="B625" s="170" t="str">
        <f>"/Order/OrderLines/OrderLine/AdditionalLinePrices/AdditionalLinePrice/Awards"</f>
        <v>/Order/OrderLines/OrderLine/AdditionalLinePrices/AdditionalLinePrice/Awards</v>
      </c>
      <c r="C625" s="170"/>
      <c r="D625" s="170"/>
      <c r="E625" s="170"/>
      <c r="F625" s="170"/>
      <c r="G625" s="196" t="str">
        <f t="shared" si="531"/>
        <v>O</v>
      </c>
      <c r="H625" s="170"/>
      <c r="I625" s="170"/>
      <c r="J625" s="170"/>
      <c r="K625" s="170"/>
      <c r="L625" s="170"/>
      <c r="M625" s="170"/>
      <c r="N625" s="170"/>
      <c r="O625" s="170"/>
      <c r="P625" s="170"/>
      <c r="Q625" s="170"/>
      <c r="R625" s="170"/>
      <c r="S625" s="170"/>
      <c r="T625" s="197"/>
      <c r="U625" s="197"/>
    </row>
    <row r="626" ht="15.75" hidden="1" customHeight="1">
      <c r="A626" s="196" t="s">
        <v>92</v>
      </c>
      <c r="B626" s="170" t="str">
        <f>"/Order/OrderLines/OrderLine/AdditionalLinePrices/AdditionalLinePrice/Awards/Award/@"</f>
        <v>/Order/OrderLines/OrderLine/AdditionalLinePrices/AdditionalLinePrice/Awards/Award/@</v>
      </c>
      <c r="C626" s="170"/>
      <c r="D626" s="170"/>
      <c r="E626" s="170"/>
      <c r="F626" s="170"/>
      <c r="G626" s="196" t="str">
        <f t="shared" si="531"/>
        <v>O</v>
      </c>
      <c r="H626" s="170"/>
      <c r="I626" s="170"/>
      <c r="J626" s="170"/>
      <c r="K626" s="170"/>
      <c r="L626" s="170"/>
      <c r="M626" s="170"/>
      <c r="N626" s="170"/>
      <c r="O626" s="170"/>
      <c r="P626" s="170"/>
      <c r="Q626" s="170"/>
      <c r="R626" s="170"/>
      <c r="S626" s="170"/>
      <c r="T626" s="197"/>
      <c r="U626" s="197"/>
    </row>
    <row r="627" ht="15.75" hidden="1" customHeight="1">
      <c r="A627" s="103" t="s">
        <v>92</v>
      </c>
      <c r="B627" s="104" t="str">
        <f>"Action"</f>
        <v>Action</v>
      </c>
      <c r="C627" s="104" t="str">
        <f>""</f>
        <v/>
      </c>
      <c r="D627" s="104" t="str">
        <f>"string"</f>
        <v>string</v>
      </c>
      <c r="E627" s="105" t="str">
        <f>"40"</f>
        <v>40</v>
      </c>
      <c r="F627" s="104" t="s">
        <v>900</v>
      </c>
      <c r="G627" s="103" t="str">
        <f t="shared" si="531"/>
        <v>O</v>
      </c>
      <c r="H627" s="103" t="str">
        <f t="shared" ref="H627:J627" si="567">""</f>
        <v/>
      </c>
      <c r="I627" s="104" t="str">
        <f t="shared" si="567"/>
        <v/>
      </c>
      <c r="J627" s="104" t="str">
        <f t="shared" si="567"/>
        <v/>
      </c>
      <c r="K627" s="104"/>
      <c r="L627" s="105"/>
      <c r="M627" s="104"/>
      <c r="N627" s="104"/>
      <c r="O627" s="104"/>
      <c r="P627" s="104"/>
      <c r="Q627" s="104"/>
      <c r="R627" s="104"/>
      <c r="S627" s="104"/>
      <c r="T627" s="107"/>
      <c r="U627" s="107"/>
    </row>
    <row r="628" ht="15.75" hidden="1" customHeight="1">
      <c r="A628" s="103" t="s">
        <v>92</v>
      </c>
      <c r="B628" s="104" t="str">
        <f>"AwardAmount"</f>
        <v>AwardAmount</v>
      </c>
      <c r="C628" s="104" t="str">
        <f>"yfs_promotion_award.award_amount"</f>
        <v>yfs_promotion_award.award_amount</v>
      </c>
      <c r="D628" s="104" t="str">
        <f>"UNKNOWN"</f>
        <v>UNKNOWN</v>
      </c>
      <c r="E628" s="105" t="str">
        <f>""</f>
        <v/>
      </c>
      <c r="F628" s="104" t="s">
        <v>901</v>
      </c>
      <c r="G628" s="103" t="str">
        <f t="shared" si="531"/>
        <v>O</v>
      </c>
      <c r="H628" s="103" t="str">
        <f>"0 "</f>
        <v>0 </v>
      </c>
      <c r="I628" s="104" t="str">
        <f t="shared" ref="I628:J628" si="568">""</f>
        <v/>
      </c>
      <c r="J628" s="104" t="str">
        <f t="shared" si="568"/>
        <v/>
      </c>
      <c r="K628" s="104"/>
      <c r="L628" s="105"/>
      <c r="M628" s="104"/>
      <c r="N628" s="104"/>
      <c r="O628" s="104"/>
      <c r="P628" s="104"/>
      <c r="Q628" s="104"/>
      <c r="R628" s="104"/>
      <c r="S628" s="104"/>
      <c r="T628" s="107"/>
      <c r="U628" s="107"/>
    </row>
    <row r="629" ht="15.75" hidden="1" customHeight="1">
      <c r="A629" s="103" t="s">
        <v>92</v>
      </c>
      <c r="B629" s="104" t="str">
        <f>"AwardApplied"</f>
        <v>AwardApplied</v>
      </c>
      <c r="C629" s="104" t="str">
        <f>"yfs_promotion_award.award_applied"</f>
        <v>yfs_promotion_award.award_applied</v>
      </c>
      <c r="D629" s="104" t="str">
        <f t="shared" ref="D629:D630" si="570">"string"</f>
        <v>string</v>
      </c>
      <c r="E629" s="105" t="str">
        <f>"1"</f>
        <v>1</v>
      </c>
      <c r="F629" s="104" t="s">
        <v>902</v>
      </c>
      <c r="G629" s="103" t="str">
        <f t="shared" si="531"/>
        <v>O</v>
      </c>
      <c r="H629" s="103" t="str">
        <f>"N"</f>
        <v>N</v>
      </c>
      <c r="I629" s="104" t="str">
        <f t="shared" ref="I629:J629" si="569">""</f>
        <v/>
      </c>
      <c r="J629" s="104" t="str">
        <f t="shared" si="569"/>
        <v/>
      </c>
      <c r="K629" s="104"/>
      <c r="L629" s="105"/>
      <c r="M629" s="104"/>
      <c r="N629" s="104"/>
      <c r="O629" s="104"/>
      <c r="P629" s="104"/>
      <c r="Q629" s="104"/>
      <c r="R629" s="104"/>
      <c r="S629" s="104"/>
      <c r="T629" s="107"/>
      <c r="U629" s="107"/>
    </row>
    <row r="630" ht="15.75" hidden="1" customHeight="1">
      <c r="A630" s="103" t="s">
        <v>92</v>
      </c>
      <c r="B630" s="104" t="str">
        <f>"AwardId"</f>
        <v>AwardId</v>
      </c>
      <c r="C630" s="104" t="str">
        <f>"yfs_promotion_award.award_id"</f>
        <v>yfs_promotion_award.award_id</v>
      </c>
      <c r="D630" s="104" t="str">
        <f t="shared" si="570"/>
        <v>string</v>
      </c>
      <c r="E630" s="105" t="str">
        <f>"120"</f>
        <v>120</v>
      </c>
      <c r="F630" s="104" t="s">
        <v>903</v>
      </c>
      <c r="G630" s="103" t="str">
        <f t="shared" si="531"/>
        <v>O</v>
      </c>
      <c r="H630" s="103" t="str">
        <f>"space"</f>
        <v>space</v>
      </c>
      <c r="I630" s="104" t="str">
        <f t="shared" ref="I630:J630" si="571">""</f>
        <v/>
      </c>
      <c r="J630" s="104" t="str">
        <f t="shared" si="571"/>
        <v/>
      </c>
      <c r="K630" s="104"/>
      <c r="L630" s="105"/>
      <c r="M630" s="104"/>
      <c r="N630" s="104"/>
      <c r="O630" s="104"/>
      <c r="P630" s="104"/>
      <c r="Q630" s="104"/>
      <c r="R630" s="104"/>
      <c r="S630" s="104"/>
      <c r="T630" s="107"/>
      <c r="U630" s="107"/>
    </row>
    <row r="631" ht="15.75" hidden="1" customHeight="1">
      <c r="A631" s="103" t="s">
        <v>92</v>
      </c>
      <c r="B631" s="104" t="str">
        <f>"AwardQuantity"</f>
        <v>AwardQuantity</v>
      </c>
      <c r="C631" s="104" t="str">
        <f>"yfs_promotion_award.award_quantity"</f>
        <v>yfs_promotion_award.award_quantity</v>
      </c>
      <c r="D631" s="104" t="str">
        <f>"UNKNOWN"</f>
        <v>UNKNOWN</v>
      </c>
      <c r="E631" s="105" t="str">
        <f>""</f>
        <v/>
      </c>
      <c r="F631" s="104" t="s">
        <v>904</v>
      </c>
      <c r="G631" s="103" t="str">
        <f t="shared" si="531"/>
        <v>O</v>
      </c>
      <c r="H631" s="103" t="str">
        <f t="shared" ref="H631:J631" si="572">""</f>
        <v/>
      </c>
      <c r="I631" s="104" t="str">
        <f t="shared" si="572"/>
        <v/>
      </c>
      <c r="J631" s="104" t="str">
        <f t="shared" si="572"/>
        <v/>
      </c>
      <c r="K631" s="104"/>
      <c r="L631" s="105"/>
      <c r="M631" s="104"/>
      <c r="N631" s="104"/>
      <c r="O631" s="104"/>
      <c r="P631" s="104"/>
      <c r="Q631" s="104"/>
      <c r="R631" s="104"/>
      <c r="S631" s="104"/>
      <c r="T631" s="107"/>
      <c r="U631" s="107"/>
    </row>
    <row r="632" ht="15.75" hidden="1" customHeight="1">
      <c r="A632" s="103" t="s">
        <v>92</v>
      </c>
      <c r="B632" s="104" t="str">
        <f>"AwardType"</f>
        <v>AwardType</v>
      </c>
      <c r="C632" s="104" t="str">
        <f>"yfs_promotion_award.award_type"</f>
        <v>yfs_promotion_award.award_type</v>
      </c>
      <c r="D632" s="104" t="str">
        <f t="shared" ref="D632:D638" si="574">"string"</f>
        <v>string</v>
      </c>
      <c r="E632" s="105" t="str">
        <f>"100"</f>
        <v>100</v>
      </c>
      <c r="F632" s="104" t="s">
        <v>905</v>
      </c>
      <c r="G632" s="103" t="str">
        <f t="shared" si="531"/>
        <v>O</v>
      </c>
      <c r="H632" s="103" t="str">
        <f>"space"</f>
        <v>space</v>
      </c>
      <c r="I632" s="104" t="str">
        <f t="shared" ref="I632:J632" si="573">""</f>
        <v/>
      </c>
      <c r="J632" s="104" t="str">
        <f t="shared" si="573"/>
        <v/>
      </c>
      <c r="K632" s="104"/>
      <c r="L632" s="105"/>
      <c r="M632" s="104"/>
      <c r="N632" s="104"/>
      <c r="O632" s="104"/>
      <c r="P632" s="104"/>
      <c r="Q632" s="104"/>
      <c r="R632" s="104"/>
      <c r="S632" s="104"/>
      <c r="T632" s="107"/>
      <c r="U632" s="107"/>
    </row>
    <row r="633" ht="15.75" hidden="1" customHeight="1">
      <c r="A633" s="103" t="s">
        <v>92</v>
      </c>
      <c r="B633" s="104" t="str">
        <f>"ChargeCategory"</f>
        <v>ChargeCategory</v>
      </c>
      <c r="C633" s="104" t="str">
        <f>"yfs_promotion_award.charge_category"</f>
        <v>yfs_promotion_award.charge_category</v>
      </c>
      <c r="D633" s="104" t="str">
        <f t="shared" si="574"/>
        <v>string</v>
      </c>
      <c r="E633" s="105" t="str">
        <f>"20"</f>
        <v>20</v>
      </c>
      <c r="F633" s="104" t="s">
        <v>906</v>
      </c>
      <c r="G633" s="103" t="str">
        <f t="shared" si="531"/>
        <v>O</v>
      </c>
      <c r="H633" s="103" t="str">
        <f t="shared" ref="H633:H634" si="576">"null"</f>
        <v>null</v>
      </c>
      <c r="I633" s="104" t="str">
        <f t="shared" ref="I633:J633" si="575">""</f>
        <v/>
      </c>
      <c r="J633" s="104" t="str">
        <f t="shared" si="575"/>
        <v/>
      </c>
      <c r="K633" s="104"/>
      <c r="L633" s="105"/>
      <c r="M633" s="104"/>
      <c r="N633" s="104"/>
      <c r="O633" s="104"/>
      <c r="P633" s="104"/>
      <c r="Q633" s="104"/>
      <c r="R633" s="104"/>
      <c r="S633" s="104"/>
      <c r="T633" s="107"/>
      <c r="U633" s="107"/>
    </row>
    <row r="634" ht="15.75" hidden="1" customHeight="1">
      <c r="A634" s="103" t="s">
        <v>92</v>
      </c>
      <c r="B634" s="104" t="str">
        <f>"ChargeName"</f>
        <v>ChargeName</v>
      </c>
      <c r="C634" s="104" t="str">
        <f>"yfs_promotion_award.charge_name"</f>
        <v>yfs_promotion_award.charge_name</v>
      </c>
      <c r="D634" s="104" t="str">
        <f t="shared" si="574"/>
        <v>string</v>
      </c>
      <c r="E634" s="105" t="str">
        <f>"40"</f>
        <v>40</v>
      </c>
      <c r="F634" s="104" t="s">
        <v>907</v>
      </c>
      <c r="G634" s="103" t="str">
        <f t="shared" si="531"/>
        <v>O</v>
      </c>
      <c r="H634" s="103" t="str">
        <f t="shared" si="576"/>
        <v>null</v>
      </c>
      <c r="I634" s="104" t="str">
        <f t="shared" ref="I634:J634" si="577">""</f>
        <v/>
      </c>
      <c r="J634" s="104" t="str">
        <f t="shared" si="577"/>
        <v/>
      </c>
      <c r="K634" s="104"/>
      <c r="L634" s="105"/>
      <c r="M634" s="104"/>
      <c r="N634" s="104"/>
      <c r="O634" s="104"/>
      <c r="P634" s="104"/>
      <c r="Q634" s="104"/>
      <c r="R634" s="104"/>
      <c r="S634" s="104"/>
      <c r="T634" s="107"/>
      <c r="U634" s="107"/>
    </row>
    <row r="635" ht="15.75" hidden="1" customHeight="1">
      <c r="A635" s="103" t="s">
        <v>92</v>
      </c>
      <c r="B635" s="104" t="str">
        <f>"DenialReason"</f>
        <v>DenialReason</v>
      </c>
      <c r="C635" s="104" t="str">
        <f>"yfs_promotion_award.denial_reason"</f>
        <v>yfs_promotion_award.denial_reason</v>
      </c>
      <c r="D635" s="104" t="str">
        <f t="shared" si="574"/>
        <v>string</v>
      </c>
      <c r="E635" s="105" t="str">
        <f>"100"</f>
        <v>100</v>
      </c>
      <c r="F635" s="104" t="s">
        <v>908</v>
      </c>
      <c r="G635" s="103" t="str">
        <f t="shared" si="531"/>
        <v>O</v>
      </c>
      <c r="H635" s="103" t="str">
        <f t="shared" ref="H635:H638" si="579">"space"</f>
        <v>space</v>
      </c>
      <c r="I635" s="104" t="str">
        <f t="shared" ref="I635:J635" si="578">""</f>
        <v/>
      </c>
      <c r="J635" s="104" t="str">
        <f t="shared" si="578"/>
        <v/>
      </c>
      <c r="K635" s="104"/>
      <c r="L635" s="105"/>
      <c r="M635" s="104"/>
      <c r="N635" s="104"/>
      <c r="O635" s="104"/>
      <c r="P635" s="104"/>
      <c r="Q635" s="104"/>
      <c r="R635" s="104"/>
      <c r="S635" s="104"/>
      <c r="T635" s="107"/>
      <c r="U635" s="107"/>
    </row>
    <row r="636" ht="15.75" hidden="1" customHeight="1">
      <c r="A636" s="103" t="s">
        <v>92</v>
      </c>
      <c r="B636" s="104" t="str">
        <f>"Description"</f>
        <v>Description</v>
      </c>
      <c r="C636" s="104" t="str">
        <f>"yfs_promotion_award.description"</f>
        <v>yfs_promotion_award.description</v>
      </c>
      <c r="D636" s="104" t="str">
        <f t="shared" si="574"/>
        <v>string</v>
      </c>
      <c r="E636" s="105" t="str">
        <f>"2000"</f>
        <v>2000</v>
      </c>
      <c r="F636" s="104" t="s">
        <v>909</v>
      </c>
      <c r="G636" s="103" t="str">
        <f t="shared" si="531"/>
        <v>O</v>
      </c>
      <c r="H636" s="103" t="str">
        <f t="shared" si="579"/>
        <v>space</v>
      </c>
      <c r="I636" s="104" t="str">
        <f t="shared" ref="I636:J636" si="580">""</f>
        <v/>
      </c>
      <c r="J636" s="104" t="str">
        <f t="shared" si="580"/>
        <v/>
      </c>
      <c r="K636" s="104"/>
      <c r="L636" s="105"/>
      <c r="M636" s="104"/>
      <c r="N636" s="104"/>
      <c r="O636" s="104"/>
      <c r="P636" s="104"/>
      <c r="Q636" s="104"/>
      <c r="R636" s="104"/>
      <c r="S636" s="104"/>
      <c r="T636" s="107"/>
      <c r="U636" s="107"/>
    </row>
    <row r="637" ht="15.75" hidden="1" customHeight="1">
      <c r="A637" s="103" t="s">
        <v>92</v>
      </c>
      <c r="B637" s="104" t="str">
        <f>"PosReasonCode"</f>
        <v>PosReasonCode</v>
      </c>
      <c r="C637" s="104" t="str">
        <f>"yfs_promotion_award.pos_reason_code"</f>
        <v>yfs_promotion_award.pos_reason_code</v>
      </c>
      <c r="D637" s="104" t="str">
        <f t="shared" si="574"/>
        <v>string</v>
      </c>
      <c r="E637" s="105" t="str">
        <f t="shared" ref="E637:E638" si="582">"100"</f>
        <v>100</v>
      </c>
      <c r="F637" s="104" t="s">
        <v>911</v>
      </c>
      <c r="G637" s="103" t="str">
        <f t="shared" si="531"/>
        <v>O</v>
      </c>
      <c r="H637" s="103" t="str">
        <f t="shared" si="579"/>
        <v>space</v>
      </c>
      <c r="I637" s="104" t="str">
        <f t="shared" ref="I637:J637" si="581">""</f>
        <v/>
      </c>
      <c r="J637" s="104" t="str">
        <f t="shared" si="581"/>
        <v/>
      </c>
      <c r="K637" s="104"/>
      <c r="L637" s="105"/>
      <c r="M637" s="104"/>
      <c r="N637" s="104"/>
      <c r="O637" s="104"/>
      <c r="P637" s="104"/>
      <c r="Q637" s="104"/>
      <c r="R637" s="104"/>
      <c r="S637" s="104"/>
      <c r="T637" s="107"/>
      <c r="U637" s="107"/>
    </row>
    <row r="638" ht="15.75" hidden="1" customHeight="1">
      <c r="A638" s="103" t="s">
        <v>92</v>
      </c>
      <c r="B638" s="104" t="str">
        <f>"PromotionId"</f>
        <v>PromotionId</v>
      </c>
      <c r="C638" s="104" t="str">
        <f>"yfs_promotion_award.promotion_id"</f>
        <v>yfs_promotion_award.promotion_id</v>
      </c>
      <c r="D638" s="104" t="str">
        <f t="shared" si="574"/>
        <v>string</v>
      </c>
      <c r="E638" s="105" t="str">
        <f t="shared" si="582"/>
        <v>100</v>
      </c>
      <c r="F638" s="104" t="s">
        <v>912</v>
      </c>
      <c r="G638" s="103" t="str">
        <f t="shared" si="531"/>
        <v>O</v>
      </c>
      <c r="H638" s="103" t="str">
        <f t="shared" si="579"/>
        <v>space</v>
      </c>
      <c r="I638" s="104" t="str">
        <f t="shared" ref="I638:J638" si="583">""</f>
        <v/>
      </c>
      <c r="J638" s="104" t="str">
        <f t="shared" si="583"/>
        <v/>
      </c>
      <c r="K638" s="104"/>
      <c r="L638" s="105"/>
      <c r="M638" s="104"/>
      <c r="N638" s="104"/>
      <c r="O638" s="104"/>
      <c r="P638" s="104"/>
      <c r="Q638" s="104"/>
      <c r="R638" s="104"/>
      <c r="S638" s="104"/>
      <c r="T638" s="107"/>
      <c r="U638" s="107"/>
    </row>
    <row r="639" ht="15.75" hidden="1" customHeight="1">
      <c r="A639" s="196" t="s">
        <v>92</v>
      </c>
      <c r="B639" s="170" t="str">
        <f>"/Order/ProductServiceAssocs"</f>
        <v>/Order/ProductServiceAssocs</v>
      </c>
      <c r="C639" s="170"/>
      <c r="D639" s="170"/>
      <c r="E639" s="170"/>
      <c r="F639" s="170"/>
      <c r="G639" s="196" t="str">
        <f t="shared" si="531"/>
        <v>O</v>
      </c>
      <c r="H639" s="170"/>
      <c r="I639" s="170"/>
      <c r="J639" s="170"/>
      <c r="K639" s="170"/>
      <c r="L639" s="170"/>
      <c r="M639" s="170"/>
      <c r="N639" s="170"/>
      <c r="O639" s="170"/>
      <c r="P639" s="170"/>
      <c r="Q639" s="170"/>
      <c r="R639" s="170"/>
      <c r="S639" s="170"/>
      <c r="T639" s="197"/>
      <c r="U639" s="197"/>
    </row>
    <row r="640" ht="15.75" hidden="1" customHeight="1">
      <c r="A640" s="196" t="s">
        <v>92</v>
      </c>
      <c r="B640" s="170" t="str">
        <f>"/Order/ProductServiceAssocs/ProductServiceAssoc"</f>
        <v>/Order/ProductServiceAssocs/ProductServiceAssoc</v>
      </c>
      <c r="C640" s="170"/>
      <c r="D640" s="170"/>
      <c r="E640" s="170"/>
      <c r="F640" s="170"/>
      <c r="G640" s="196" t="str">
        <f t="shared" si="531"/>
        <v>O</v>
      </c>
      <c r="H640" s="170"/>
      <c r="I640" s="170"/>
      <c r="J640" s="170"/>
      <c r="K640" s="170"/>
      <c r="L640" s="170"/>
      <c r="M640" s="170"/>
      <c r="N640" s="170"/>
      <c r="O640" s="170"/>
      <c r="P640" s="170"/>
      <c r="Q640" s="170"/>
      <c r="R640" s="170"/>
      <c r="S640" s="170"/>
      <c r="T640" s="197"/>
      <c r="U640" s="197"/>
    </row>
    <row r="641" ht="15.75" hidden="1" customHeight="1">
      <c r="A641" s="196" t="s">
        <v>92</v>
      </c>
      <c r="B641" s="170" t="str">
        <f>"/Order/ProductServiceAssocs/ProductServiceAssoc/ProductLine/@"</f>
        <v>/Order/ProductServiceAssocs/ProductServiceAssoc/ProductLine/@</v>
      </c>
      <c r="C641" s="170"/>
      <c r="D641" s="170"/>
      <c r="E641" s="170"/>
      <c r="F641" s="170"/>
      <c r="G641" s="196" t="str">
        <f t="shared" si="531"/>
        <v>O</v>
      </c>
      <c r="H641" s="170"/>
      <c r="I641" s="170"/>
      <c r="J641" s="170"/>
      <c r="K641" s="170"/>
      <c r="L641" s="170"/>
      <c r="M641" s="170"/>
      <c r="N641" s="170"/>
      <c r="O641" s="170"/>
      <c r="P641" s="170"/>
      <c r="Q641" s="170"/>
      <c r="R641" s="170"/>
      <c r="S641" s="170"/>
      <c r="T641" s="197"/>
      <c r="U641" s="197"/>
    </row>
    <row r="642" ht="15.75" hidden="1" customHeight="1">
      <c r="A642" s="103" t="s">
        <v>92</v>
      </c>
      <c r="B642" s="104" t="str">
        <f>"OrderLineKey"</f>
        <v>OrderLineKey</v>
      </c>
      <c r="C642" s="104" t="str">
        <f>"yfs_order_line.order_line_key"</f>
        <v>yfs_order_line.order_line_key</v>
      </c>
      <c r="D642" s="104" t="str">
        <f>"string"</f>
        <v>string</v>
      </c>
      <c r="E642" s="105" t="str">
        <f>"24"</f>
        <v>24</v>
      </c>
      <c r="F642" s="104" t="s">
        <v>927</v>
      </c>
      <c r="G642" s="103" t="str">
        <f t="shared" si="531"/>
        <v>O</v>
      </c>
      <c r="H642" s="103" t="str">
        <f>"space"</f>
        <v>space</v>
      </c>
      <c r="I642" s="104" t="str">
        <f t="shared" ref="I642:I644" si="584">""</f>
        <v/>
      </c>
      <c r="J642" s="104" t="str">
        <f>"2010050314595404020"</f>
        <v>2010050314595404020</v>
      </c>
      <c r="K642" s="104"/>
      <c r="L642" s="105"/>
      <c r="M642" s="104"/>
      <c r="N642" s="104"/>
      <c r="O642" s="104"/>
      <c r="P642" s="104"/>
      <c r="Q642" s="104"/>
      <c r="R642" s="104"/>
      <c r="S642" s="104"/>
      <c r="T642" s="107"/>
      <c r="U642" s="107"/>
    </row>
    <row r="643" ht="15.75" hidden="1" customHeight="1">
      <c r="A643" s="103" t="s">
        <v>92</v>
      </c>
      <c r="B643" s="104" t="str">
        <f>"PrimeLineNo"</f>
        <v>PrimeLineNo</v>
      </c>
      <c r="C643" s="104" t="str">
        <f>"yfs_order_line.prime_line_no"</f>
        <v>yfs_order_line.prime_line_no</v>
      </c>
      <c r="D643" s="104" t="str">
        <f t="shared" ref="D643:D644" si="585">"nonNegativeInteger"</f>
        <v>nonNegativeInteger</v>
      </c>
      <c r="E643" s="105" t="str">
        <f t="shared" ref="E643:E644" si="586">"5"</f>
        <v>5</v>
      </c>
      <c r="F643" s="104" t="s">
        <v>928</v>
      </c>
      <c r="G643" s="103" t="str">
        <f t="shared" si="531"/>
        <v>O</v>
      </c>
      <c r="H643" s="103" t="str">
        <f t="shared" ref="H643:H644" si="587">"0 "</f>
        <v>0 </v>
      </c>
      <c r="I643" s="104" t="str">
        <f t="shared" si="584"/>
        <v/>
      </c>
      <c r="J643" s="104" t="str">
        <f t="shared" ref="J643:J644" si="588">"1"</f>
        <v>1</v>
      </c>
      <c r="K643" s="104"/>
      <c r="L643" s="105"/>
      <c r="M643" s="104"/>
      <c r="N643" s="104"/>
      <c r="O643" s="104"/>
      <c r="P643" s="104"/>
      <c r="Q643" s="104"/>
      <c r="R643" s="104"/>
      <c r="S643" s="104"/>
      <c r="T643" s="107"/>
      <c r="U643" s="107"/>
    </row>
    <row r="644" ht="15.75" hidden="1" customHeight="1">
      <c r="A644" s="103" t="s">
        <v>92</v>
      </c>
      <c r="B644" s="104" t="str">
        <f>"SubLineNo"</f>
        <v>SubLineNo</v>
      </c>
      <c r="C644" s="104" t="str">
        <f>"yfs_order_line.sub_line_no"</f>
        <v>yfs_order_line.sub_line_no</v>
      </c>
      <c r="D644" s="104" t="str">
        <f t="shared" si="585"/>
        <v>nonNegativeInteger</v>
      </c>
      <c r="E644" s="105" t="str">
        <f t="shared" si="586"/>
        <v>5</v>
      </c>
      <c r="F644" s="104" t="s">
        <v>929</v>
      </c>
      <c r="G644" s="103" t="str">
        <f t="shared" si="531"/>
        <v>O</v>
      </c>
      <c r="H644" s="103" t="str">
        <f t="shared" si="587"/>
        <v>0 </v>
      </c>
      <c r="I644" s="104" t="str">
        <f t="shared" si="584"/>
        <v/>
      </c>
      <c r="J644" s="104" t="str">
        <f t="shared" si="588"/>
        <v>1</v>
      </c>
      <c r="K644" s="104"/>
      <c r="L644" s="105"/>
      <c r="M644" s="104"/>
      <c r="N644" s="104"/>
      <c r="O644" s="104"/>
      <c r="P644" s="104"/>
      <c r="Q644" s="104"/>
      <c r="R644" s="104"/>
      <c r="S644" s="104"/>
      <c r="T644" s="107"/>
      <c r="U644" s="107"/>
    </row>
    <row r="645" ht="15.75" hidden="1" customHeight="1">
      <c r="A645" s="103" t="s">
        <v>92</v>
      </c>
      <c r="B645" s="104" t="str">
        <f>"TransactionalLineId"</f>
        <v>TransactionalLineId</v>
      </c>
      <c r="C645" s="104" t="str">
        <f>""</f>
        <v/>
      </c>
      <c r="D645" s="104" t="str">
        <f>"string"</f>
        <v>string</v>
      </c>
      <c r="E645" s="105" t="str">
        <f>"40"</f>
        <v>40</v>
      </c>
      <c r="F645" s="104" t="s">
        <v>930</v>
      </c>
      <c r="G645" s="103" t="str">
        <f t="shared" si="531"/>
        <v>O</v>
      </c>
      <c r="H645" s="103" t="str">
        <f t="shared" ref="H645:J645" si="589">""</f>
        <v/>
      </c>
      <c r="I645" s="104" t="str">
        <f t="shared" si="589"/>
        <v/>
      </c>
      <c r="J645" s="104" t="str">
        <f t="shared" si="589"/>
        <v/>
      </c>
      <c r="K645" s="104"/>
      <c r="L645" s="105"/>
      <c r="M645" s="104"/>
      <c r="N645" s="104"/>
      <c r="O645" s="104"/>
      <c r="P645" s="104"/>
      <c r="Q645" s="104"/>
      <c r="R645" s="104"/>
      <c r="S645" s="104"/>
      <c r="T645" s="107"/>
      <c r="U645" s="107"/>
    </row>
    <row r="646" ht="15.75" hidden="1" customHeight="1">
      <c r="A646" s="196" t="s">
        <v>92</v>
      </c>
      <c r="B646" s="170" t="str">
        <f>"/Order/ProductServiceAssocs/ProductServiceAssoc/ServiceLine/@"</f>
        <v>/Order/ProductServiceAssocs/ProductServiceAssoc/ServiceLine/@</v>
      </c>
      <c r="C646" s="170"/>
      <c r="D646" s="170"/>
      <c r="E646" s="170"/>
      <c r="F646" s="170"/>
      <c r="G646" s="196" t="str">
        <f t="shared" si="531"/>
        <v>O</v>
      </c>
      <c r="H646" s="170"/>
      <c r="I646" s="170"/>
      <c r="J646" s="170"/>
      <c r="K646" s="170"/>
      <c r="L646" s="170"/>
      <c r="M646" s="170"/>
      <c r="N646" s="170"/>
      <c r="O646" s="170"/>
      <c r="P646" s="170"/>
      <c r="Q646" s="170"/>
      <c r="R646" s="170"/>
      <c r="S646" s="170"/>
      <c r="T646" s="197"/>
      <c r="U646" s="197"/>
    </row>
    <row r="647" ht="15.75" hidden="1" customHeight="1">
      <c r="A647" s="103" t="s">
        <v>92</v>
      </c>
      <c r="B647" s="104" t="str">
        <f>"OrderLineKey"</f>
        <v>OrderLineKey</v>
      </c>
      <c r="C647" s="104" t="str">
        <f>"yfs_order_line.order_line_key"</f>
        <v>yfs_order_line.order_line_key</v>
      </c>
      <c r="D647" s="104" t="str">
        <f>"string"</f>
        <v>string</v>
      </c>
      <c r="E647" s="105" t="str">
        <f>"24"</f>
        <v>24</v>
      </c>
      <c r="F647" s="104" t="s">
        <v>941</v>
      </c>
      <c r="G647" s="103" t="str">
        <f t="shared" si="531"/>
        <v>O</v>
      </c>
      <c r="H647" s="103" t="str">
        <f>"space"</f>
        <v>space</v>
      </c>
      <c r="I647" s="104" t="str">
        <f t="shared" ref="I647:I649" si="590">""</f>
        <v/>
      </c>
      <c r="J647" s="104" t="str">
        <f>"2010050314595404020"</f>
        <v>2010050314595404020</v>
      </c>
      <c r="K647" s="104"/>
      <c r="L647" s="105"/>
      <c r="M647" s="104"/>
      <c r="N647" s="104"/>
      <c r="O647" s="104"/>
      <c r="P647" s="104"/>
      <c r="Q647" s="104"/>
      <c r="R647" s="104"/>
      <c r="S647" s="104"/>
      <c r="T647" s="107"/>
      <c r="U647" s="107"/>
    </row>
    <row r="648" ht="15.75" hidden="1" customHeight="1">
      <c r="A648" s="103" t="s">
        <v>92</v>
      </c>
      <c r="B648" s="104" t="str">
        <f>"PrimeLineNo"</f>
        <v>PrimeLineNo</v>
      </c>
      <c r="C648" s="104" t="str">
        <f>"yfs_order_line.prime_line_no"</f>
        <v>yfs_order_line.prime_line_no</v>
      </c>
      <c r="D648" s="104" t="str">
        <f t="shared" ref="D648:D649" si="591">"nonNegativeInteger"</f>
        <v>nonNegativeInteger</v>
      </c>
      <c r="E648" s="105" t="str">
        <f t="shared" ref="E648:E649" si="592">"5"</f>
        <v>5</v>
      </c>
      <c r="F648" s="104" t="s">
        <v>942</v>
      </c>
      <c r="G648" s="103" t="str">
        <f t="shared" si="531"/>
        <v>O</v>
      </c>
      <c r="H648" s="103" t="str">
        <f t="shared" ref="H648:H649" si="593">"0 "</f>
        <v>0 </v>
      </c>
      <c r="I648" s="104" t="str">
        <f t="shared" si="590"/>
        <v/>
      </c>
      <c r="J648" s="104" t="str">
        <f t="shared" ref="J648:J649" si="594">"1"</f>
        <v>1</v>
      </c>
      <c r="K648" s="104"/>
      <c r="L648" s="105"/>
      <c r="M648" s="104"/>
      <c r="N648" s="104"/>
      <c r="O648" s="104"/>
      <c r="P648" s="104"/>
      <c r="Q648" s="104"/>
      <c r="R648" s="104"/>
      <c r="S648" s="104"/>
      <c r="T648" s="107"/>
      <c r="U648" s="107"/>
    </row>
    <row r="649" ht="15.75" hidden="1" customHeight="1">
      <c r="A649" s="103" t="s">
        <v>92</v>
      </c>
      <c r="B649" s="104" t="str">
        <f>"SubLineNo"</f>
        <v>SubLineNo</v>
      </c>
      <c r="C649" s="104" t="str">
        <f>"yfs_order_line.sub_line_no"</f>
        <v>yfs_order_line.sub_line_no</v>
      </c>
      <c r="D649" s="104" t="str">
        <f t="shared" si="591"/>
        <v>nonNegativeInteger</v>
      </c>
      <c r="E649" s="105" t="str">
        <f t="shared" si="592"/>
        <v>5</v>
      </c>
      <c r="F649" s="104" t="s">
        <v>943</v>
      </c>
      <c r="G649" s="103" t="str">
        <f t="shared" si="531"/>
        <v>O</v>
      </c>
      <c r="H649" s="103" t="str">
        <f t="shared" si="593"/>
        <v>0 </v>
      </c>
      <c r="I649" s="104" t="str">
        <f t="shared" si="590"/>
        <v/>
      </c>
      <c r="J649" s="104" t="str">
        <f t="shared" si="594"/>
        <v>1</v>
      </c>
      <c r="K649" s="104"/>
      <c r="L649" s="105"/>
      <c r="M649" s="104"/>
      <c r="N649" s="104"/>
      <c r="O649" s="104"/>
      <c r="P649" s="104"/>
      <c r="Q649" s="104"/>
      <c r="R649" s="104"/>
      <c r="S649" s="104"/>
      <c r="T649" s="107"/>
      <c r="U649" s="107"/>
    </row>
    <row r="650" ht="15.75" hidden="1" customHeight="1">
      <c r="A650" s="103" t="s">
        <v>92</v>
      </c>
      <c r="B650" s="104" t="str">
        <f>"TransactionalLineId"</f>
        <v>TransactionalLineId</v>
      </c>
      <c r="C650" s="104" t="str">
        <f>""</f>
        <v/>
      </c>
      <c r="D650" s="104" t="str">
        <f>"string"</f>
        <v>string</v>
      </c>
      <c r="E650" s="105" t="str">
        <f>"40"</f>
        <v>40</v>
      </c>
      <c r="F650" s="104" t="s">
        <v>930</v>
      </c>
      <c r="G650" s="103" t="str">
        <f t="shared" si="531"/>
        <v>O</v>
      </c>
      <c r="H650" s="103" t="str">
        <f t="shared" ref="H650:J650" si="595">""</f>
        <v/>
      </c>
      <c r="I650" s="104" t="str">
        <f t="shared" si="595"/>
        <v/>
      </c>
      <c r="J650" s="104" t="str">
        <f t="shared" si="595"/>
        <v/>
      </c>
      <c r="K650" s="104"/>
      <c r="L650" s="105"/>
      <c r="M650" s="104"/>
      <c r="N650" s="104"/>
      <c r="O650" s="104"/>
      <c r="P650" s="104"/>
      <c r="Q650" s="104"/>
      <c r="R650" s="104"/>
      <c r="S650" s="104"/>
      <c r="T650" s="107"/>
      <c r="U650" s="107"/>
    </row>
    <row r="651" ht="15.75" hidden="1" customHeight="1">
      <c r="A651" s="196" t="s">
        <v>92</v>
      </c>
      <c r="B651" s="170" t="str">
        <f>"/Order/OrderLineRelationships"</f>
        <v>/Order/OrderLineRelationships</v>
      </c>
      <c r="C651" s="170"/>
      <c r="D651" s="170"/>
      <c r="E651" s="170"/>
      <c r="F651" s="170"/>
      <c r="G651" s="196" t="str">
        <f t="shared" si="531"/>
        <v>O</v>
      </c>
      <c r="H651" s="170"/>
      <c r="I651" s="170"/>
      <c r="J651" s="170"/>
      <c r="K651" s="170"/>
      <c r="L651" s="170"/>
      <c r="M651" s="170"/>
      <c r="N651" s="170"/>
      <c r="O651" s="170"/>
      <c r="P651" s="170"/>
      <c r="Q651" s="170"/>
      <c r="R651" s="170"/>
      <c r="S651" s="170"/>
      <c r="T651" s="197"/>
      <c r="U651" s="197"/>
    </row>
    <row r="652" ht="15.75" hidden="1" customHeight="1">
      <c r="A652" s="196" t="s">
        <v>92</v>
      </c>
      <c r="B652" s="170" t="str">
        <f>"/Order/OrderLineRelationships/OrderLineRelationship/@"</f>
        <v>/Order/OrderLineRelationships/OrderLineRelationship/@</v>
      </c>
      <c r="C652" s="170"/>
      <c r="D652" s="170"/>
      <c r="E652" s="170"/>
      <c r="F652" s="170"/>
      <c r="G652" s="196" t="str">
        <f t="shared" si="531"/>
        <v>O</v>
      </c>
      <c r="H652" s="170"/>
      <c r="I652" s="170"/>
      <c r="J652" s="170"/>
      <c r="K652" s="170"/>
      <c r="L652" s="170"/>
      <c r="M652" s="170"/>
      <c r="N652" s="170"/>
      <c r="O652" s="170"/>
      <c r="P652" s="170"/>
      <c r="Q652" s="170"/>
      <c r="R652" s="170"/>
      <c r="S652" s="170"/>
      <c r="T652" s="197"/>
      <c r="U652" s="197"/>
    </row>
    <row r="653" ht="15.75" hidden="1" customHeight="1">
      <c r="A653" s="103" t="s">
        <v>92</v>
      </c>
      <c r="B653" s="104" t="str">
        <f>"RelationshipType"</f>
        <v>RelationshipType</v>
      </c>
      <c r="C653" s="104" t="str">
        <f>"yfs_order_line_relationship.relationship_type"</f>
        <v>yfs_order_line_relationship.relationship_type</v>
      </c>
      <c r="D653" s="104" t="str">
        <f>"string"</f>
        <v>string</v>
      </c>
      <c r="E653" s="105" t="str">
        <f>"40"</f>
        <v>40</v>
      </c>
      <c r="F653" s="104" t="s">
        <v>944</v>
      </c>
      <c r="G653" s="103" t="str">
        <f>"M"</f>
        <v>M</v>
      </c>
      <c r="H653" s="103" t="str">
        <f>"space"</f>
        <v>space</v>
      </c>
      <c r="I653" s="104" t="str">
        <f t="shared" ref="I653:J653" si="596">""</f>
        <v/>
      </c>
      <c r="J653" s="104" t="str">
        <f t="shared" si="596"/>
        <v/>
      </c>
      <c r="K653" s="104"/>
      <c r="L653" s="105"/>
      <c r="M653" s="104"/>
      <c r="N653" s="104"/>
      <c r="O653" s="104"/>
      <c r="P653" s="104"/>
      <c r="Q653" s="104"/>
      <c r="R653" s="104"/>
      <c r="S653" s="104"/>
      <c r="T653" s="107"/>
      <c r="U653" s="107"/>
    </row>
    <row r="654" ht="15.75" hidden="1" customHeight="1">
      <c r="A654" s="196" t="s">
        <v>92</v>
      </c>
      <c r="B654" s="170" t="str">
        <f>"/Order/OrderLineRelationships/OrderLineRelationship/ParentLine/@"</f>
        <v>/Order/OrderLineRelationships/OrderLineRelationship/ParentLine/@</v>
      </c>
      <c r="C654" s="170"/>
      <c r="D654" s="170"/>
      <c r="E654" s="170"/>
      <c r="F654" s="170"/>
      <c r="G654" s="196" t="str">
        <f t="shared" ref="G654:G671" si="597">"O"</f>
        <v>O</v>
      </c>
      <c r="H654" s="170"/>
      <c r="I654" s="170"/>
      <c r="J654" s="170"/>
      <c r="K654" s="170"/>
      <c r="L654" s="170"/>
      <c r="M654" s="170"/>
      <c r="N654" s="170"/>
      <c r="O654" s="170"/>
      <c r="P654" s="170"/>
      <c r="Q654" s="170"/>
      <c r="R654" s="170"/>
      <c r="S654" s="170"/>
      <c r="T654" s="197"/>
      <c r="U654" s="197"/>
    </row>
    <row r="655" ht="15.75" hidden="1" customHeight="1">
      <c r="A655" s="103" t="s">
        <v>92</v>
      </c>
      <c r="B655" s="104" t="str">
        <f>"OrderLineKey"</f>
        <v>OrderLineKey</v>
      </c>
      <c r="C655" s="104" t="str">
        <f>"yfs_order_line.order_line_key"</f>
        <v>yfs_order_line.order_line_key</v>
      </c>
      <c r="D655" s="104" t="str">
        <f>"string"</f>
        <v>string</v>
      </c>
      <c r="E655" s="105" t="str">
        <f>"24"</f>
        <v>24</v>
      </c>
      <c r="F655" s="104" t="s">
        <v>927</v>
      </c>
      <c r="G655" s="103" t="str">
        <f t="shared" si="597"/>
        <v>O</v>
      </c>
      <c r="H655" s="103" t="str">
        <f>"space"</f>
        <v>space</v>
      </c>
      <c r="I655" s="104" t="str">
        <f t="shared" ref="I655:I657" si="598">""</f>
        <v/>
      </c>
      <c r="J655" s="104" t="str">
        <f>"2010050314595404020"</f>
        <v>2010050314595404020</v>
      </c>
      <c r="K655" s="104"/>
      <c r="L655" s="105"/>
      <c r="M655" s="104"/>
      <c r="N655" s="104"/>
      <c r="O655" s="104"/>
      <c r="P655" s="104"/>
      <c r="Q655" s="104"/>
      <c r="R655" s="104"/>
      <c r="S655" s="104"/>
      <c r="T655" s="107"/>
      <c r="U655" s="107"/>
    </row>
    <row r="656" ht="15.75" hidden="1" customHeight="1">
      <c r="A656" s="103" t="s">
        <v>92</v>
      </c>
      <c r="B656" s="104" t="str">
        <f>"PrimeLineNo"</f>
        <v>PrimeLineNo</v>
      </c>
      <c r="C656" s="104" t="str">
        <f>"yfs_order_line.prime_line_no"</f>
        <v>yfs_order_line.prime_line_no</v>
      </c>
      <c r="D656" s="104" t="str">
        <f t="shared" ref="D656:D657" si="599">"nonNegativeInteger"</f>
        <v>nonNegativeInteger</v>
      </c>
      <c r="E656" s="105" t="str">
        <f t="shared" ref="E656:E657" si="600">"5"</f>
        <v>5</v>
      </c>
      <c r="F656" s="104" t="s">
        <v>928</v>
      </c>
      <c r="G656" s="103" t="str">
        <f t="shared" si="597"/>
        <v>O</v>
      </c>
      <c r="H656" s="103" t="str">
        <f t="shared" ref="H656:H657" si="601">"0 "</f>
        <v>0 </v>
      </c>
      <c r="I656" s="104" t="str">
        <f t="shared" si="598"/>
        <v/>
      </c>
      <c r="J656" s="104" t="str">
        <f t="shared" ref="J656:J657" si="602">"1"</f>
        <v>1</v>
      </c>
      <c r="K656" s="104"/>
      <c r="L656" s="105"/>
      <c r="M656" s="104"/>
      <c r="N656" s="104"/>
      <c r="O656" s="104"/>
      <c r="P656" s="104"/>
      <c r="Q656" s="104"/>
      <c r="R656" s="104"/>
      <c r="S656" s="104"/>
      <c r="T656" s="107"/>
      <c r="U656" s="107"/>
    </row>
    <row r="657" ht="15.75" hidden="1" customHeight="1">
      <c r="A657" s="103" t="s">
        <v>92</v>
      </c>
      <c r="B657" s="104" t="str">
        <f>"SubLineNo"</f>
        <v>SubLineNo</v>
      </c>
      <c r="C657" s="104" t="str">
        <f>"yfs_order_line.sub_line_no"</f>
        <v>yfs_order_line.sub_line_no</v>
      </c>
      <c r="D657" s="104" t="str">
        <f t="shared" si="599"/>
        <v>nonNegativeInteger</v>
      </c>
      <c r="E657" s="105" t="str">
        <f t="shared" si="600"/>
        <v>5</v>
      </c>
      <c r="F657" s="104" t="s">
        <v>929</v>
      </c>
      <c r="G657" s="103" t="str">
        <f t="shared" si="597"/>
        <v>O</v>
      </c>
      <c r="H657" s="103" t="str">
        <f t="shared" si="601"/>
        <v>0 </v>
      </c>
      <c r="I657" s="104" t="str">
        <f t="shared" si="598"/>
        <v/>
      </c>
      <c r="J657" s="104" t="str">
        <f t="shared" si="602"/>
        <v>1</v>
      </c>
      <c r="K657" s="104"/>
      <c r="L657" s="105"/>
      <c r="M657" s="104"/>
      <c r="N657" s="104"/>
      <c r="O657" s="104"/>
      <c r="P657" s="104"/>
      <c r="Q657" s="104"/>
      <c r="R657" s="104"/>
      <c r="S657" s="104"/>
      <c r="T657" s="107"/>
      <c r="U657" s="107"/>
    </row>
    <row r="658" ht="15.75" hidden="1" customHeight="1">
      <c r="A658" s="103" t="s">
        <v>92</v>
      </c>
      <c r="B658" s="104" t="str">
        <f>"TransactionalLineId"</f>
        <v>TransactionalLineId</v>
      </c>
      <c r="C658" s="104" t="str">
        <f>""</f>
        <v/>
      </c>
      <c r="D658" s="104" t="str">
        <f>"string"</f>
        <v>string</v>
      </c>
      <c r="E658" s="105" t="str">
        <f>"40"</f>
        <v>40</v>
      </c>
      <c r="F658" s="104" t="s">
        <v>930</v>
      </c>
      <c r="G658" s="103" t="str">
        <f t="shared" si="597"/>
        <v>O</v>
      </c>
      <c r="H658" s="103" t="str">
        <f t="shared" ref="H658:J658" si="603">""</f>
        <v/>
      </c>
      <c r="I658" s="104" t="str">
        <f t="shared" si="603"/>
        <v/>
      </c>
      <c r="J658" s="104" t="str">
        <f t="shared" si="603"/>
        <v/>
      </c>
      <c r="K658" s="104"/>
      <c r="L658" s="105"/>
      <c r="M658" s="104"/>
      <c r="N658" s="104"/>
      <c r="O658" s="104"/>
      <c r="P658" s="104"/>
      <c r="Q658" s="104"/>
      <c r="R658" s="104"/>
      <c r="S658" s="104"/>
      <c r="T658" s="107"/>
      <c r="U658" s="107"/>
    </row>
    <row r="659" ht="15.75" hidden="1" customHeight="1">
      <c r="A659" s="196" t="s">
        <v>92</v>
      </c>
      <c r="B659" s="170" t="str">
        <f>"/Order/OrderLineRelationships/OrderLineRelationship/ChildLine/@"</f>
        <v>/Order/OrderLineRelationships/OrderLineRelationship/ChildLine/@</v>
      </c>
      <c r="C659" s="170"/>
      <c r="D659" s="170"/>
      <c r="E659" s="170"/>
      <c r="F659" s="170"/>
      <c r="G659" s="196" t="str">
        <f t="shared" si="597"/>
        <v>O</v>
      </c>
      <c r="H659" s="170"/>
      <c r="I659" s="170"/>
      <c r="J659" s="170"/>
      <c r="K659" s="170"/>
      <c r="L659" s="170"/>
      <c r="M659" s="170"/>
      <c r="N659" s="170"/>
      <c r="O659" s="170"/>
      <c r="P659" s="170"/>
      <c r="Q659" s="170"/>
      <c r="R659" s="170"/>
      <c r="S659" s="170"/>
      <c r="T659" s="197"/>
      <c r="U659" s="197"/>
    </row>
    <row r="660" ht="15.75" hidden="1" customHeight="1">
      <c r="A660" s="103" t="s">
        <v>92</v>
      </c>
      <c r="B660" s="104" t="str">
        <f>"OrderLineKey"</f>
        <v>OrderLineKey</v>
      </c>
      <c r="C660" s="104" t="str">
        <f>"yfs_order_line.order_line_key"</f>
        <v>yfs_order_line.order_line_key</v>
      </c>
      <c r="D660" s="104" t="str">
        <f>"string"</f>
        <v>string</v>
      </c>
      <c r="E660" s="105" t="str">
        <f>"24"</f>
        <v>24</v>
      </c>
      <c r="F660" s="104" t="s">
        <v>941</v>
      </c>
      <c r="G660" s="103" t="str">
        <f t="shared" si="597"/>
        <v>O</v>
      </c>
      <c r="H660" s="103" t="str">
        <f>"space"</f>
        <v>space</v>
      </c>
      <c r="I660" s="104" t="str">
        <f t="shared" ref="I660:I662" si="604">""</f>
        <v/>
      </c>
      <c r="J660" s="104" t="str">
        <f>"2010050314595404020"</f>
        <v>2010050314595404020</v>
      </c>
      <c r="K660" s="104"/>
      <c r="L660" s="105"/>
      <c r="M660" s="104"/>
      <c r="N660" s="104"/>
      <c r="O660" s="104"/>
      <c r="P660" s="104"/>
      <c r="Q660" s="104"/>
      <c r="R660" s="104"/>
      <c r="S660" s="104"/>
      <c r="T660" s="107"/>
      <c r="U660" s="107"/>
    </row>
    <row r="661" ht="15.75" hidden="1" customHeight="1">
      <c r="A661" s="103" t="s">
        <v>92</v>
      </c>
      <c r="B661" s="104" t="str">
        <f>"PrimeLineNo"</f>
        <v>PrimeLineNo</v>
      </c>
      <c r="C661" s="104" t="str">
        <f>"yfs_order_line.prime_line_no"</f>
        <v>yfs_order_line.prime_line_no</v>
      </c>
      <c r="D661" s="104" t="str">
        <f t="shared" ref="D661:D662" si="605">"nonNegativeInteger"</f>
        <v>nonNegativeInteger</v>
      </c>
      <c r="E661" s="105" t="str">
        <f t="shared" ref="E661:E662" si="606">"5"</f>
        <v>5</v>
      </c>
      <c r="F661" s="104" t="s">
        <v>942</v>
      </c>
      <c r="G661" s="103" t="str">
        <f t="shared" si="597"/>
        <v>O</v>
      </c>
      <c r="H661" s="103" t="str">
        <f t="shared" ref="H661:H662" si="607">"0 "</f>
        <v>0 </v>
      </c>
      <c r="I661" s="104" t="str">
        <f t="shared" si="604"/>
        <v/>
      </c>
      <c r="J661" s="104" t="str">
        <f t="shared" ref="J661:J662" si="608">"1"</f>
        <v>1</v>
      </c>
      <c r="K661" s="104"/>
      <c r="L661" s="105"/>
      <c r="M661" s="104"/>
      <c r="N661" s="104"/>
      <c r="O661" s="104"/>
      <c r="P661" s="104"/>
      <c r="Q661" s="104"/>
      <c r="R661" s="104"/>
      <c r="S661" s="104"/>
      <c r="T661" s="107"/>
      <c r="U661" s="107"/>
    </row>
    <row r="662" ht="15.75" hidden="1" customHeight="1">
      <c r="A662" s="103" t="s">
        <v>92</v>
      </c>
      <c r="B662" s="104" t="str">
        <f>"SubLineNo"</f>
        <v>SubLineNo</v>
      </c>
      <c r="C662" s="104" t="str">
        <f>"yfs_order_line.sub_line_no"</f>
        <v>yfs_order_line.sub_line_no</v>
      </c>
      <c r="D662" s="104" t="str">
        <f t="shared" si="605"/>
        <v>nonNegativeInteger</v>
      </c>
      <c r="E662" s="105" t="str">
        <f t="shared" si="606"/>
        <v>5</v>
      </c>
      <c r="F662" s="104" t="s">
        <v>943</v>
      </c>
      <c r="G662" s="103" t="str">
        <f t="shared" si="597"/>
        <v>O</v>
      </c>
      <c r="H662" s="103" t="str">
        <f t="shared" si="607"/>
        <v>0 </v>
      </c>
      <c r="I662" s="104" t="str">
        <f t="shared" si="604"/>
        <v/>
      </c>
      <c r="J662" s="104" t="str">
        <f t="shared" si="608"/>
        <v>1</v>
      </c>
      <c r="K662" s="104"/>
      <c r="L662" s="105"/>
      <c r="M662" s="104"/>
      <c r="N662" s="104"/>
      <c r="O662" s="104"/>
      <c r="P662" s="104"/>
      <c r="Q662" s="104"/>
      <c r="R662" s="104"/>
      <c r="S662" s="104"/>
      <c r="T662" s="107"/>
      <c r="U662" s="107"/>
    </row>
    <row r="663" ht="15.75" hidden="1" customHeight="1">
      <c r="A663" s="103" t="s">
        <v>92</v>
      </c>
      <c r="B663" s="104" t="str">
        <f>"TransactionalLineId"</f>
        <v>TransactionalLineId</v>
      </c>
      <c r="C663" s="104" t="str">
        <f>""</f>
        <v/>
      </c>
      <c r="D663" s="104" t="str">
        <f>"string"</f>
        <v>string</v>
      </c>
      <c r="E663" s="105" t="str">
        <f>"40"</f>
        <v>40</v>
      </c>
      <c r="F663" s="104" t="s">
        <v>930</v>
      </c>
      <c r="G663" s="103" t="str">
        <f t="shared" si="597"/>
        <v>O</v>
      </c>
      <c r="H663" s="103" t="str">
        <f t="shared" ref="H663:J663" si="609">""</f>
        <v/>
      </c>
      <c r="I663" s="104" t="str">
        <f t="shared" si="609"/>
        <v/>
      </c>
      <c r="J663" s="104" t="str">
        <f t="shared" si="609"/>
        <v/>
      </c>
      <c r="K663" s="104"/>
      <c r="L663" s="105"/>
      <c r="M663" s="104"/>
      <c r="N663" s="104"/>
      <c r="O663" s="104"/>
      <c r="P663" s="104"/>
      <c r="Q663" s="104"/>
      <c r="R663" s="104"/>
      <c r="S663" s="104"/>
      <c r="T663" s="107"/>
      <c r="U663" s="107"/>
    </row>
    <row r="664" ht="15.75" hidden="1" customHeight="1">
      <c r="A664" s="196" t="s">
        <v>92</v>
      </c>
      <c r="B664" s="170" t="str">
        <f>"/Order/Notes"</f>
        <v>/Order/Notes</v>
      </c>
      <c r="C664" s="170"/>
      <c r="D664" s="170"/>
      <c r="E664" s="170"/>
      <c r="F664" s="170"/>
      <c r="G664" s="196" t="str">
        <f t="shared" si="597"/>
        <v>O</v>
      </c>
      <c r="H664" s="170"/>
      <c r="I664" s="170"/>
      <c r="J664" s="170"/>
      <c r="K664" s="170"/>
      <c r="L664" s="170"/>
      <c r="M664" s="170"/>
      <c r="N664" s="170"/>
      <c r="O664" s="170"/>
      <c r="P664" s="170"/>
      <c r="Q664" s="170"/>
      <c r="R664" s="170"/>
      <c r="S664" s="170"/>
      <c r="T664" s="197"/>
      <c r="U664" s="197"/>
    </row>
    <row r="665" ht="15.75" hidden="1" customHeight="1">
      <c r="A665" s="196" t="s">
        <v>92</v>
      </c>
      <c r="B665" s="170" t="str">
        <f>"/Order/Notes/Note/@"</f>
        <v>/Order/Notes/Note/@</v>
      </c>
      <c r="C665" s="170"/>
      <c r="D665" s="170"/>
      <c r="E665" s="170"/>
      <c r="F665" s="170"/>
      <c r="G665" s="196" t="str">
        <f t="shared" si="597"/>
        <v>O</v>
      </c>
      <c r="H665" s="170"/>
      <c r="I665" s="170"/>
      <c r="J665" s="170"/>
      <c r="K665" s="170"/>
      <c r="L665" s="170"/>
      <c r="M665" s="170"/>
      <c r="N665" s="170"/>
      <c r="O665" s="170"/>
      <c r="P665" s="170"/>
      <c r="Q665" s="170"/>
      <c r="R665" s="170"/>
      <c r="S665" s="170"/>
      <c r="T665" s="197"/>
      <c r="U665" s="197"/>
    </row>
    <row r="666" ht="15.75" hidden="1" customHeight="1">
      <c r="A666" s="103"/>
      <c r="B666" s="104" t="str">
        <f>"AuditTransactionId"</f>
        <v>AuditTransactionId</v>
      </c>
      <c r="C666" s="104" t="str">
        <f>"yfs_notes.audit_transaction_id"</f>
        <v>yfs_notes.audit_transaction_id</v>
      </c>
      <c r="D666" s="104" t="str">
        <f>"string"</f>
        <v>string</v>
      </c>
      <c r="E666" s="105" t="str">
        <f>"40"</f>
        <v>40</v>
      </c>
      <c r="F666" s="104" t="s">
        <v>916</v>
      </c>
      <c r="G666" s="103" t="str">
        <f t="shared" si="597"/>
        <v>O</v>
      </c>
      <c r="H666" s="103" t="str">
        <f t="shared" ref="H666:H667" si="611">"space"</f>
        <v>space</v>
      </c>
      <c r="I666" s="104" t="str">
        <f t="shared" ref="I666:J666" si="610">""</f>
        <v/>
      </c>
      <c r="J666" s="104" t="str">
        <f t="shared" si="610"/>
        <v/>
      </c>
      <c r="K666" s="104"/>
      <c r="L666" s="105"/>
      <c r="M666" s="104"/>
      <c r="N666" s="104"/>
      <c r="O666" s="104"/>
      <c r="P666" s="104"/>
      <c r="Q666" s="104"/>
      <c r="R666" s="104"/>
      <c r="S666" s="104"/>
      <c r="T666" s="107"/>
      <c r="U666" s="107"/>
    </row>
    <row r="667" ht="15.75" hidden="1" customHeight="1">
      <c r="A667" s="103"/>
      <c r="B667" s="104" t="str">
        <f>"ContactReference"</f>
        <v>ContactReference</v>
      </c>
      <c r="C667" s="104" t="str">
        <f>"yfs_notes.contact_reference"</f>
        <v>yfs_notes.contact_reference</v>
      </c>
      <c r="D667" s="104" t="str">
        <f>"UNKNOWN"</f>
        <v>UNKNOWN</v>
      </c>
      <c r="E667" s="105" t="str">
        <f>""</f>
        <v/>
      </c>
      <c r="F667" s="104" t="s">
        <v>917</v>
      </c>
      <c r="G667" s="103" t="str">
        <f t="shared" si="597"/>
        <v>O</v>
      </c>
      <c r="H667" s="103" t="str">
        <f t="shared" si="611"/>
        <v>space</v>
      </c>
      <c r="I667" s="104" t="str">
        <f t="shared" ref="I667:J667" si="612">""</f>
        <v/>
      </c>
      <c r="J667" s="104" t="str">
        <f t="shared" si="612"/>
        <v/>
      </c>
      <c r="K667" s="104"/>
      <c r="L667" s="105"/>
      <c r="M667" s="104"/>
      <c r="N667" s="104"/>
      <c r="O667" s="104"/>
      <c r="P667" s="104"/>
      <c r="Q667" s="104"/>
      <c r="R667" s="104"/>
      <c r="S667" s="104"/>
      <c r="T667" s="107"/>
      <c r="U667" s="107"/>
    </row>
    <row r="668" ht="15.75" hidden="1" customHeight="1">
      <c r="A668" s="103" t="s">
        <v>92</v>
      </c>
      <c r="B668" s="104" t="str">
        <f>"ContactTime"</f>
        <v>ContactTime</v>
      </c>
      <c r="C668" s="104" t="str">
        <f>"yfs_notes.contact_time"</f>
        <v>yfs_notes.contact_time</v>
      </c>
      <c r="D668" s="104" t="s">
        <v>945</v>
      </c>
      <c r="E668" s="105" t="str">
        <f>"25"</f>
        <v>25</v>
      </c>
      <c r="F668" s="104" t="s">
        <v>918</v>
      </c>
      <c r="G668" s="103" t="str">
        <f t="shared" si="597"/>
        <v>O</v>
      </c>
      <c r="H668" s="103" t="str">
        <f>"sysdate "</f>
        <v>sysdate </v>
      </c>
      <c r="I668" s="104" t="str">
        <f t="shared" ref="I668:J668" si="613">""</f>
        <v/>
      </c>
      <c r="J668" s="104" t="str">
        <f t="shared" si="613"/>
        <v/>
      </c>
      <c r="K668" s="104"/>
      <c r="L668" s="105"/>
      <c r="M668" s="104"/>
      <c r="N668" s="104"/>
      <c r="O668" s="104"/>
      <c r="P668" s="104"/>
      <c r="Q668" s="104"/>
      <c r="R668" s="104"/>
      <c r="S668" s="104"/>
      <c r="T668" s="107"/>
      <c r="U668" s="107"/>
    </row>
    <row r="669" ht="15.75" hidden="1" customHeight="1">
      <c r="A669" s="103"/>
      <c r="B669" s="104" t="str">
        <f>"ContactType"</f>
        <v>ContactType</v>
      </c>
      <c r="C669" s="104" t="str">
        <f>"yfs_notes.contact_type"</f>
        <v>yfs_notes.contact_type</v>
      </c>
      <c r="D669" s="104" t="str">
        <f t="shared" ref="D669:D670" si="615">"string"</f>
        <v>string</v>
      </c>
      <c r="E669" s="105" t="str">
        <f>"100"</f>
        <v>100</v>
      </c>
      <c r="F669" s="104" t="s">
        <v>919</v>
      </c>
      <c r="G669" s="103" t="str">
        <f t="shared" si="597"/>
        <v>O</v>
      </c>
      <c r="H669" s="103" t="str">
        <f t="shared" ref="H669:H672" si="616">"space"</f>
        <v>space</v>
      </c>
      <c r="I669" s="104" t="str">
        <f t="shared" ref="I669:J669" si="614">""</f>
        <v/>
      </c>
      <c r="J669" s="104" t="str">
        <f t="shared" si="614"/>
        <v/>
      </c>
      <c r="K669" s="104"/>
      <c r="L669" s="105"/>
      <c r="M669" s="104"/>
      <c r="N669" s="104"/>
      <c r="O669" s="104"/>
      <c r="P669" s="104"/>
      <c r="Q669" s="104"/>
      <c r="R669" s="104"/>
      <c r="S669" s="104"/>
      <c r="T669" s="107"/>
      <c r="U669" s="107"/>
    </row>
    <row r="670" ht="15.75" hidden="1" customHeight="1">
      <c r="A670" s="103" t="s">
        <v>92</v>
      </c>
      <c r="B670" s="104" t="str">
        <f>"ContactUser"</f>
        <v>ContactUser</v>
      </c>
      <c r="C670" s="104" t="str">
        <f>"yfs_notes.contact_user"</f>
        <v>yfs_notes.contact_user</v>
      </c>
      <c r="D670" s="104" t="str">
        <f t="shared" si="615"/>
        <v>string</v>
      </c>
      <c r="E670" s="105" t="str">
        <f>"40"</f>
        <v>40</v>
      </c>
      <c r="F670" s="104" t="s">
        <v>920</v>
      </c>
      <c r="G670" s="103" t="str">
        <f t="shared" si="597"/>
        <v>O</v>
      </c>
      <c r="H670" s="103" t="str">
        <f t="shared" si="616"/>
        <v>space</v>
      </c>
      <c r="I670" s="104" t="str">
        <f t="shared" ref="I670:J670" si="617">""</f>
        <v/>
      </c>
      <c r="J670" s="104" t="str">
        <f t="shared" si="617"/>
        <v/>
      </c>
      <c r="K670" s="104"/>
      <c r="L670" s="105"/>
      <c r="M670" s="104"/>
      <c r="N670" s="104"/>
      <c r="O670" s="104"/>
      <c r="P670" s="104"/>
      <c r="Q670" s="104"/>
      <c r="R670" s="104"/>
      <c r="S670" s="104"/>
      <c r="T670" s="107"/>
      <c r="U670" s="107"/>
    </row>
    <row r="671" ht="15.75" hidden="1" customHeight="1">
      <c r="A671" s="103"/>
      <c r="B671" s="104" t="str">
        <f>"CustomerSatIndicator"</f>
        <v>CustomerSatIndicator</v>
      </c>
      <c r="C671" s="104" t="str">
        <f>"yfs_notes.customer_sat_indicator"</f>
        <v>yfs_notes.customer_sat_indicator</v>
      </c>
      <c r="D671" s="104" t="str">
        <f t="shared" ref="D671:D672" si="619">"UNKNOWN"</f>
        <v>UNKNOWN</v>
      </c>
      <c r="E671" s="105" t="str">
        <f t="shared" ref="E671:E672" si="620">""</f>
        <v/>
      </c>
      <c r="F671" s="104" t="s">
        <v>921</v>
      </c>
      <c r="G671" s="103" t="str">
        <f t="shared" si="597"/>
        <v>O</v>
      </c>
      <c r="H671" s="103" t="str">
        <f t="shared" si="616"/>
        <v>space</v>
      </c>
      <c r="I671" s="104" t="str">
        <f t="shared" ref="I671:J671" si="618">""</f>
        <v/>
      </c>
      <c r="J671" s="104" t="str">
        <f t="shared" si="618"/>
        <v/>
      </c>
      <c r="K671" s="104"/>
      <c r="L671" s="105"/>
      <c r="M671" s="104"/>
      <c r="N671" s="104"/>
      <c r="O671" s="104"/>
      <c r="P671" s="104"/>
      <c r="Q671" s="104"/>
      <c r="R671" s="104"/>
      <c r="S671" s="104"/>
      <c r="T671" s="107"/>
      <c r="U671" s="107"/>
    </row>
    <row r="672" ht="15.75" hidden="1" customHeight="1">
      <c r="A672" s="103" t="s">
        <v>92</v>
      </c>
      <c r="B672" s="104" t="str">
        <f>"NoteText"</f>
        <v>NoteText</v>
      </c>
      <c r="C672" s="104" t="str">
        <f>"yfs_notes.note_text"</f>
        <v>yfs_notes.note_text</v>
      </c>
      <c r="D672" s="104" t="str">
        <f t="shared" si="619"/>
        <v>UNKNOWN</v>
      </c>
      <c r="E672" s="105" t="str">
        <f t="shared" si="620"/>
        <v/>
      </c>
      <c r="F672" s="104" t="s">
        <v>922</v>
      </c>
      <c r="G672" s="103" t="str">
        <f>"M"</f>
        <v>M</v>
      </c>
      <c r="H672" s="103" t="str">
        <f t="shared" si="616"/>
        <v>space</v>
      </c>
      <c r="I672" s="104" t="str">
        <f t="shared" ref="I672:J672" si="621">""</f>
        <v/>
      </c>
      <c r="J672" s="104" t="str">
        <f t="shared" si="621"/>
        <v/>
      </c>
      <c r="K672" s="104"/>
      <c r="L672" s="105"/>
      <c r="M672" s="104"/>
      <c r="N672" s="104"/>
      <c r="O672" s="104"/>
      <c r="P672" s="104"/>
      <c r="Q672" s="104"/>
      <c r="R672" s="104"/>
      <c r="S672" s="104"/>
      <c r="T672" s="107"/>
      <c r="U672" s="107"/>
    </row>
    <row r="673" ht="15.75" hidden="1" customHeight="1">
      <c r="A673" s="103"/>
      <c r="B673" s="104" t="str">
        <f>"Priority"</f>
        <v>Priority</v>
      </c>
      <c r="C673" s="104" t="str">
        <f>"yfs_notes.priority"</f>
        <v>yfs_notes.priority</v>
      </c>
      <c r="D673" s="104" t="str">
        <f>"decimal"</f>
        <v>decimal</v>
      </c>
      <c r="E673" s="105" t="str">
        <f>"10,2"</f>
        <v>10,2</v>
      </c>
      <c r="F673" s="104" t="s">
        <v>923</v>
      </c>
      <c r="G673" s="103" t="str">
        <f t="shared" ref="G673:G678" si="623">"O"</f>
        <v>O</v>
      </c>
      <c r="H673" s="103" t="str">
        <f>"0"</f>
        <v>0</v>
      </c>
      <c r="I673" s="104" t="str">
        <f t="shared" ref="I673:J673" si="622">""</f>
        <v/>
      </c>
      <c r="J673" s="104" t="str">
        <f t="shared" si="622"/>
        <v/>
      </c>
      <c r="K673" s="104"/>
      <c r="L673" s="105"/>
      <c r="M673" s="104"/>
      <c r="N673" s="104"/>
      <c r="O673" s="104"/>
      <c r="P673" s="104"/>
      <c r="Q673" s="104"/>
      <c r="R673" s="104"/>
      <c r="S673" s="104"/>
      <c r="T673" s="107"/>
      <c r="U673" s="107"/>
    </row>
    <row r="674" ht="15.75" hidden="1" customHeight="1">
      <c r="A674" s="103" t="s">
        <v>92</v>
      </c>
      <c r="B674" s="104" t="str">
        <f>"ReasonCode"</f>
        <v>ReasonCode</v>
      </c>
      <c r="C674" s="104" t="str">
        <f>"yfs_notes.reason_code"</f>
        <v>yfs_notes.reason_code</v>
      </c>
      <c r="D674" s="104" t="str">
        <f>"string"</f>
        <v>string</v>
      </c>
      <c r="E674" s="105" t="str">
        <f>"40"</f>
        <v>40</v>
      </c>
      <c r="F674" s="104" t="s">
        <v>924</v>
      </c>
      <c r="G674" s="103" t="str">
        <f t="shared" si="623"/>
        <v>O</v>
      </c>
      <c r="H674" s="103" t="str">
        <f>"space"</f>
        <v>space</v>
      </c>
      <c r="I674" s="104" t="str">
        <f t="shared" ref="I674:J674" si="624">""</f>
        <v/>
      </c>
      <c r="J674" s="104" t="str">
        <f t="shared" si="624"/>
        <v/>
      </c>
      <c r="K674" s="104"/>
      <c r="L674" s="105"/>
      <c r="M674" s="104"/>
      <c r="N674" s="104"/>
      <c r="O674" s="104"/>
      <c r="P674" s="104"/>
      <c r="Q674" s="104"/>
      <c r="R674" s="104"/>
      <c r="S674" s="104"/>
      <c r="T674" s="107"/>
      <c r="U674" s="107"/>
    </row>
    <row r="675" ht="15.75" hidden="1" customHeight="1">
      <c r="A675" s="103"/>
      <c r="B675" s="104" t="str">
        <f>"SequenceNo"</f>
        <v>SequenceNo</v>
      </c>
      <c r="C675" s="104" t="str">
        <f>"yfs_notes.sequence_no"</f>
        <v>yfs_notes.sequence_no</v>
      </c>
      <c r="D675" s="104" t="str">
        <f>"nonNegativeInteger"</f>
        <v>nonNegativeInteger</v>
      </c>
      <c r="E675" s="105" t="str">
        <f>"5"</f>
        <v>5</v>
      </c>
      <c r="F675" s="104" t="s">
        <v>925</v>
      </c>
      <c r="G675" s="103" t="str">
        <f t="shared" si="623"/>
        <v>O</v>
      </c>
      <c r="H675" s="103" t="str">
        <f>"0 "</f>
        <v>0 </v>
      </c>
      <c r="I675" s="104" t="str">
        <f t="shared" ref="I675:J675" si="625">""</f>
        <v/>
      </c>
      <c r="J675" s="104" t="str">
        <f t="shared" si="625"/>
        <v/>
      </c>
      <c r="K675" s="104"/>
      <c r="L675" s="105"/>
      <c r="M675" s="104"/>
      <c r="N675" s="104"/>
      <c r="O675" s="104"/>
      <c r="P675" s="104"/>
      <c r="Q675" s="104"/>
      <c r="R675" s="104"/>
      <c r="S675" s="104"/>
      <c r="T675" s="107"/>
      <c r="U675" s="107"/>
    </row>
    <row r="676" ht="15.75" hidden="1" customHeight="1">
      <c r="A676" s="103"/>
      <c r="B676" s="104" t="str">
        <f>"VisibleToAll"</f>
        <v>VisibleToAll</v>
      </c>
      <c r="C676" s="104" t="str">
        <f>"yfs_notes.visible_to_all"</f>
        <v>yfs_notes.visible_to_all</v>
      </c>
      <c r="D676" s="104" t="str">
        <f>"string"</f>
        <v>string</v>
      </c>
      <c r="E676" s="105" t="str">
        <f>"1"</f>
        <v>1</v>
      </c>
      <c r="F676" s="104" t="s">
        <v>926</v>
      </c>
      <c r="G676" s="103" t="str">
        <f t="shared" si="623"/>
        <v>O</v>
      </c>
      <c r="H676" s="103" t="str">
        <f>"null"</f>
        <v>null</v>
      </c>
      <c r="I676" s="104" t="str">
        <f t="shared" ref="I676:J676" si="626">""</f>
        <v/>
      </c>
      <c r="J676" s="104" t="str">
        <f t="shared" si="626"/>
        <v/>
      </c>
      <c r="K676" s="104"/>
      <c r="L676" s="105"/>
      <c r="M676" s="104"/>
      <c r="N676" s="104"/>
      <c r="O676" s="104"/>
      <c r="P676" s="104"/>
      <c r="Q676" s="104"/>
      <c r="R676" s="104"/>
      <c r="S676" s="104"/>
      <c r="T676" s="107"/>
      <c r="U676" s="107"/>
    </row>
    <row r="677" ht="15.75" hidden="1" customHeight="1">
      <c r="A677" s="196"/>
      <c r="B677" s="170" t="str">
        <f>"/Order/Instructions"</f>
        <v>/Order/Instructions</v>
      </c>
      <c r="C677" s="170"/>
      <c r="D677" s="170"/>
      <c r="E677" s="170"/>
      <c r="F677" s="287"/>
      <c r="G677" s="196" t="str">
        <f t="shared" si="623"/>
        <v>O</v>
      </c>
      <c r="H677" s="170"/>
      <c r="I677" s="170"/>
      <c r="J677" s="170"/>
      <c r="K677" s="170"/>
      <c r="L677" s="170"/>
      <c r="M677" s="170"/>
      <c r="N677" s="170"/>
      <c r="O677" s="170"/>
      <c r="P677" s="170"/>
      <c r="Q677" s="170"/>
      <c r="R677" s="170"/>
      <c r="S677" s="170"/>
      <c r="T677" s="197"/>
      <c r="U677" s="197"/>
    </row>
    <row r="678" ht="15.75" hidden="1" customHeight="1">
      <c r="A678" s="196"/>
      <c r="B678" s="170" t="str">
        <f>"/Order/Instructions/Instruction/@"</f>
        <v>/Order/Instructions/Instruction/@</v>
      </c>
      <c r="C678" s="170"/>
      <c r="D678" s="170"/>
      <c r="E678" s="170"/>
      <c r="F678" s="287"/>
      <c r="G678" s="196" t="str">
        <f t="shared" si="623"/>
        <v>O</v>
      </c>
      <c r="H678" s="170"/>
      <c r="I678" s="170"/>
      <c r="J678" s="170"/>
      <c r="K678" s="170"/>
      <c r="L678" s="170"/>
      <c r="M678" s="170"/>
      <c r="N678" s="170"/>
      <c r="O678" s="170"/>
      <c r="P678" s="170"/>
      <c r="Q678" s="170"/>
      <c r="R678" s="170"/>
      <c r="S678" s="170"/>
      <c r="T678" s="197"/>
      <c r="U678" s="197"/>
    </row>
    <row r="679" ht="15.75" hidden="1" customHeight="1">
      <c r="A679" s="103"/>
      <c r="B679" s="104" t="str">
        <f>"InstructionText"</f>
        <v>InstructionText</v>
      </c>
      <c r="C679" s="104" t="str">
        <f>"yfs_instruction_detail.instruction_text"</f>
        <v>yfs_instruction_detail.instruction_text</v>
      </c>
      <c r="D679" s="104" t="str">
        <f t="shared" ref="D679:D680" si="627">"UNKNOWN"</f>
        <v>UNKNOWN</v>
      </c>
      <c r="E679" s="105" t="str">
        <f t="shared" ref="E679:E680" si="628">""</f>
        <v/>
      </c>
      <c r="F679" s="118" t="s">
        <v>946</v>
      </c>
      <c r="G679" s="103" t="str">
        <f>"M"</f>
        <v>M</v>
      </c>
      <c r="H679" s="103" t="str">
        <f t="shared" ref="H679:H681" si="629">"space"</f>
        <v>space</v>
      </c>
      <c r="I679" s="104" t="str">
        <f t="shared" ref="I679:I682" si="630">""</f>
        <v/>
      </c>
      <c r="J679" s="104" t="str">
        <f>"This is a delivery instruction."</f>
        <v>This is a delivery instruction.</v>
      </c>
      <c r="K679" s="104"/>
      <c r="L679" s="105"/>
      <c r="M679" s="104"/>
      <c r="N679" s="104"/>
      <c r="O679" s="104"/>
      <c r="P679" s="104"/>
      <c r="Q679" s="104"/>
      <c r="R679" s="104"/>
      <c r="S679" s="104"/>
      <c r="T679" s="107"/>
      <c r="U679" s="107"/>
    </row>
    <row r="680" ht="15.75" hidden="1" customHeight="1">
      <c r="A680" s="103"/>
      <c r="B680" s="104" t="str">
        <f>"InstructionType"</f>
        <v>InstructionType</v>
      </c>
      <c r="C680" s="104" t="str">
        <f>"yfs_instruction_detail.instruction_type"</f>
        <v>yfs_instruction_detail.instruction_type</v>
      </c>
      <c r="D680" s="104" t="str">
        <f t="shared" si="627"/>
        <v>UNKNOWN</v>
      </c>
      <c r="E680" s="105" t="str">
        <f t="shared" si="628"/>
        <v/>
      </c>
      <c r="F680" s="118" t="s">
        <v>773</v>
      </c>
      <c r="G680" s="103" t="str">
        <f t="shared" ref="G680:G714" si="631">"O"</f>
        <v>O</v>
      </c>
      <c r="H680" s="103" t="str">
        <f t="shared" si="629"/>
        <v>space</v>
      </c>
      <c r="I680" s="104" t="str">
        <f t="shared" si="630"/>
        <v/>
      </c>
      <c r="J680" s="104" t="str">
        <f>"DELIVERY"</f>
        <v>DELIVERY</v>
      </c>
      <c r="K680" s="104"/>
      <c r="L680" s="105"/>
      <c r="M680" s="104"/>
      <c r="N680" s="104"/>
      <c r="O680" s="104"/>
      <c r="P680" s="104"/>
      <c r="Q680" s="104"/>
      <c r="R680" s="104"/>
      <c r="S680" s="104"/>
      <c r="T680" s="107"/>
      <c r="U680" s="107"/>
    </row>
    <row r="681" ht="15.75" hidden="1" customHeight="1">
      <c r="A681" s="103"/>
      <c r="B681" s="104" t="str">
        <f>"InstructionURL"</f>
        <v>InstructionURL</v>
      </c>
      <c r="C681" s="104" t="str">
        <f>"yfs_instruction_detail.instruction_url"</f>
        <v>yfs_instruction_detail.instruction_url</v>
      </c>
      <c r="D681" s="104" t="str">
        <f>"string"</f>
        <v>string</v>
      </c>
      <c r="E681" s="105" t="str">
        <f>"255"</f>
        <v>255</v>
      </c>
      <c r="F681" s="104" t="s">
        <v>775</v>
      </c>
      <c r="G681" s="103" t="str">
        <f t="shared" si="631"/>
        <v>O</v>
      </c>
      <c r="H681" s="103" t="str">
        <f t="shared" si="629"/>
        <v>space</v>
      </c>
      <c r="I681" s="104" t="str">
        <f t="shared" si="630"/>
        <v/>
      </c>
      <c r="J681" s="104" t="str">
        <f>""</f>
        <v/>
      </c>
      <c r="K681" s="104"/>
      <c r="L681" s="105"/>
      <c r="M681" s="104"/>
      <c r="N681" s="104"/>
      <c r="O681" s="104"/>
      <c r="P681" s="104"/>
      <c r="Q681" s="104"/>
      <c r="R681" s="104"/>
      <c r="S681" s="104"/>
      <c r="T681" s="107"/>
      <c r="U681" s="107"/>
    </row>
    <row r="682" ht="15.75" hidden="1" customHeight="1">
      <c r="A682" s="103"/>
      <c r="B682" s="104" t="str">
        <f>"SequenceNo"</f>
        <v>SequenceNo</v>
      </c>
      <c r="C682" s="104" t="str">
        <f>"yfs_instruction_detail.sequence_no"</f>
        <v>yfs_instruction_detail.sequence_no</v>
      </c>
      <c r="D682" s="104" t="str">
        <f>"nonNegativeInteger"</f>
        <v>nonNegativeInteger</v>
      </c>
      <c r="E682" s="105" t="str">
        <f>"5"</f>
        <v>5</v>
      </c>
      <c r="F682" s="104" t="s">
        <v>776</v>
      </c>
      <c r="G682" s="103" t="str">
        <f t="shared" si="631"/>
        <v>O</v>
      </c>
      <c r="H682" s="103" t="str">
        <f>"0 "</f>
        <v>0 </v>
      </c>
      <c r="I682" s="104" t="str">
        <f t="shared" si="630"/>
        <v/>
      </c>
      <c r="J682" s="104" t="str">
        <f>"1"</f>
        <v>1</v>
      </c>
      <c r="K682" s="104"/>
      <c r="L682" s="105"/>
      <c r="M682" s="104"/>
      <c r="N682" s="104"/>
      <c r="O682" s="104"/>
      <c r="P682" s="104"/>
      <c r="Q682" s="104"/>
      <c r="R682" s="104"/>
      <c r="S682" s="104"/>
      <c r="T682" s="107"/>
      <c r="U682" s="107"/>
    </row>
    <row r="683" ht="15.75" hidden="1" customHeight="1">
      <c r="A683" s="196" t="s">
        <v>92</v>
      </c>
      <c r="B683" s="170" t="str">
        <f>"/Order/PersonInfoShipTo/@"</f>
        <v>/Order/PersonInfoShipTo/@</v>
      </c>
      <c r="C683" s="170"/>
      <c r="D683" s="170"/>
      <c r="E683" s="170"/>
      <c r="F683" s="170"/>
      <c r="G683" s="196" t="str">
        <f t="shared" si="631"/>
        <v>O</v>
      </c>
      <c r="H683" s="170"/>
      <c r="I683" s="170"/>
      <c r="J683" s="170"/>
      <c r="K683" s="170"/>
      <c r="L683" s="170"/>
      <c r="M683" s="170"/>
      <c r="N683" s="170"/>
      <c r="O683" s="170"/>
      <c r="P683" s="170"/>
      <c r="Q683" s="170"/>
      <c r="R683" s="170"/>
      <c r="S683" s="170"/>
      <c r="T683" s="197"/>
      <c r="U683" s="197"/>
    </row>
    <row r="684" ht="15.75" hidden="1" customHeight="1">
      <c r="A684" s="103"/>
      <c r="B684" s="104" t="str">
        <f>"AddressID"</f>
        <v>AddressID</v>
      </c>
      <c r="C684" s="104" t="str">
        <f>"yfs_person_info.address_id"</f>
        <v>yfs_person_info.address_id</v>
      </c>
      <c r="D684" s="104" t="str">
        <f t="shared" ref="D684:D693" si="633">"string"</f>
        <v>string</v>
      </c>
      <c r="E684" s="105" t="str">
        <f>"256"</f>
        <v>256</v>
      </c>
      <c r="F684" s="104" t="s">
        <v>684</v>
      </c>
      <c r="G684" s="103" t="str">
        <f t="shared" si="631"/>
        <v>O</v>
      </c>
      <c r="H684" s="103" t="str">
        <f>"null"</f>
        <v>null</v>
      </c>
      <c r="I684" s="104" t="str">
        <f t="shared" ref="I684:J684" si="632">""</f>
        <v/>
      </c>
      <c r="J684" s="104" t="str">
        <f t="shared" si="632"/>
        <v/>
      </c>
      <c r="K684" s="104"/>
      <c r="L684" s="105"/>
      <c r="M684" s="104"/>
      <c r="N684" s="104"/>
      <c r="O684" s="104"/>
      <c r="P684" s="104"/>
      <c r="Q684" s="104"/>
      <c r="R684" s="104"/>
      <c r="S684" s="104"/>
      <c r="T684" s="107"/>
      <c r="U684" s="107"/>
    </row>
    <row r="685" ht="15.75" hidden="1" customHeight="1">
      <c r="A685" s="103" t="s">
        <v>92</v>
      </c>
      <c r="B685" s="104" t="str">
        <f>"AddressLine1"</f>
        <v>AddressLine1</v>
      </c>
      <c r="C685" s="104" t="str">
        <f>"yfs_person_info.address_line1"</f>
        <v>yfs_person_info.address_line1</v>
      </c>
      <c r="D685" s="104" t="str">
        <f t="shared" si="633"/>
        <v>string</v>
      </c>
      <c r="E685" s="105" t="str">
        <f t="shared" ref="E685:E690" si="634">"70"</f>
        <v>70</v>
      </c>
      <c r="F685" s="104" t="s">
        <v>685</v>
      </c>
      <c r="G685" s="103" t="str">
        <f t="shared" si="631"/>
        <v>O</v>
      </c>
      <c r="H685" s="103" t="str">
        <f t="shared" ref="H685:H702" si="635">"space"</f>
        <v>space</v>
      </c>
      <c r="I685" s="104" t="str">
        <f t="shared" ref="I685:I714" si="636">""</f>
        <v/>
      </c>
      <c r="J685" s="104" t="str">
        <f>"1 Main Street"</f>
        <v>1 Main Street</v>
      </c>
      <c r="K685" s="104"/>
      <c r="L685" s="105"/>
      <c r="M685" s="104"/>
      <c r="N685" s="104"/>
      <c r="O685" s="104"/>
      <c r="P685" s="104"/>
      <c r="Q685" s="104"/>
      <c r="R685" s="104"/>
      <c r="S685" s="104"/>
      <c r="T685" s="107"/>
      <c r="U685" s="107"/>
    </row>
    <row r="686" ht="15.75" hidden="1" customHeight="1">
      <c r="A686" s="103" t="s">
        <v>92</v>
      </c>
      <c r="B686" s="104" t="str">
        <f>"AddressLine2"</f>
        <v>AddressLine2</v>
      </c>
      <c r="C686" s="104" t="str">
        <f>"yfs_person_info.address_line2"</f>
        <v>yfs_person_info.address_line2</v>
      </c>
      <c r="D686" s="104" t="str">
        <f t="shared" si="633"/>
        <v>string</v>
      </c>
      <c r="E686" s="105" t="str">
        <f t="shared" si="634"/>
        <v>70</v>
      </c>
      <c r="F686" s="104" t="s">
        <v>688</v>
      </c>
      <c r="G686" s="103" t="str">
        <f t="shared" si="631"/>
        <v>O</v>
      </c>
      <c r="H686" s="103" t="str">
        <f t="shared" si="635"/>
        <v>space</v>
      </c>
      <c r="I686" s="104" t="str">
        <f t="shared" si="636"/>
        <v/>
      </c>
      <c r="J686" s="104" t="str">
        <f>"Unit A2"</f>
        <v>Unit A2</v>
      </c>
      <c r="K686" s="104"/>
      <c r="L686" s="105"/>
      <c r="M686" s="104"/>
      <c r="N686" s="104"/>
      <c r="O686" s="104"/>
      <c r="P686" s="104"/>
      <c r="Q686" s="104"/>
      <c r="R686" s="104"/>
      <c r="S686" s="104"/>
      <c r="T686" s="107"/>
      <c r="U686" s="107"/>
    </row>
    <row r="687" ht="15.75" hidden="1" customHeight="1">
      <c r="A687" s="103"/>
      <c r="B687" s="104" t="str">
        <f>"AddressLine3"</f>
        <v>AddressLine3</v>
      </c>
      <c r="C687" s="104" t="str">
        <f>"yfs_person_info.address_line3"</f>
        <v>yfs_person_info.address_line3</v>
      </c>
      <c r="D687" s="104" t="str">
        <f t="shared" si="633"/>
        <v>string</v>
      </c>
      <c r="E687" s="105" t="str">
        <f t="shared" si="634"/>
        <v>70</v>
      </c>
      <c r="F687" s="104" t="s">
        <v>691</v>
      </c>
      <c r="G687" s="103" t="str">
        <f t="shared" si="631"/>
        <v>O</v>
      </c>
      <c r="H687" s="103" t="str">
        <f t="shared" si="635"/>
        <v>space</v>
      </c>
      <c r="I687" s="104" t="str">
        <f t="shared" si="636"/>
        <v/>
      </c>
      <c r="J687" s="104" t="str">
        <f t="shared" ref="J687:J690" si="637">""</f>
        <v/>
      </c>
      <c r="K687" s="104"/>
      <c r="L687" s="105"/>
      <c r="M687" s="104"/>
      <c r="N687" s="104"/>
      <c r="O687" s="104"/>
      <c r="P687" s="104"/>
      <c r="Q687" s="104"/>
      <c r="R687" s="104"/>
      <c r="S687" s="104"/>
      <c r="T687" s="107"/>
      <c r="U687" s="107"/>
    </row>
    <row r="688" ht="15.75" hidden="1" customHeight="1">
      <c r="A688" s="103"/>
      <c r="B688" s="104" t="str">
        <f>"AddressLine4"</f>
        <v>AddressLine4</v>
      </c>
      <c r="C688" s="104" t="str">
        <f>"yfs_person_info.address_line4"</f>
        <v>yfs_person_info.address_line4</v>
      </c>
      <c r="D688" s="104" t="str">
        <f t="shared" si="633"/>
        <v>string</v>
      </c>
      <c r="E688" s="105" t="str">
        <f t="shared" si="634"/>
        <v>70</v>
      </c>
      <c r="F688" s="104" t="s">
        <v>693</v>
      </c>
      <c r="G688" s="103" t="str">
        <f t="shared" si="631"/>
        <v>O</v>
      </c>
      <c r="H688" s="103" t="str">
        <f t="shared" si="635"/>
        <v>space</v>
      </c>
      <c r="I688" s="104" t="str">
        <f t="shared" si="636"/>
        <v/>
      </c>
      <c r="J688" s="104" t="str">
        <f t="shared" si="637"/>
        <v/>
      </c>
      <c r="K688" s="104"/>
      <c r="L688" s="105"/>
      <c r="M688" s="104"/>
      <c r="N688" s="104"/>
      <c r="O688" s="104"/>
      <c r="P688" s="104"/>
      <c r="Q688" s="104"/>
      <c r="R688" s="104"/>
      <c r="S688" s="104"/>
      <c r="T688" s="107"/>
      <c r="U688" s="107"/>
    </row>
    <row r="689" ht="15.75" hidden="1" customHeight="1">
      <c r="A689" s="103"/>
      <c r="B689" s="104" t="str">
        <f>"AddressLine5"</f>
        <v>AddressLine5</v>
      </c>
      <c r="C689" s="104" t="str">
        <f>"yfs_person_info.address_line5"</f>
        <v>yfs_person_info.address_line5</v>
      </c>
      <c r="D689" s="104" t="str">
        <f t="shared" si="633"/>
        <v>string</v>
      </c>
      <c r="E689" s="105" t="str">
        <f t="shared" si="634"/>
        <v>70</v>
      </c>
      <c r="F689" s="104" t="s">
        <v>694</v>
      </c>
      <c r="G689" s="103" t="str">
        <f t="shared" si="631"/>
        <v>O</v>
      </c>
      <c r="H689" s="103" t="str">
        <f t="shared" si="635"/>
        <v>space</v>
      </c>
      <c r="I689" s="104" t="str">
        <f t="shared" si="636"/>
        <v/>
      </c>
      <c r="J689" s="104" t="str">
        <f t="shared" si="637"/>
        <v/>
      </c>
      <c r="K689" s="104"/>
      <c r="L689" s="105"/>
      <c r="M689" s="104"/>
      <c r="N689" s="104"/>
      <c r="O689" s="104"/>
      <c r="P689" s="104"/>
      <c r="Q689" s="104"/>
      <c r="R689" s="104"/>
      <c r="S689" s="104"/>
      <c r="T689" s="107"/>
      <c r="U689" s="107"/>
    </row>
    <row r="690" ht="15.75" hidden="1" customHeight="1">
      <c r="A690" s="103"/>
      <c r="B690" s="104" t="str">
        <f>"AddressLine6"</f>
        <v>AddressLine6</v>
      </c>
      <c r="C690" s="104" t="str">
        <f>"yfs_person_info.address_line6"</f>
        <v>yfs_person_info.address_line6</v>
      </c>
      <c r="D690" s="104" t="str">
        <f t="shared" si="633"/>
        <v>string</v>
      </c>
      <c r="E690" s="105" t="str">
        <f t="shared" si="634"/>
        <v>70</v>
      </c>
      <c r="F690" s="104" t="s">
        <v>695</v>
      </c>
      <c r="G690" s="103" t="str">
        <f t="shared" si="631"/>
        <v>O</v>
      </c>
      <c r="H690" s="103" t="str">
        <f t="shared" si="635"/>
        <v>space</v>
      </c>
      <c r="I690" s="104" t="str">
        <f t="shared" si="636"/>
        <v/>
      </c>
      <c r="J690" s="104" t="str">
        <f t="shared" si="637"/>
        <v/>
      </c>
      <c r="K690" s="104"/>
      <c r="L690" s="105"/>
      <c r="M690" s="104"/>
      <c r="N690" s="104"/>
      <c r="O690" s="104"/>
      <c r="P690" s="104"/>
      <c r="Q690" s="104"/>
      <c r="R690" s="104"/>
      <c r="S690" s="104"/>
      <c r="T690" s="107"/>
      <c r="U690" s="107"/>
    </row>
    <row r="691" ht="15.75" hidden="1" customHeight="1">
      <c r="A691" s="103"/>
      <c r="B691" s="104" t="str">
        <f>"AlternateEmailID"</f>
        <v>AlternateEmailID</v>
      </c>
      <c r="C691" s="104" t="str">
        <f>"yfs_person_info.alternate_emailid"</f>
        <v>yfs_person_info.alternate_emailid</v>
      </c>
      <c r="D691" s="104" t="str">
        <f t="shared" si="633"/>
        <v>string</v>
      </c>
      <c r="E691" s="105" t="str">
        <f>"150"</f>
        <v>150</v>
      </c>
      <c r="F691" s="104" t="s">
        <v>696</v>
      </c>
      <c r="G691" s="103" t="str">
        <f t="shared" si="631"/>
        <v>O</v>
      </c>
      <c r="H691" s="103" t="str">
        <f t="shared" si="635"/>
        <v>space</v>
      </c>
      <c r="I691" s="104" t="str">
        <f t="shared" si="636"/>
        <v/>
      </c>
      <c r="J691" s="104" t="str">
        <f>"john.doe@workplace.com"</f>
        <v>john.doe@workplace.com</v>
      </c>
      <c r="K691" s="104"/>
      <c r="L691" s="105"/>
      <c r="M691" s="104"/>
      <c r="N691" s="104"/>
      <c r="O691" s="104"/>
      <c r="P691" s="104"/>
      <c r="Q691" s="104"/>
      <c r="R691" s="104"/>
      <c r="S691" s="104"/>
      <c r="T691" s="107"/>
      <c r="U691" s="107"/>
    </row>
    <row r="692" ht="15.75" hidden="1" customHeight="1">
      <c r="A692" s="103"/>
      <c r="B692" s="104" t="str">
        <f>"Beeper"</f>
        <v>Beeper</v>
      </c>
      <c r="C692" s="104" t="str">
        <f>"yfs_person_info.beeper"</f>
        <v>yfs_person_info.beeper</v>
      </c>
      <c r="D692" s="104" t="str">
        <f t="shared" si="633"/>
        <v>string</v>
      </c>
      <c r="E692" s="105" t="str">
        <f>"40"</f>
        <v>40</v>
      </c>
      <c r="F692" s="104" t="s">
        <v>697</v>
      </c>
      <c r="G692" s="103" t="str">
        <f t="shared" si="631"/>
        <v>O</v>
      </c>
      <c r="H692" s="103" t="str">
        <f t="shared" si="635"/>
        <v>space</v>
      </c>
      <c r="I692" s="104" t="str">
        <f t="shared" si="636"/>
        <v/>
      </c>
      <c r="J692" s="104" t="str">
        <f>""</f>
        <v/>
      </c>
      <c r="K692" s="104"/>
      <c r="L692" s="105"/>
      <c r="M692" s="104"/>
      <c r="N692" s="104"/>
      <c r="O692" s="104"/>
      <c r="P692" s="104"/>
      <c r="Q692" s="104"/>
      <c r="R692" s="104"/>
      <c r="S692" s="104"/>
      <c r="T692" s="107"/>
      <c r="U692" s="107"/>
    </row>
    <row r="693" ht="15.75" hidden="1" customHeight="1">
      <c r="A693" s="103" t="s">
        <v>92</v>
      </c>
      <c r="B693" s="104" t="str">
        <f>"City"</f>
        <v>City</v>
      </c>
      <c r="C693" s="104" t="str">
        <f>"yfs_person_info.city"</f>
        <v>yfs_person_info.city</v>
      </c>
      <c r="D693" s="104" t="str">
        <f t="shared" si="633"/>
        <v>string</v>
      </c>
      <c r="E693" s="105" t="str">
        <f>"35"</f>
        <v>35</v>
      </c>
      <c r="F693" s="104" t="s">
        <v>704</v>
      </c>
      <c r="G693" s="103" t="str">
        <f t="shared" si="631"/>
        <v>O</v>
      </c>
      <c r="H693" s="103" t="str">
        <f t="shared" si="635"/>
        <v>space</v>
      </c>
      <c r="I693" s="104" t="str">
        <f t="shared" si="636"/>
        <v/>
      </c>
      <c r="J693" s="104" t="str">
        <f>"Foxboro"</f>
        <v>Foxboro</v>
      </c>
      <c r="K693" s="104"/>
      <c r="L693" s="105"/>
      <c r="M693" s="104"/>
      <c r="N693" s="104"/>
      <c r="O693" s="104"/>
      <c r="P693" s="104"/>
      <c r="Q693" s="104"/>
      <c r="R693" s="104"/>
      <c r="S693" s="104"/>
      <c r="T693" s="107"/>
      <c r="U693" s="107"/>
    </row>
    <row r="694" ht="15.75" hidden="1" customHeight="1">
      <c r="A694" s="103"/>
      <c r="B694" s="104" t="str">
        <f>"Company"</f>
        <v>Company</v>
      </c>
      <c r="C694" s="104" t="str">
        <f>"yfs_person_info.company"</f>
        <v>yfs_person_info.company</v>
      </c>
      <c r="D694" s="104" t="str">
        <f>"UNKNOWN"</f>
        <v>UNKNOWN</v>
      </c>
      <c r="E694" s="105" t="str">
        <f>""</f>
        <v/>
      </c>
      <c r="F694" s="104" t="s">
        <v>706</v>
      </c>
      <c r="G694" s="103" t="str">
        <f t="shared" si="631"/>
        <v>O</v>
      </c>
      <c r="H694" s="103" t="str">
        <f t="shared" si="635"/>
        <v>space</v>
      </c>
      <c r="I694" s="104" t="str">
        <f t="shared" si="636"/>
        <v/>
      </c>
      <c r="J694" s="104" t="str">
        <f>"Things 'R Us"</f>
        <v>Things 'R Us</v>
      </c>
      <c r="K694" s="104"/>
      <c r="L694" s="105"/>
      <c r="M694" s="104"/>
      <c r="N694" s="104"/>
      <c r="O694" s="104"/>
      <c r="P694" s="104"/>
      <c r="Q694" s="104"/>
      <c r="R694" s="104"/>
      <c r="S694" s="104"/>
      <c r="T694" s="107"/>
      <c r="U694" s="107"/>
    </row>
    <row r="695" ht="15.75" hidden="1" customHeight="1">
      <c r="A695" s="103" t="s">
        <v>92</v>
      </c>
      <c r="B695" s="104" t="str">
        <f>"Country"</f>
        <v>Country</v>
      </c>
      <c r="C695" s="104" t="str">
        <f>"yfs_person_info.country"</f>
        <v>yfs_person_info.country</v>
      </c>
      <c r="D695" s="104" t="str">
        <f t="shared" ref="D695:D697" si="638">"string"</f>
        <v>string</v>
      </c>
      <c r="E695" s="105" t="str">
        <f t="shared" ref="E695:E697" si="639">"40"</f>
        <v>40</v>
      </c>
      <c r="F695" s="104" t="s">
        <v>708</v>
      </c>
      <c r="G695" s="103" t="str">
        <f t="shared" si="631"/>
        <v>O</v>
      </c>
      <c r="H695" s="103" t="str">
        <f t="shared" si="635"/>
        <v>space</v>
      </c>
      <c r="I695" s="104" t="str">
        <f t="shared" si="636"/>
        <v/>
      </c>
      <c r="J695" s="104" t="str">
        <f>"US"</f>
        <v>US</v>
      </c>
      <c r="K695" s="104"/>
      <c r="L695" s="105"/>
      <c r="M695" s="104"/>
      <c r="N695" s="104"/>
      <c r="O695" s="104"/>
      <c r="P695" s="104"/>
      <c r="Q695" s="104"/>
      <c r="R695" s="104"/>
      <c r="S695" s="104"/>
      <c r="T695" s="107"/>
      <c r="U695" s="107"/>
    </row>
    <row r="696" ht="15.75" hidden="1" customHeight="1">
      <c r="A696" s="103"/>
      <c r="B696" s="104" t="str">
        <f>"DayFaxNo"</f>
        <v>DayFaxNo</v>
      </c>
      <c r="C696" s="104" t="str">
        <f>"yfs_person_info.day_fax_no"</f>
        <v>yfs_person_info.day_fax_no</v>
      </c>
      <c r="D696" s="104" t="str">
        <f t="shared" si="638"/>
        <v>string</v>
      </c>
      <c r="E696" s="105" t="str">
        <f t="shared" si="639"/>
        <v>40</v>
      </c>
      <c r="F696" s="104" t="s">
        <v>712</v>
      </c>
      <c r="G696" s="103" t="str">
        <f t="shared" si="631"/>
        <v>O</v>
      </c>
      <c r="H696" s="103" t="str">
        <f t="shared" si="635"/>
        <v>space</v>
      </c>
      <c r="I696" s="104" t="str">
        <f t="shared" si="636"/>
        <v/>
      </c>
      <c r="J696" s="104" t="str">
        <f>""</f>
        <v/>
      </c>
      <c r="K696" s="104"/>
      <c r="L696" s="105"/>
      <c r="M696" s="104"/>
      <c r="N696" s="104"/>
      <c r="O696" s="104"/>
      <c r="P696" s="104"/>
      <c r="Q696" s="104"/>
      <c r="R696" s="104"/>
      <c r="S696" s="104"/>
      <c r="T696" s="107"/>
      <c r="U696" s="107"/>
    </row>
    <row r="697" ht="15.75" hidden="1" customHeight="1">
      <c r="A697" s="103" t="s">
        <v>92</v>
      </c>
      <c r="B697" s="104" t="str">
        <f>"DayPhone"</f>
        <v>DayPhone</v>
      </c>
      <c r="C697" s="104" t="str">
        <f>"yfs_person_info.day_phone"</f>
        <v>yfs_person_info.day_phone</v>
      </c>
      <c r="D697" s="104" t="str">
        <f t="shared" si="638"/>
        <v>string</v>
      </c>
      <c r="E697" s="105" t="str">
        <f t="shared" si="639"/>
        <v>40</v>
      </c>
      <c r="F697" s="104" t="s">
        <v>713</v>
      </c>
      <c r="G697" s="103" t="str">
        <f t="shared" si="631"/>
        <v>O</v>
      </c>
      <c r="H697" s="103" t="str">
        <f t="shared" si="635"/>
        <v>space</v>
      </c>
      <c r="I697" s="104" t="str">
        <f t="shared" si="636"/>
        <v/>
      </c>
      <c r="J697" s="104" t="str">
        <f>"(508) 555-1212"</f>
        <v>(508) 555-1212</v>
      </c>
      <c r="K697" s="104"/>
      <c r="L697" s="105"/>
      <c r="M697" s="104"/>
      <c r="N697" s="104"/>
      <c r="O697" s="104"/>
      <c r="P697" s="104"/>
      <c r="Q697" s="104"/>
      <c r="R697" s="104"/>
      <c r="S697" s="104"/>
      <c r="T697" s="107"/>
      <c r="U697" s="107"/>
    </row>
    <row r="698" ht="15.75" hidden="1" customHeight="1">
      <c r="A698" s="103"/>
      <c r="B698" s="104" t="str">
        <f>"Department"</f>
        <v>Department</v>
      </c>
      <c r="C698" s="104" t="str">
        <f>"yfs_person_info.department"</f>
        <v>yfs_person_info.department</v>
      </c>
      <c r="D698" s="104" t="str">
        <f>"UNKNOWN"</f>
        <v>UNKNOWN</v>
      </c>
      <c r="E698" s="105" t="str">
        <f>""</f>
        <v/>
      </c>
      <c r="F698" s="104" t="s">
        <v>715</v>
      </c>
      <c r="G698" s="103" t="str">
        <f t="shared" si="631"/>
        <v>O</v>
      </c>
      <c r="H698" s="103" t="str">
        <f t="shared" si="635"/>
        <v>space</v>
      </c>
      <c r="I698" s="104" t="str">
        <f t="shared" si="636"/>
        <v/>
      </c>
      <c r="J698" s="104" t="str">
        <f>""</f>
        <v/>
      </c>
      <c r="K698" s="104"/>
      <c r="L698" s="105"/>
      <c r="M698" s="104"/>
      <c r="N698" s="104"/>
      <c r="O698" s="104"/>
      <c r="P698" s="104"/>
      <c r="Q698" s="104"/>
      <c r="R698" s="104"/>
      <c r="S698" s="104"/>
      <c r="T698" s="107"/>
      <c r="U698" s="107"/>
    </row>
    <row r="699" ht="15.75" hidden="1" customHeight="1">
      <c r="A699" s="103" t="s">
        <v>92</v>
      </c>
      <c r="B699" s="104" t="str">
        <f>"EMailID"</f>
        <v>EMailID</v>
      </c>
      <c r="C699" s="104" t="str">
        <f>"yfs_person_info.emailid"</f>
        <v>yfs_person_info.emailid</v>
      </c>
      <c r="D699" s="104" t="str">
        <f t="shared" ref="D699:D701" si="640">"string"</f>
        <v>string</v>
      </c>
      <c r="E699" s="105" t="str">
        <f>"150"</f>
        <v>150</v>
      </c>
      <c r="F699" s="104" t="s">
        <v>716</v>
      </c>
      <c r="G699" s="103" t="str">
        <f t="shared" si="631"/>
        <v>O</v>
      </c>
      <c r="H699" s="103" t="str">
        <f t="shared" si="635"/>
        <v>space</v>
      </c>
      <c r="I699" s="104" t="str">
        <f t="shared" si="636"/>
        <v/>
      </c>
      <c r="J699" s="104" t="str">
        <f>"john.doe@mail.com"</f>
        <v>john.doe@mail.com</v>
      </c>
      <c r="K699" s="104"/>
      <c r="L699" s="105"/>
      <c r="M699" s="104"/>
      <c r="N699" s="104"/>
      <c r="O699" s="104"/>
      <c r="P699" s="104"/>
      <c r="Q699" s="104"/>
      <c r="R699" s="104"/>
      <c r="S699" s="104"/>
      <c r="T699" s="107"/>
      <c r="U699" s="107"/>
    </row>
    <row r="700" ht="15.75" hidden="1" customHeight="1">
      <c r="A700" s="103"/>
      <c r="B700" s="104" t="str">
        <f>"EveningFaxNo"</f>
        <v>EveningFaxNo</v>
      </c>
      <c r="C700" s="104" t="str">
        <f>"yfs_person_info.evening_fax_no"</f>
        <v>yfs_person_info.evening_fax_no</v>
      </c>
      <c r="D700" s="104" t="str">
        <f t="shared" si="640"/>
        <v>string</v>
      </c>
      <c r="E700" s="105" t="str">
        <f t="shared" ref="E700:E701" si="641">"40"</f>
        <v>40</v>
      </c>
      <c r="F700" s="104" t="s">
        <v>718</v>
      </c>
      <c r="G700" s="103" t="str">
        <f t="shared" si="631"/>
        <v>O</v>
      </c>
      <c r="H700" s="103" t="str">
        <f t="shared" si="635"/>
        <v>space</v>
      </c>
      <c r="I700" s="104" t="str">
        <f t="shared" si="636"/>
        <v/>
      </c>
      <c r="J700" s="104" t="str">
        <f>"(617) 555-3333"</f>
        <v>(617) 555-3333</v>
      </c>
      <c r="K700" s="104"/>
      <c r="L700" s="105"/>
      <c r="M700" s="104"/>
      <c r="N700" s="104"/>
      <c r="O700" s="104"/>
      <c r="P700" s="104"/>
      <c r="Q700" s="104"/>
      <c r="R700" s="104"/>
      <c r="S700" s="104"/>
      <c r="T700" s="107"/>
      <c r="U700" s="107"/>
    </row>
    <row r="701" ht="15.75" hidden="1" customHeight="1">
      <c r="A701" s="103"/>
      <c r="B701" s="104" t="str">
        <f>"EveningPhone"</f>
        <v>EveningPhone</v>
      </c>
      <c r="C701" s="104" t="str">
        <f>"yfs_person_info.evening_phone"</f>
        <v>yfs_person_info.evening_phone</v>
      </c>
      <c r="D701" s="104" t="str">
        <f t="shared" si="640"/>
        <v>string</v>
      </c>
      <c r="E701" s="105" t="str">
        <f t="shared" si="641"/>
        <v>40</v>
      </c>
      <c r="F701" s="104" t="s">
        <v>719</v>
      </c>
      <c r="G701" s="103" t="str">
        <f t="shared" si="631"/>
        <v>O</v>
      </c>
      <c r="H701" s="103" t="str">
        <f t="shared" si="635"/>
        <v>space</v>
      </c>
      <c r="I701" s="104" t="str">
        <f t="shared" si="636"/>
        <v/>
      </c>
      <c r="J701" s="104" t="str">
        <f>"(617) 555-1212"</f>
        <v>(617) 555-1212</v>
      </c>
      <c r="K701" s="104"/>
      <c r="L701" s="105"/>
      <c r="M701" s="104"/>
      <c r="N701" s="104"/>
      <c r="O701" s="104"/>
      <c r="P701" s="104"/>
      <c r="Q701" s="104"/>
      <c r="R701" s="104"/>
      <c r="S701" s="104"/>
      <c r="T701" s="107"/>
      <c r="U701" s="107"/>
    </row>
    <row r="702" ht="15.75" hidden="1" customHeight="1">
      <c r="A702" s="103" t="s">
        <v>92</v>
      </c>
      <c r="B702" s="104" t="str">
        <f>"FirstName"</f>
        <v>FirstName</v>
      </c>
      <c r="C702" s="104" t="str">
        <f>"yfs_person_info.first_name"</f>
        <v>yfs_person_info.first_name</v>
      </c>
      <c r="D702" s="104" t="str">
        <f>"UNKNOWN"</f>
        <v>UNKNOWN</v>
      </c>
      <c r="E702" s="105" t="str">
        <f>""</f>
        <v/>
      </c>
      <c r="F702" s="104" t="s">
        <v>720</v>
      </c>
      <c r="G702" s="103" t="str">
        <f t="shared" si="631"/>
        <v>O</v>
      </c>
      <c r="H702" s="103" t="str">
        <f t="shared" si="635"/>
        <v>space</v>
      </c>
      <c r="I702" s="104" t="str">
        <f t="shared" si="636"/>
        <v/>
      </c>
      <c r="J702" s="104" t="str">
        <f>"John"</f>
        <v>John</v>
      </c>
      <c r="K702" s="104"/>
      <c r="L702" s="105"/>
      <c r="M702" s="104"/>
      <c r="N702" s="104"/>
      <c r="O702" s="104"/>
      <c r="P702" s="104"/>
      <c r="Q702" s="104"/>
      <c r="R702" s="104"/>
      <c r="S702" s="104"/>
      <c r="T702" s="107"/>
      <c r="U702" s="107"/>
    </row>
    <row r="703" ht="15.75" hidden="1" customHeight="1">
      <c r="A703" s="103"/>
      <c r="B703" s="104" t="str">
        <f>"IsCommercialAddress"</f>
        <v>IsCommercialAddress</v>
      </c>
      <c r="C703" s="104" t="str">
        <f>"yfs_person_info.is_commercial_address"</f>
        <v>yfs_person_info.is_commercial_address</v>
      </c>
      <c r="D703" s="104" t="str">
        <f>"string"</f>
        <v>string</v>
      </c>
      <c r="E703" s="105" t="str">
        <f>"1"</f>
        <v>1</v>
      </c>
      <c r="F703" s="104" t="s">
        <v>722</v>
      </c>
      <c r="G703" s="103" t="str">
        <f t="shared" si="631"/>
        <v>O</v>
      </c>
      <c r="H703" s="103" t="str">
        <f>"null"</f>
        <v>null</v>
      </c>
      <c r="I703" s="104" t="str">
        <f t="shared" si="636"/>
        <v/>
      </c>
      <c r="J703" s="104" t="str">
        <f>"Y"</f>
        <v>Y</v>
      </c>
      <c r="K703" s="104"/>
      <c r="L703" s="105"/>
      <c r="M703" s="104"/>
      <c r="N703" s="104"/>
      <c r="O703" s="104"/>
      <c r="P703" s="104"/>
      <c r="Q703" s="104"/>
      <c r="R703" s="104"/>
      <c r="S703" s="104"/>
      <c r="T703" s="107"/>
      <c r="U703" s="107"/>
    </row>
    <row r="704" ht="15.75" hidden="1" customHeight="1">
      <c r="A704" s="103"/>
      <c r="B704" s="104" t="str">
        <f>"JobTitle"</f>
        <v>JobTitle</v>
      </c>
      <c r="C704" s="104" t="str">
        <f>"yfs_person_info.job_title"</f>
        <v>yfs_person_info.job_title</v>
      </c>
      <c r="D704" s="104" t="str">
        <f t="shared" ref="D704:D706" si="642">"UNKNOWN"</f>
        <v>UNKNOWN</v>
      </c>
      <c r="E704" s="105" t="str">
        <f t="shared" ref="E704:E706" si="643">""</f>
        <v/>
      </c>
      <c r="F704" s="104" t="s">
        <v>723</v>
      </c>
      <c r="G704" s="103" t="str">
        <f t="shared" si="631"/>
        <v>O</v>
      </c>
      <c r="H704" s="103" t="str">
        <f t="shared" ref="H704:H711" si="644">"space"</f>
        <v>space</v>
      </c>
      <c r="I704" s="104" t="str">
        <f t="shared" si="636"/>
        <v/>
      </c>
      <c r="J704" s="104" t="str">
        <f>"Procurement Manager"</f>
        <v>Procurement Manager</v>
      </c>
      <c r="K704" s="104"/>
      <c r="L704" s="105"/>
      <c r="M704" s="104"/>
      <c r="N704" s="104"/>
      <c r="O704" s="104"/>
      <c r="P704" s="104"/>
      <c r="Q704" s="104"/>
      <c r="R704" s="104"/>
      <c r="S704" s="104"/>
      <c r="T704" s="107"/>
      <c r="U704" s="107"/>
    </row>
    <row r="705" ht="15.75" hidden="1" customHeight="1">
      <c r="A705" s="103" t="s">
        <v>92</v>
      </c>
      <c r="B705" s="104" t="str">
        <f>"LastName"</f>
        <v>LastName</v>
      </c>
      <c r="C705" s="104" t="str">
        <f>"yfs_person_info.last_name"</f>
        <v>yfs_person_info.last_name</v>
      </c>
      <c r="D705" s="104" t="str">
        <f t="shared" si="642"/>
        <v>UNKNOWN</v>
      </c>
      <c r="E705" s="105" t="str">
        <f t="shared" si="643"/>
        <v/>
      </c>
      <c r="F705" s="104" t="s">
        <v>724</v>
      </c>
      <c r="G705" s="103" t="str">
        <f t="shared" si="631"/>
        <v>O</v>
      </c>
      <c r="H705" s="103" t="str">
        <f t="shared" si="644"/>
        <v>space</v>
      </c>
      <c r="I705" s="104" t="str">
        <f t="shared" si="636"/>
        <v/>
      </c>
      <c r="J705" s="104" t="str">
        <f>"Doe"</f>
        <v>Doe</v>
      </c>
      <c r="K705" s="104"/>
      <c r="L705" s="105"/>
      <c r="M705" s="104"/>
      <c r="N705" s="104"/>
      <c r="O705" s="104"/>
      <c r="P705" s="104"/>
      <c r="Q705" s="104"/>
      <c r="R705" s="104"/>
      <c r="S705" s="104"/>
      <c r="T705" s="107"/>
      <c r="U705" s="107"/>
    </row>
    <row r="706" ht="15.75" hidden="1" customHeight="1">
      <c r="A706" s="103"/>
      <c r="B706" s="104" t="str">
        <f>"MiddleName"</f>
        <v>MiddleName</v>
      </c>
      <c r="C706" s="104" t="str">
        <f>"yfs_person_info.middle_name"</f>
        <v>yfs_person_info.middle_name</v>
      </c>
      <c r="D706" s="104" t="str">
        <f t="shared" si="642"/>
        <v>UNKNOWN</v>
      </c>
      <c r="E706" s="105" t="str">
        <f t="shared" si="643"/>
        <v/>
      </c>
      <c r="F706" s="104" t="s">
        <v>726</v>
      </c>
      <c r="G706" s="103" t="str">
        <f t="shared" si="631"/>
        <v>O</v>
      </c>
      <c r="H706" s="103" t="str">
        <f t="shared" si="644"/>
        <v>space</v>
      </c>
      <c r="I706" s="104" t="str">
        <f t="shared" si="636"/>
        <v/>
      </c>
      <c r="J706" s="104" t="str">
        <f>"E"</f>
        <v>E</v>
      </c>
      <c r="K706" s="104"/>
      <c r="L706" s="105"/>
      <c r="M706" s="104"/>
      <c r="N706" s="104"/>
      <c r="O706" s="104"/>
      <c r="P706" s="104"/>
      <c r="Q706" s="104"/>
      <c r="R706" s="104"/>
      <c r="S706" s="104"/>
      <c r="T706" s="107"/>
      <c r="U706" s="107"/>
    </row>
    <row r="707" ht="15.75" hidden="1" customHeight="1">
      <c r="A707" s="103"/>
      <c r="B707" s="104" t="str">
        <f>"MobilePhone"</f>
        <v>MobilePhone</v>
      </c>
      <c r="C707" s="104" t="str">
        <f>"yfs_person_info.mobile_phone"</f>
        <v>yfs_person_info.mobile_phone</v>
      </c>
      <c r="D707" s="104" t="str">
        <f t="shared" ref="D707:D708" si="645">"string"</f>
        <v>string</v>
      </c>
      <c r="E707" s="105" t="str">
        <f t="shared" ref="E707:E708" si="646">"40"</f>
        <v>40</v>
      </c>
      <c r="F707" s="104" t="s">
        <v>730</v>
      </c>
      <c r="G707" s="103" t="str">
        <f t="shared" si="631"/>
        <v>O</v>
      </c>
      <c r="H707" s="103" t="str">
        <f t="shared" si="644"/>
        <v>space</v>
      </c>
      <c r="I707" s="104" t="str">
        <f t="shared" si="636"/>
        <v/>
      </c>
      <c r="J707" s="104" t="str">
        <f>"(978) 555-1212"</f>
        <v>(978) 555-1212</v>
      </c>
      <c r="K707" s="104"/>
      <c r="L707" s="105"/>
      <c r="M707" s="104"/>
      <c r="N707" s="104"/>
      <c r="O707" s="104"/>
      <c r="P707" s="104"/>
      <c r="Q707" s="104"/>
      <c r="R707" s="104"/>
      <c r="S707" s="104"/>
      <c r="T707" s="107"/>
      <c r="U707" s="107"/>
    </row>
    <row r="708" ht="15.75" hidden="1" customHeight="1">
      <c r="A708" s="103"/>
      <c r="B708" s="104" t="str">
        <f>"OtherPhone"</f>
        <v>OtherPhone</v>
      </c>
      <c r="C708" s="104" t="str">
        <f>"yfs_person_info.other_phone"</f>
        <v>yfs_person_info.other_phone</v>
      </c>
      <c r="D708" s="104" t="str">
        <f t="shared" si="645"/>
        <v>string</v>
      </c>
      <c r="E708" s="105" t="str">
        <f t="shared" si="646"/>
        <v>40</v>
      </c>
      <c r="F708" s="104" t="s">
        <v>728</v>
      </c>
      <c r="G708" s="103" t="str">
        <f t="shared" si="631"/>
        <v>O</v>
      </c>
      <c r="H708" s="103" t="str">
        <f t="shared" si="644"/>
        <v>space</v>
      </c>
      <c r="I708" s="104" t="str">
        <f t="shared" si="636"/>
        <v/>
      </c>
      <c r="J708" s="104" t="str">
        <f>"(781) 555-1212"</f>
        <v>(781) 555-1212</v>
      </c>
      <c r="K708" s="104"/>
      <c r="L708" s="105"/>
      <c r="M708" s="104"/>
      <c r="N708" s="104"/>
      <c r="O708" s="104"/>
      <c r="P708" s="104"/>
      <c r="Q708" s="104"/>
      <c r="R708" s="104"/>
      <c r="S708" s="104"/>
      <c r="T708" s="107"/>
      <c r="U708" s="107"/>
    </row>
    <row r="709" ht="15.75" hidden="1" customHeight="1">
      <c r="A709" s="103"/>
      <c r="B709" s="104" t="str">
        <f>"PersonID"</f>
        <v>PersonID</v>
      </c>
      <c r="C709" s="104" t="str">
        <f>"yfs_person_info.person_id"</f>
        <v>yfs_person_info.person_id</v>
      </c>
      <c r="D709" s="104" t="str">
        <f>"UNKNOWN"</f>
        <v>UNKNOWN</v>
      </c>
      <c r="E709" s="105" t="str">
        <f>""</f>
        <v/>
      </c>
      <c r="F709" s="104" t="s">
        <v>729</v>
      </c>
      <c r="G709" s="103" t="str">
        <f t="shared" si="631"/>
        <v>O</v>
      </c>
      <c r="H709" s="103" t="str">
        <f t="shared" si="644"/>
        <v>space</v>
      </c>
      <c r="I709" s="104" t="str">
        <f t="shared" si="636"/>
        <v/>
      </c>
      <c r="J709" s="104" t="str">
        <f>""</f>
        <v/>
      </c>
      <c r="K709" s="104"/>
      <c r="L709" s="105"/>
      <c r="M709" s="104"/>
      <c r="N709" s="104"/>
      <c r="O709" s="104"/>
      <c r="P709" s="104"/>
      <c r="Q709" s="104"/>
      <c r="R709" s="104"/>
      <c r="S709" s="104"/>
      <c r="T709" s="107"/>
      <c r="U709" s="107"/>
    </row>
    <row r="710" ht="15.75" hidden="1" customHeight="1">
      <c r="A710" s="103" t="s">
        <v>92</v>
      </c>
      <c r="B710" s="104" t="str">
        <f>"State"</f>
        <v>State</v>
      </c>
      <c r="C710" s="104" t="str">
        <f>"yfs_person_info.state"</f>
        <v>yfs_person_info.state</v>
      </c>
      <c r="D710" s="104" t="str">
        <f>"string"</f>
        <v>string</v>
      </c>
      <c r="E710" s="105" t="str">
        <f>"35"</f>
        <v>35</v>
      </c>
      <c r="F710" s="104" t="s">
        <v>731</v>
      </c>
      <c r="G710" s="103" t="str">
        <f t="shared" si="631"/>
        <v>O</v>
      </c>
      <c r="H710" s="103" t="str">
        <f t="shared" si="644"/>
        <v>space</v>
      </c>
      <c r="I710" s="104" t="str">
        <f t="shared" si="636"/>
        <v/>
      </c>
      <c r="J710" s="104" t="str">
        <f>"MA"</f>
        <v>MA</v>
      </c>
      <c r="K710" s="104"/>
      <c r="L710" s="105"/>
      <c r="M710" s="104"/>
      <c r="N710" s="104"/>
      <c r="O710" s="104"/>
      <c r="P710" s="104"/>
      <c r="Q710" s="104"/>
      <c r="R710" s="104"/>
      <c r="S710" s="104"/>
      <c r="T710" s="107"/>
      <c r="U710" s="107"/>
    </row>
    <row r="711" ht="15.75" hidden="1" customHeight="1">
      <c r="A711" s="103"/>
      <c r="B711" s="104" t="str">
        <f>"Suffix"</f>
        <v>Suffix</v>
      </c>
      <c r="C711" s="104" t="str">
        <f>"yfs_person_info.suffix"</f>
        <v>yfs_person_info.suffix</v>
      </c>
      <c r="D711" s="104" t="str">
        <f t="shared" ref="D711:D713" si="647">"UNKNOWN"</f>
        <v>UNKNOWN</v>
      </c>
      <c r="E711" s="105" t="str">
        <f t="shared" ref="E711:E713" si="648">""</f>
        <v/>
      </c>
      <c r="F711" s="104" t="s">
        <v>735</v>
      </c>
      <c r="G711" s="103" t="str">
        <f t="shared" si="631"/>
        <v>O</v>
      </c>
      <c r="H711" s="103" t="str">
        <f t="shared" si="644"/>
        <v>space</v>
      </c>
      <c r="I711" s="104" t="str">
        <f t="shared" si="636"/>
        <v/>
      </c>
      <c r="J711" s="104" t="str">
        <f t="shared" ref="J711:J712" si="649">""</f>
        <v/>
      </c>
      <c r="K711" s="104"/>
      <c r="L711" s="105"/>
      <c r="M711" s="104"/>
      <c r="N711" s="104"/>
      <c r="O711" s="104"/>
      <c r="P711" s="104"/>
      <c r="Q711" s="104"/>
      <c r="R711" s="104"/>
      <c r="S711" s="104"/>
      <c r="T711" s="107"/>
      <c r="U711" s="107"/>
    </row>
    <row r="712" ht="15.75" hidden="1" customHeight="1">
      <c r="A712" s="103" t="s">
        <v>92</v>
      </c>
      <c r="B712" s="104" t="str">
        <f>"TaxGeoCode"</f>
        <v>TaxGeoCode</v>
      </c>
      <c r="C712" s="104" t="str">
        <f>"yfs_person_info.tax_geo_code"</f>
        <v>yfs_person_info.tax_geo_code</v>
      </c>
      <c r="D712" s="104" t="str">
        <f t="shared" si="647"/>
        <v>UNKNOWN</v>
      </c>
      <c r="E712" s="105" t="str">
        <f t="shared" si="648"/>
        <v/>
      </c>
      <c r="F712" s="104" t="s">
        <v>738</v>
      </c>
      <c r="G712" s="103" t="str">
        <f t="shared" si="631"/>
        <v>O</v>
      </c>
      <c r="H712" s="103" t="str">
        <f>"null"</f>
        <v>null</v>
      </c>
      <c r="I712" s="104" t="str">
        <f t="shared" si="636"/>
        <v/>
      </c>
      <c r="J712" s="104" t="str">
        <f t="shared" si="649"/>
        <v/>
      </c>
      <c r="K712" s="104"/>
      <c r="L712" s="105"/>
      <c r="M712" s="104"/>
      <c r="N712" s="104"/>
      <c r="O712" s="104"/>
      <c r="P712" s="104"/>
      <c r="Q712" s="104"/>
      <c r="R712" s="104"/>
      <c r="S712" s="104"/>
      <c r="T712" s="107"/>
      <c r="U712" s="107"/>
    </row>
    <row r="713" ht="15.75" hidden="1" customHeight="1">
      <c r="A713" s="103" t="s">
        <v>92</v>
      </c>
      <c r="B713" s="104" t="str">
        <f>"Title"</f>
        <v>Title</v>
      </c>
      <c r="C713" s="104" t="str">
        <f>"yfs_person_info.title"</f>
        <v>yfs_person_info.title</v>
      </c>
      <c r="D713" s="104" t="str">
        <f t="shared" si="647"/>
        <v>UNKNOWN</v>
      </c>
      <c r="E713" s="105" t="str">
        <f t="shared" si="648"/>
        <v/>
      </c>
      <c r="F713" s="104" t="s">
        <v>739</v>
      </c>
      <c r="G713" s="103" t="str">
        <f t="shared" si="631"/>
        <v>O</v>
      </c>
      <c r="H713" s="103" t="str">
        <f t="shared" ref="H713:H714" si="650">"space"</f>
        <v>space</v>
      </c>
      <c r="I713" s="104" t="str">
        <f t="shared" si="636"/>
        <v/>
      </c>
      <c r="J713" s="104" t="str">
        <f>"Mr"</f>
        <v>Mr</v>
      </c>
      <c r="K713" s="104"/>
      <c r="L713" s="105"/>
      <c r="M713" s="104"/>
      <c r="N713" s="104"/>
      <c r="O713" s="104"/>
      <c r="P713" s="104"/>
      <c r="Q713" s="104"/>
      <c r="R713" s="104"/>
      <c r="S713" s="104"/>
      <c r="T713" s="107"/>
      <c r="U713" s="107"/>
    </row>
    <row r="714" ht="15.75" hidden="1" customHeight="1">
      <c r="A714" s="103" t="s">
        <v>92</v>
      </c>
      <c r="B714" s="104" t="str">
        <f>"ZipCode"</f>
        <v>ZipCode</v>
      </c>
      <c r="C714" s="104" t="str">
        <f>"yfs_person_info.zip_code"</f>
        <v>yfs_person_info.zip_code</v>
      </c>
      <c r="D714" s="104" t="str">
        <f>"string"</f>
        <v>string</v>
      </c>
      <c r="E714" s="105" t="str">
        <f>"35"</f>
        <v>35</v>
      </c>
      <c r="F714" s="104" t="s">
        <v>743</v>
      </c>
      <c r="G714" s="103" t="str">
        <f t="shared" si="631"/>
        <v>O</v>
      </c>
      <c r="H714" s="103" t="str">
        <f t="shared" si="650"/>
        <v>space</v>
      </c>
      <c r="I714" s="104" t="str">
        <f t="shared" si="636"/>
        <v/>
      </c>
      <c r="J714" s="104" t="str">
        <f>"02035-2531"</f>
        <v>02035-2531</v>
      </c>
      <c r="K714" s="104"/>
      <c r="L714" s="105"/>
      <c r="M714" s="104"/>
      <c r="N714" s="104"/>
      <c r="O714" s="104"/>
      <c r="P714" s="104"/>
      <c r="Q714" s="104"/>
      <c r="R714" s="104"/>
      <c r="S714" s="104"/>
      <c r="T714" s="107"/>
      <c r="U714" s="107"/>
    </row>
    <row r="715">
      <c r="A715" s="97" t="s">
        <v>66</v>
      </c>
      <c r="B715" s="96" t="str">
        <f>"/Order/PersonInfoBillTo/@"</f>
        <v>/Order/PersonInfoBillTo/@</v>
      </c>
      <c r="C715" s="96"/>
      <c r="D715" s="96"/>
      <c r="E715" s="97"/>
      <c r="F715" s="98"/>
      <c r="G715" s="99" t="s">
        <v>134</v>
      </c>
      <c r="H715" s="97"/>
      <c r="I715" s="96"/>
      <c r="J715" s="96"/>
      <c r="K715" s="96" t="s">
        <v>947</v>
      </c>
      <c r="L715" s="100" t="s">
        <v>66</v>
      </c>
      <c r="M715" s="99"/>
      <c r="N715" s="99"/>
      <c r="O715" s="99"/>
      <c r="P715" s="99"/>
      <c r="Q715" s="99"/>
      <c r="R715" s="299" t="s">
        <v>948</v>
      </c>
      <c r="S715" s="99"/>
      <c r="T715" s="99"/>
      <c r="U715" s="99"/>
    </row>
    <row r="716" ht="15.75" hidden="1" customHeight="1">
      <c r="A716" s="103"/>
      <c r="B716" s="104" t="str">
        <f>"AddressID"</f>
        <v>AddressID</v>
      </c>
      <c r="C716" s="104" t="str">
        <f>"yfs_person_info.address_id"</f>
        <v>yfs_person_info.address_id</v>
      </c>
      <c r="D716" s="104" t="str">
        <f t="shared" ref="D716:D728" si="652">"string"</f>
        <v>string</v>
      </c>
      <c r="E716" s="105" t="str">
        <f>"256"</f>
        <v>256</v>
      </c>
      <c r="F716" s="104" t="s">
        <v>684</v>
      </c>
      <c r="G716" s="103" t="str">
        <f>"O"</f>
        <v>O</v>
      </c>
      <c r="H716" s="103" t="str">
        <f>"null"</f>
        <v>null</v>
      </c>
      <c r="I716" s="104" t="str">
        <f t="shared" ref="I716:J716" si="651">""</f>
        <v/>
      </c>
      <c r="J716" s="104" t="str">
        <f t="shared" si="651"/>
        <v/>
      </c>
      <c r="K716" s="104"/>
      <c r="L716" s="105"/>
      <c r="M716" s="104"/>
      <c r="N716" s="104"/>
      <c r="O716" s="104"/>
      <c r="P716" s="104"/>
      <c r="Q716" s="104"/>
      <c r="R716" s="104"/>
      <c r="S716" s="104"/>
      <c r="T716" s="107"/>
      <c r="U716" s="107"/>
    </row>
    <row r="717">
      <c r="A717" s="108" t="s">
        <v>66</v>
      </c>
      <c r="B717" s="109" t="str">
        <f>"AddressLine1"</f>
        <v>AddressLine1</v>
      </c>
      <c r="C717" s="109" t="str">
        <f>"yfs_person_info.address_line1"</f>
        <v>yfs_person_info.address_line1</v>
      </c>
      <c r="D717" s="109" t="str">
        <f t="shared" si="652"/>
        <v>string</v>
      </c>
      <c r="E717" s="108" t="str">
        <f t="shared" ref="E717:E722" si="654">"70"</f>
        <v>70</v>
      </c>
      <c r="F717" s="131" t="s">
        <v>685</v>
      </c>
      <c r="G717" s="112" t="s">
        <v>134</v>
      </c>
      <c r="H717" s="108" t="str">
        <f t="shared" ref="H717:I717" si="653">""</f>
        <v/>
      </c>
      <c r="I717" s="109" t="str">
        <f t="shared" si="653"/>
        <v/>
      </c>
      <c r="J717" s="109" t="str">
        <f>"1 Main Street"</f>
        <v>1 Main Street</v>
      </c>
      <c r="K717" s="109" t="s">
        <v>686</v>
      </c>
      <c r="L717" s="112" t="s">
        <v>66</v>
      </c>
      <c r="M717" s="126" t="s">
        <v>687</v>
      </c>
      <c r="N717" s="126" t="s">
        <v>687</v>
      </c>
      <c r="O717" s="126" t="s">
        <v>687</v>
      </c>
      <c r="P717" s="126" t="s">
        <v>687</v>
      </c>
      <c r="Q717" s="126" t="s">
        <v>687</v>
      </c>
      <c r="R717" s="127"/>
      <c r="S717" s="126"/>
      <c r="T717" s="126"/>
      <c r="U717" s="126"/>
    </row>
    <row r="718">
      <c r="A718" s="108" t="s">
        <v>66</v>
      </c>
      <c r="B718" s="109" t="str">
        <f>"AddressLine2"</f>
        <v>AddressLine2</v>
      </c>
      <c r="C718" s="109" t="str">
        <f>"yfs_person_info.address_line2"</f>
        <v>yfs_person_info.address_line2</v>
      </c>
      <c r="D718" s="109" t="str">
        <f t="shared" si="652"/>
        <v>string</v>
      </c>
      <c r="E718" s="108" t="str">
        <f t="shared" si="654"/>
        <v>70</v>
      </c>
      <c r="F718" s="131" t="s">
        <v>688</v>
      </c>
      <c r="G718" s="112" t="s">
        <v>134</v>
      </c>
      <c r="H718" s="108" t="str">
        <f t="shared" ref="H718:I718" si="655">""</f>
        <v/>
      </c>
      <c r="I718" s="109" t="str">
        <f t="shared" si="655"/>
        <v/>
      </c>
      <c r="J718" s="109" t="str">
        <f>"Unit A2"</f>
        <v>Unit A2</v>
      </c>
      <c r="K718" s="109" t="s">
        <v>949</v>
      </c>
      <c r="L718" s="112" t="s">
        <v>66</v>
      </c>
      <c r="M718" s="126" t="s">
        <v>690</v>
      </c>
      <c r="N718" s="126" t="s">
        <v>690</v>
      </c>
      <c r="O718" s="126" t="s">
        <v>690</v>
      </c>
      <c r="P718" s="126" t="s">
        <v>690</v>
      </c>
      <c r="Q718" s="126" t="s">
        <v>690</v>
      </c>
      <c r="R718" s="126"/>
      <c r="S718" s="126"/>
      <c r="T718" s="126"/>
      <c r="U718" s="126"/>
    </row>
    <row r="719">
      <c r="A719" s="108" t="s">
        <v>66</v>
      </c>
      <c r="B719" s="109" t="str">
        <f>"AddressLine3"</f>
        <v>AddressLine3</v>
      </c>
      <c r="C719" s="109" t="str">
        <f>"yfs_person_info.address_line3"</f>
        <v>yfs_person_info.address_line3</v>
      </c>
      <c r="D719" s="109" t="str">
        <f t="shared" si="652"/>
        <v>string</v>
      </c>
      <c r="E719" s="108" t="str">
        <f t="shared" si="654"/>
        <v>70</v>
      </c>
      <c r="F719" s="131" t="s">
        <v>691</v>
      </c>
      <c r="G719" s="112" t="s">
        <v>134</v>
      </c>
      <c r="H719" s="108" t="str">
        <f t="shared" ref="H719:J719" si="656">""</f>
        <v/>
      </c>
      <c r="I719" s="109" t="str">
        <f t="shared" si="656"/>
        <v/>
      </c>
      <c r="J719" s="109" t="str">
        <f t="shared" si="656"/>
        <v/>
      </c>
      <c r="K719" s="109"/>
      <c r="L719" s="112" t="s">
        <v>66</v>
      </c>
      <c r="M719" s="126" t="s">
        <v>692</v>
      </c>
      <c r="N719" s="126" t="s">
        <v>692</v>
      </c>
      <c r="O719" s="126" t="s">
        <v>692</v>
      </c>
      <c r="P719" s="126" t="s">
        <v>692</v>
      </c>
      <c r="Q719" s="126" t="s">
        <v>692</v>
      </c>
      <c r="R719" s="126"/>
      <c r="S719" s="126"/>
      <c r="T719" s="126"/>
      <c r="U719" s="126"/>
    </row>
    <row r="720" ht="15.75" hidden="1" customHeight="1">
      <c r="A720" s="103"/>
      <c r="B720" s="104" t="str">
        <f>"AddressLine4"</f>
        <v>AddressLine4</v>
      </c>
      <c r="C720" s="104" t="str">
        <f>"yfs_person_info.address_line4"</f>
        <v>yfs_person_info.address_line4</v>
      </c>
      <c r="D720" s="104" t="str">
        <f t="shared" si="652"/>
        <v>string</v>
      </c>
      <c r="E720" s="105" t="str">
        <f t="shared" si="654"/>
        <v>70</v>
      </c>
      <c r="F720" s="104" t="s">
        <v>693</v>
      </c>
      <c r="G720" s="103" t="str">
        <f t="shared" ref="G720:G724" si="658">"O"</f>
        <v>O</v>
      </c>
      <c r="H720" s="103" t="str">
        <f t="shared" ref="H720:H724" si="659">"space"</f>
        <v>space</v>
      </c>
      <c r="I720" s="104" t="str">
        <f t="shared" ref="I720:J720" si="657">""</f>
        <v/>
      </c>
      <c r="J720" s="104" t="str">
        <f t="shared" si="657"/>
        <v/>
      </c>
      <c r="K720" s="104"/>
      <c r="L720" s="105"/>
      <c r="M720" s="104"/>
      <c r="N720" s="104"/>
      <c r="O720" s="104"/>
      <c r="P720" s="104"/>
      <c r="Q720" s="104"/>
      <c r="R720" s="104"/>
      <c r="S720" s="104"/>
      <c r="T720" s="107"/>
      <c r="U720" s="107"/>
    </row>
    <row r="721" ht="15.75" hidden="1" customHeight="1">
      <c r="A721" s="103"/>
      <c r="B721" s="104" t="str">
        <f>"AddressLine5"</f>
        <v>AddressLine5</v>
      </c>
      <c r="C721" s="104" t="str">
        <f>"yfs_person_info.address_line5"</f>
        <v>yfs_person_info.address_line5</v>
      </c>
      <c r="D721" s="104" t="str">
        <f t="shared" si="652"/>
        <v>string</v>
      </c>
      <c r="E721" s="105" t="str">
        <f t="shared" si="654"/>
        <v>70</v>
      </c>
      <c r="F721" s="104" t="s">
        <v>694</v>
      </c>
      <c r="G721" s="103" t="str">
        <f t="shared" si="658"/>
        <v>O</v>
      </c>
      <c r="H721" s="103" t="str">
        <f t="shared" si="659"/>
        <v>space</v>
      </c>
      <c r="I721" s="104" t="str">
        <f t="shared" ref="I721:J721" si="660">""</f>
        <v/>
      </c>
      <c r="J721" s="104" t="str">
        <f t="shared" si="660"/>
        <v/>
      </c>
      <c r="K721" s="104"/>
      <c r="L721" s="105"/>
      <c r="M721" s="104"/>
      <c r="N721" s="104"/>
      <c r="O721" s="104"/>
      <c r="P721" s="104"/>
      <c r="Q721" s="104"/>
      <c r="R721" s="104"/>
      <c r="S721" s="104"/>
      <c r="T721" s="107"/>
      <c r="U721" s="107"/>
    </row>
    <row r="722" ht="15.75" hidden="1" customHeight="1">
      <c r="A722" s="103"/>
      <c r="B722" s="104" t="str">
        <f>"AddressLine6"</f>
        <v>AddressLine6</v>
      </c>
      <c r="C722" s="104" t="str">
        <f>"yfs_person_info.address_line6"</f>
        <v>yfs_person_info.address_line6</v>
      </c>
      <c r="D722" s="104" t="str">
        <f t="shared" si="652"/>
        <v>string</v>
      </c>
      <c r="E722" s="105" t="str">
        <f t="shared" si="654"/>
        <v>70</v>
      </c>
      <c r="F722" s="104" t="s">
        <v>695</v>
      </c>
      <c r="G722" s="103" t="str">
        <f t="shared" si="658"/>
        <v>O</v>
      </c>
      <c r="H722" s="103" t="str">
        <f t="shared" si="659"/>
        <v>space</v>
      </c>
      <c r="I722" s="104" t="str">
        <f t="shared" ref="I722:J722" si="661">""</f>
        <v/>
      </c>
      <c r="J722" s="104" t="str">
        <f t="shared" si="661"/>
        <v/>
      </c>
      <c r="K722" s="104"/>
      <c r="L722" s="105"/>
      <c r="M722" s="104"/>
      <c r="N722" s="104"/>
      <c r="O722" s="104"/>
      <c r="P722" s="104"/>
      <c r="Q722" s="104"/>
      <c r="R722" s="104"/>
      <c r="S722" s="104"/>
      <c r="T722" s="107"/>
      <c r="U722" s="107"/>
    </row>
    <row r="723" ht="15.75" hidden="1" customHeight="1">
      <c r="A723" s="103"/>
      <c r="B723" s="104" t="str">
        <f>"AlternateEmailID"</f>
        <v>AlternateEmailID</v>
      </c>
      <c r="C723" s="104" t="str">
        <f>"yfs_person_info.alternate_emailid"</f>
        <v>yfs_person_info.alternate_emailid</v>
      </c>
      <c r="D723" s="104" t="str">
        <f t="shared" si="652"/>
        <v>string</v>
      </c>
      <c r="E723" s="105" t="str">
        <f>"150"</f>
        <v>150</v>
      </c>
      <c r="F723" s="104" t="s">
        <v>696</v>
      </c>
      <c r="G723" s="103" t="str">
        <f t="shared" si="658"/>
        <v>O</v>
      </c>
      <c r="H723" s="103" t="str">
        <f t="shared" si="659"/>
        <v>space</v>
      </c>
      <c r="I723" s="104" t="str">
        <f t="shared" ref="I723:I724" si="662">""</f>
        <v/>
      </c>
      <c r="J723" s="104" t="str">
        <f>"john.doe@workplace.com"</f>
        <v>john.doe@workplace.com</v>
      </c>
      <c r="K723" s="104"/>
      <c r="L723" s="105"/>
      <c r="M723" s="104"/>
      <c r="N723" s="104"/>
      <c r="O723" s="104"/>
      <c r="P723" s="104"/>
      <c r="Q723" s="104"/>
      <c r="R723" s="104"/>
      <c r="S723" s="104"/>
      <c r="T723" s="107"/>
      <c r="U723" s="107"/>
    </row>
    <row r="724" ht="15.75" hidden="1" customHeight="1">
      <c r="A724" s="103"/>
      <c r="B724" s="104" t="str">
        <f>"Beeper"</f>
        <v>Beeper</v>
      </c>
      <c r="C724" s="104" t="str">
        <f>"yfs_person_info.beeper"</f>
        <v>yfs_person_info.beeper</v>
      </c>
      <c r="D724" s="104" t="str">
        <f t="shared" si="652"/>
        <v>string</v>
      </c>
      <c r="E724" s="105" t="str">
        <f>"40"</f>
        <v>40</v>
      </c>
      <c r="F724" s="104" t="s">
        <v>697</v>
      </c>
      <c r="G724" s="103" t="str">
        <f t="shared" si="658"/>
        <v>O</v>
      </c>
      <c r="H724" s="103" t="str">
        <f t="shared" si="659"/>
        <v>space</v>
      </c>
      <c r="I724" s="104" t="str">
        <f t="shared" si="662"/>
        <v/>
      </c>
      <c r="J724" s="104" t="str">
        <f>""</f>
        <v/>
      </c>
      <c r="K724" s="104"/>
      <c r="L724" s="105"/>
      <c r="M724" s="104"/>
      <c r="N724" s="104"/>
      <c r="O724" s="104"/>
      <c r="P724" s="104"/>
      <c r="Q724" s="104"/>
      <c r="R724" s="104"/>
      <c r="S724" s="104"/>
      <c r="T724" s="107"/>
      <c r="U724" s="107"/>
    </row>
    <row r="725">
      <c r="A725" s="108" t="s">
        <v>66</v>
      </c>
      <c r="B725" s="109" t="s">
        <v>698</v>
      </c>
      <c r="C725" s="109" t="str">
        <f>"yfs_person_info.address_line4"</f>
        <v>yfs_person_info.address_line4</v>
      </c>
      <c r="D725" s="109" t="str">
        <f t="shared" si="652"/>
        <v>string</v>
      </c>
      <c r="E725" s="108" t="str">
        <f t="shared" ref="E725:E727" si="663">"70"</f>
        <v>70</v>
      </c>
      <c r="F725" s="131" t="s">
        <v>693</v>
      </c>
      <c r="G725" s="300" t="s">
        <v>950</v>
      </c>
      <c r="H725" s="108"/>
      <c r="I725" s="109"/>
      <c r="J725" s="109"/>
      <c r="K725" s="109"/>
      <c r="L725" s="112" t="s">
        <v>66</v>
      </c>
      <c r="M725" s="126" t="s">
        <v>699</v>
      </c>
      <c r="N725" s="126" t="s">
        <v>699</v>
      </c>
      <c r="O725" s="126" t="s">
        <v>699</v>
      </c>
      <c r="P725" s="126" t="s">
        <v>699</v>
      </c>
      <c r="Q725" s="126" t="s">
        <v>699</v>
      </c>
      <c r="R725" s="126"/>
      <c r="S725" s="126"/>
      <c r="T725" s="126"/>
      <c r="U725" s="126"/>
    </row>
    <row r="726">
      <c r="A726" s="108" t="s">
        <v>66</v>
      </c>
      <c r="B726" s="109" t="s">
        <v>700</v>
      </c>
      <c r="C726" s="109" t="str">
        <f>"yfs_person_info.address_line5"</f>
        <v>yfs_person_info.address_line5</v>
      </c>
      <c r="D726" s="109" t="str">
        <f t="shared" si="652"/>
        <v>string</v>
      </c>
      <c r="E726" s="108" t="str">
        <f t="shared" si="663"/>
        <v>70</v>
      </c>
      <c r="F726" s="131" t="s">
        <v>694</v>
      </c>
      <c r="G726" s="300" t="s">
        <v>951</v>
      </c>
      <c r="H726" s="108"/>
      <c r="I726" s="109"/>
      <c r="J726" s="109"/>
      <c r="K726" s="109"/>
      <c r="L726" s="112" t="s">
        <v>66</v>
      </c>
      <c r="M726" s="126" t="s">
        <v>701</v>
      </c>
      <c r="N726" s="126" t="s">
        <v>701</v>
      </c>
      <c r="O726" s="126" t="s">
        <v>701</v>
      </c>
      <c r="P726" s="126" t="s">
        <v>701</v>
      </c>
      <c r="Q726" s="126" t="s">
        <v>701</v>
      </c>
      <c r="R726" s="126"/>
      <c r="S726" s="126"/>
      <c r="T726" s="126"/>
      <c r="U726" s="126"/>
    </row>
    <row r="727">
      <c r="A727" s="108" t="s">
        <v>66</v>
      </c>
      <c r="B727" s="109" t="s">
        <v>702</v>
      </c>
      <c r="C727" s="109" t="str">
        <f>"yfs_person_info.address_line6"</f>
        <v>yfs_person_info.address_line6</v>
      </c>
      <c r="D727" s="109" t="str">
        <f t="shared" si="652"/>
        <v>string</v>
      </c>
      <c r="E727" s="108" t="str">
        <f t="shared" si="663"/>
        <v>70</v>
      </c>
      <c r="F727" s="131" t="s">
        <v>695</v>
      </c>
      <c r="G727" s="112" t="s">
        <v>77</v>
      </c>
      <c r="H727" s="108"/>
      <c r="I727" s="109"/>
      <c r="J727" s="109"/>
      <c r="K727" s="109"/>
      <c r="L727" s="112" t="s">
        <v>66</v>
      </c>
      <c r="M727" s="126" t="s">
        <v>703</v>
      </c>
      <c r="N727" s="126" t="s">
        <v>703</v>
      </c>
      <c r="O727" s="126" t="s">
        <v>703</v>
      </c>
      <c r="P727" s="126" t="s">
        <v>703</v>
      </c>
      <c r="Q727" s="126" t="s">
        <v>703</v>
      </c>
      <c r="R727" s="126"/>
      <c r="S727" s="126"/>
      <c r="T727" s="127" t="s">
        <v>952</v>
      </c>
      <c r="U727" s="126"/>
    </row>
    <row r="728">
      <c r="A728" s="108" t="s">
        <v>66</v>
      </c>
      <c r="B728" s="109" t="str">
        <f>"City"</f>
        <v>City</v>
      </c>
      <c r="C728" s="109" t="str">
        <f>"yfs_person_info.city"</f>
        <v>yfs_person_info.city</v>
      </c>
      <c r="D728" s="109" t="str">
        <f t="shared" si="652"/>
        <v>string</v>
      </c>
      <c r="E728" s="108" t="str">
        <f>"35"</f>
        <v>35</v>
      </c>
      <c r="F728" s="131" t="s">
        <v>704</v>
      </c>
      <c r="G728" s="112" t="s">
        <v>134</v>
      </c>
      <c r="H728" s="108" t="str">
        <f t="shared" ref="H728:I728" si="664">""</f>
        <v/>
      </c>
      <c r="I728" s="109" t="str">
        <f t="shared" si="664"/>
        <v/>
      </c>
      <c r="J728" s="109" t="str">
        <f>"Foxboro"</f>
        <v>Foxboro</v>
      </c>
      <c r="K728" s="109" t="s">
        <v>686</v>
      </c>
      <c r="L728" s="112" t="s">
        <v>66</v>
      </c>
      <c r="M728" s="126" t="s">
        <v>705</v>
      </c>
      <c r="N728" s="126" t="s">
        <v>705</v>
      </c>
      <c r="O728" s="126" t="s">
        <v>705</v>
      </c>
      <c r="P728" s="126" t="s">
        <v>705</v>
      </c>
      <c r="Q728" s="126" t="s">
        <v>705</v>
      </c>
      <c r="R728" s="126"/>
      <c r="S728" s="126"/>
      <c r="T728" s="127" t="s">
        <v>953</v>
      </c>
      <c r="U728" s="126"/>
    </row>
    <row r="729" ht="15.75" hidden="1" customHeight="1">
      <c r="A729" s="103"/>
      <c r="B729" s="104" t="str">
        <f>"Company"</f>
        <v>Company</v>
      </c>
      <c r="C729" s="104" t="str">
        <f>"yfs_person_info.company"</f>
        <v>yfs_person_info.company</v>
      </c>
      <c r="D729" s="104" t="str">
        <f>"UNKNOWN"</f>
        <v>UNKNOWN</v>
      </c>
      <c r="E729" s="105" t="str">
        <f>""</f>
        <v/>
      </c>
      <c r="F729" s="104" t="s">
        <v>706</v>
      </c>
      <c r="G729" s="103" t="str">
        <f>"O"</f>
        <v>O</v>
      </c>
      <c r="H729" s="103" t="str">
        <f>"space"</f>
        <v>space</v>
      </c>
      <c r="I729" s="104" t="str">
        <f>""</f>
        <v/>
      </c>
      <c r="J729" s="104" t="str">
        <f>"Things 'R Us"</f>
        <v>Things 'R Us</v>
      </c>
      <c r="K729" s="104"/>
      <c r="L729" s="105"/>
      <c r="M729" s="104"/>
      <c r="N729" s="104"/>
      <c r="O729" s="104"/>
      <c r="P729" s="104"/>
      <c r="Q729" s="104"/>
      <c r="R729" s="104"/>
      <c r="S729" s="104"/>
      <c r="T729" s="107"/>
      <c r="U729" s="107"/>
    </row>
    <row r="730">
      <c r="A730" s="108" t="s">
        <v>66</v>
      </c>
      <c r="B730" s="109" t="str">
        <f>"Country"</f>
        <v>Country</v>
      </c>
      <c r="C730" s="109" t="str">
        <f>"yfs_person_info.country"</f>
        <v>yfs_person_info.country</v>
      </c>
      <c r="D730" s="109" t="str">
        <f t="shared" ref="D730:D732" si="666">"string"</f>
        <v>string</v>
      </c>
      <c r="E730" s="108" t="str">
        <f t="shared" ref="E730:E732" si="667">"40"</f>
        <v>40</v>
      </c>
      <c r="F730" s="131" t="s">
        <v>708</v>
      </c>
      <c r="G730" s="112" t="s">
        <v>134</v>
      </c>
      <c r="H730" s="108" t="str">
        <f t="shared" ref="H730:I730" si="665">""</f>
        <v/>
      </c>
      <c r="I730" s="109" t="str">
        <f t="shared" si="665"/>
        <v/>
      </c>
      <c r="J730" s="109" t="s">
        <v>709</v>
      </c>
      <c r="K730" s="109" t="s">
        <v>954</v>
      </c>
      <c r="L730" s="112" t="s">
        <v>66</v>
      </c>
      <c r="M730" s="126" t="s">
        <v>955</v>
      </c>
      <c r="N730" s="126" t="s">
        <v>955</v>
      </c>
      <c r="O730" s="126" t="s">
        <v>955</v>
      </c>
      <c r="P730" s="126" t="s">
        <v>955</v>
      </c>
      <c r="Q730" s="126" t="s">
        <v>955</v>
      </c>
      <c r="R730" s="126"/>
      <c r="S730" s="126"/>
      <c r="T730" s="127" t="s">
        <v>956</v>
      </c>
      <c r="U730" s="126"/>
    </row>
    <row r="731" ht="15.75" hidden="1" customHeight="1">
      <c r="A731" s="103"/>
      <c r="B731" s="104" t="str">
        <f>"DayFaxNo"</f>
        <v>DayFaxNo</v>
      </c>
      <c r="C731" s="104" t="str">
        <f>"yfs_person_info.day_fax_no"</f>
        <v>yfs_person_info.day_fax_no</v>
      </c>
      <c r="D731" s="104" t="str">
        <f t="shared" si="666"/>
        <v>string</v>
      </c>
      <c r="E731" s="105" t="str">
        <f t="shared" si="667"/>
        <v>40</v>
      </c>
      <c r="F731" s="104" t="s">
        <v>712</v>
      </c>
      <c r="G731" s="103" t="str">
        <f>"O"</f>
        <v>O</v>
      </c>
      <c r="H731" s="103" t="str">
        <f>"space"</f>
        <v>space</v>
      </c>
      <c r="I731" s="104" t="str">
        <f t="shared" ref="I731:J731" si="668">""</f>
        <v/>
      </c>
      <c r="J731" s="104" t="str">
        <f t="shared" si="668"/>
        <v/>
      </c>
      <c r="K731" s="104"/>
      <c r="L731" s="105"/>
      <c r="M731" s="104"/>
      <c r="N731" s="104"/>
      <c r="O731" s="104"/>
      <c r="P731" s="104"/>
      <c r="Q731" s="104"/>
      <c r="R731" s="104"/>
      <c r="S731" s="104"/>
      <c r="T731" s="107"/>
      <c r="U731" s="107"/>
    </row>
    <row r="732" hidden="1">
      <c r="A732" s="103" t="s">
        <v>92</v>
      </c>
      <c r="B732" s="104" t="str">
        <f>"DayPhone"</f>
        <v>DayPhone</v>
      </c>
      <c r="C732" s="104" t="str">
        <f>"yfs_person_info.day_phone"</f>
        <v>yfs_person_info.day_phone</v>
      </c>
      <c r="D732" s="104" t="str">
        <f t="shared" si="666"/>
        <v>string</v>
      </c>
      <c r="E732" s="103" t="str">
        <f t="shared" si="667"/>
        <v>40</v>
      </c>
      <c r="F732" s="233" t="s">
        <v>713</v>
      </c>
      <c r="G732" s="119" t="s">
        <v>134</v>
      </c>
      <c r="H732" s="103" t="str">
        <f t="shared" ref="H732:I732" si="669">""</f>
        <v/>
      </c>
      <c r="I732" s="104" t="str">
        <f t="shared" si="669"/>
        <v/>
      </c>
      <c r="J732" s="104" t="str">
        <f>"(508) 555-1212"</f>
        <v>(508) 555-1212</v>
      </c>
      <c r="K732" s="104" t="s">
        <v>686</v>
      </c>
      <c r="L732" s="103"/>
      <c r="M732" s="246" t="s">
        <v>957</v>
      </c>
      <c r="N732" s="246"/>
      <c r="O732" s="246" t="s">
        <v>957</v>
      </c>
      <c r="P732" s="246" t="s">
        <v>957</v>
      </c>
      <c r="Q732" s="246" t="s">
        <v>957</v>
      </c>
      <c r="R732" s="119" t="s">
        <v>958</v>
      </c>
      <c r="S732" s="119"/>
      <c r="T732" s="186"/>
      <c r="U732" s="186"/>
    </row>
    <row r="733" ht="15.75" hidden="1" customHeight="1">
      <c r="A733" s="103"/>
      <c r="B733" s="104" t="str">
        <f>"Department"</f>
        <v>Department</v>
      </c>
      <c r="C733" s="104" t="str">
        <f>"yfs_person_info.department"</f>
        <v>yfs_person_info.department</v>
      </c>
      <c r="D733" s="104" t="str">
        <f>"UNKNOWN"</f>
        <v>UNKNOWN</v>
      </c>
      <c r="E733" s="105" t="str">
        <f>""</f>
        <v/>
      </c>
      <c r="F733" s="104" t="s">
        <v>715</v>
      </c>
      <c r="G733" s="103" t="str">
        <f>"O"</f>
        <v>O</v>
      </c>
      <c r="H733" s="103" t="str">
        <f>"space"</f>
        <v>space</v>
      </c>
      <c r="I733" s="104" t="str">
        <f t="shared" ref="I733:J733" si="670">""</f>
        <v/>
      </c>
      <c r="J733" s="104" t="str">
        <f t="shared" si="670"/>
        <v/>
      </c>
      <c r="K733" s="104"/>
      <c r="L733" s="105"/>
      <c r="M733" s="104"/>
      <c r="N733" s="104"/>
      <c r="O733" s="104"/>
      <c r="P733" s="104"/>
      <c r="Q733" s="104"/>
      <c r="R733" s="104"/>
      <c r="S733" s="104"/>
      <c r="T733" s="107"/>
      <c r="U733" s="107"/>
    </row>
    <row r="734" ht="15.75" customHeight="1">
      <c r="A734" s="108" t="s">
        <v>66</v>
      </c>
      <c r="B734" s="109" t="str">
        <f>"EMailID"</f>
        <v>EMailID</v>
      </c>
      <c r="C734" s="109" t="str">
        <f>"yfs_person_info.emailid"</f>
        <v>yfs_person_info.emailid</v>
      </c>
      <c r="D734" s="109" t="str">
        <f t="shared" ref="D734:D738" si="672">"string"</f>
        <v>string</v>
      </c>
      <c r="E734" s="108" t="str">
        <f>"150"</f>
        <v>150</v>
      </c>
      <c r="F734" s="131" t="s">
        <v>716</v>
      </c>
      <c r="G734" s="112" t="s">
        <v>134</v>
      </c>
      <c r="H734" s="108" t="str">
        <f t="shared" ref="H734:I734" si="671">""</f>
        <v/>
      </c>
      <c r="I734" s="109" t="str">
        <f t="shared" si="671"/>
        <v/>
      </c>
      <c r="J734" s="109" t="str">
        <f>"john.doe@mail.com"</f>
        <v>john.doe@mail.com</v>
      </c>
      <c r="K734" s="109" t="s">
        <v>686</v>
      </c>
      <c r="L734" s="112" t="s">
        <v>66</v>
      </c>
      <c r="M734" s="126" t="s">
        <v>959</v>
      </c>
      <c r="N734" s="126" t="s">
        <v>959</v>
      </c>
      <c r="O734" s="126" t="s">
        <v>959</v>
      </c>
      <c r="P734" s="126" t="s">
        <v>959</v>
      </c>
      <c r="Q734" s="126" t="s">
        <v>959</v>
      </c>
      <c r="R734" s="126"/>
      <c r="S734" s="126"/>
      <c r="T734" s="126"/>
      <c r="U734" s="126"/>
    </row>
    <row r="735" ht="15.75" hidden="1" customHeight="1">
      <c r="A735" s="103"/>
      <c r="B735" s="104" t="str">
        <f>"EveningFaxNo"</f>
        <v>EveningFaxNo</v>
      </c>
      <c r="C735" s="104" t="str">
        <f>"yfs_person_info.evening_fax_no"</f>
        <v>yfs_person_info.evening_fax_no</v>
      </c>
      <c r="D735" s="104" t="str">
        <f t="shared" si="672"/>
        <v>string</v>
      </c>
      <c r="E735" s="105" t="str">
        <f t="shared" ref="E735:E736" si="673">"40"</f>
        <v>40</v>
      </c>
      <c r="F735" s="104" t="s">
        <v>718</v>
      </c>
      <c r="G735" s="103" t="str">
        <f t="shared" ref="G735:G736" si="674">"O"</f>
        <v>O</v>
      </c>
      <c r="H735" s="103" t="str">
        <f t="shared" ref="H735:H736" si="675">"space"</f>
        <v>space</v>
      </c>
      <c r="I735" s="104" t="str">
        <f t="shared" ref="I735:I736" si="676">""</f>
        <v/>
      </c>
      <c r="J735" s="104" t="str">
        <f>"(617) 555-3333"</f>
        <v>(617) 555-3333</v>
      </c>
      <c r="K735" s="104"/>
      <c r="L735" s="105"/>
      <c r="M735" s="104"/>
      <c r="N735" s="104"/>
      <c r="O735" s="104"/>
      <c r="P735" s="104"/>
      <c r="Q735" s="104"/>
      <c r="R735" s="104"/>
      <c r="S735" s="104"/>
      <c r="T735" s="107"/>
      <c r="U735" s="107"/>
    </row>
    <row r="736" ht="15.75" hidden="1" customHeight="1">
      <c r="A736" s="103"/>
      <c r="B736" s="104" t="str">
        <f>"EveningPhone"</f>
        <v>EveningPhone</v>
      </c>
      <c r="C736" s="104" t="str">
        <f>"yfs_person_info.evening_phone"</f>
        <v>yfs_person_info.evening_phone</v>
      </c>
      <c r="D736" s="104" t="str">
        <f t="shared" si="672"/>
        <v>string</v>
      </c>
      <c r="E736" s="105" t="str">
        <f t="shared" si="673"/>
        <v>40</v>
      </c>
      <c r="F736" s="104" t="s">
        <v>719</v>
      </c>
      <c r="G736" s="103" t="str">
        <f t="shared" si="674"/>
        <v>O</v>
      </c>
      <c r="H736" s="103" t="str">
        <f t="shared" si="675"/>
        <v>space</v>
      </c>
      <c r="I736" s="104" t="str">
        <f t="shared" si="676"/>
        <v/>
      </c>
      <c r="J736" s="104" t="str">
        <f>"(617) 555-1212"</f>
        <v>(617) 555-1212</v>
      </c>
      <c r="K736" s="104"/>
      <c r="L736" s="105"/>
      <c r="M736" s="104"/>
      <c r="N736" s="104"/>
      <c r="O736" s="104"/>
      <c r="P736" s="104"/>
      <c r="Q736" s="104"/>
      <c r="R736" s="104"/>
      <c r="S736" s="104"/>
      <c r="T736" s="107"/>
      <c r="U736" s="107"/>
    </row>
    <row r="737" ht="15.75" customHeight="1">
      <c r="A737" s="108" t="s">
        <v>66</v>
      </c>
      <c r="B737" s="109" t="str">
        <f>"FirstName"</f>
        <v>FirstName</v>
      </c>
      <c r="C737" s="109" t="str">
        <f>"yfs_person_info.first_name"</f>
        <v>yfs_person_info.first_name</v>
      </c>
      <c r="D737" s="109" t="str">
        <f t="shared" si="672"/>
        <v>string</v>
      </c>
      <c r="E737" s="108">
        <v>64.0</v>
      </c>
      <c r="F737" s="131" t="s">
        <v>720</v>
      </c>
      <c r="G737" s="112" t="s">
        <v>134</v>
      </c>
      <c r="H737" s="108" t="str">
        <f t="shared" ref="H737:I737" si="677">""</f>
        <v/>
      </c>
      <c r="I737" s="109" t="str">
        <f t="shared" si="677"/>
        <v/>
      </c>
      <c r="J737" s="109" t="str">
        <f>"John"</f>
        <v>John</v>
      </c>
      <c r="K737" s="109" t="s">
        <v>686</v>
      </c>
      <c r="L737" s="112" t="s">
        <v>66</v>
      </c>
      <c r="M737" s="126" t="s">
        <v>721</v>
      </c>
      <c r="N737" s="126" t="s">
        <v>721</v>
      </c>
      <c r="O737" s="126" t="s">
        <v>721</v>
      </c>
      <c r="P737" s="126" t="s">
        <v>721</v>
      </c>
      <c r="Q737" s="126" t="s">
        <v>721</v>
      </c>
      <c r="R737" s="126"/>
      <c r="S737" s="126"/>
      <c r="T737" s="127" t="s">
        <v>960</v>
      </c>
      <c r="U737" s="126"/>
    </row>
    <row r="738" ht="15.75" hidden="1" customHeight="1">
      <c r="A738" s="103" t="s">
        <v>92</v>
      </c>
      <c r="B738" s="104" t="str">
        <f>"IsCommercialAddress"</f>
        <v>IsCommercialAddress</v>
      </c>
      <c r="C738" s="104" t="str">
        <f>"yfs_person_info.is_commercial_address"</f>
        <v>yfs_person_info.is_commercial_address</v>
      </c>
      <c r="D738" s="104" t="str">
        <f t="shared" si="672"/>
        <v>string</v>
      </c>
      <c r="E738" s="105" t="str">
        <f>"1"</f>
        <v>1</v>
      </c>
      <c r="F738" s="104" t="s">
        <v>722</v>
      </c>
      <c r="G738" s="103" t="str">
        <f t="shared" ref="G738:G739" si="678">"O"</f>
        <v>O</v>
      </c>
      <c r="H738" s="103" t="str">
        <f>"null"</f>
        <v>null</v>
      </c>
      <c r="I738" s="104" t="str">
        <f t="shared" ref="I738:I739" si="679">""</f>
        <v/>
      </c>
      <c r="J738" s="104" t="str">
        <f>"Y"</f>
        <v>Y</v>
      </c>
      <c r="K738" s="104"/>
      <c r="L738" s="105"/>
      <c r="M738" s="104"/>
      <c r="N738" s="104"/>
      <c r="O738" s="104"/>
      <c r="P738" s="104"/>
      <c r="Q738" s="104"/>
      <c r="R738" s="104"/>
      <c r="S738" s="104"/>
      <c r="T738" s="107"/>
      <c r="U738" s="107"/>
    </row>
    <row r="739" ht="15.75" hidden="1" customHeight="1">
      <c r="A739" s="103"/>
      <c r="B739" s="104" t="str">
        <f>"JobTitle"</f>
        <v>JobTitle</v>
      </c>
      <c r="C739" s="104" t="str">
        <f>"yfs_person_info.job_title"</f>
        <v>yfs_person_info.job_title</v>
      </c>
      <c r="D739" s="104" t="str">
        <f>"UNKNOWN"</f>
        <v>UNKNOWN</v>
      </c>
      <c r="E739" s="105" t="str">
        <f>""</f>
        <v/>
      </c>
      <c r="F739" s="104" t="s">
        <v>723</v>
      </c>
      <c r="G739" s="103" t="str">
        <f t="shared" si="678"/>
        <v>O</v>
      </c>
      <c r="H739" s="103" t="str">
        <f>"space"</f>
        <v>space</v>
      </c>
      <c r="I739" s="104" t="str">
        <f t="shared" si="679"/>
        <v/>
      </c>
      <c r="J739" s="104" t="str">
        <f>"Procurement Manager"</f>
        <v>Procurement Manager</v>
      </c>
      <c r="K739" s="104"/>
      <c r="L739" s="105"/>
      <c r="M739" s="104"/>
      <c r="N739" s="104"/>
      <c r="O739" s="104"/>
      <c r="P739" s="104"/>
      <c r="Q739" s="104"/>
      <c r="R739" s="104"/>
      <c r="S739" s="104"/>
      <c r="T739" s="107"/>
      <c r="U739" s="107"/>
    </row>
    <row r="740">
      <c r="A740" s="108" t="s">
        <v>66</v>
      </c>
      <c r="B740" s="109" t="str">
        <f>"LastName"</f>
        <v>LastName</v>
      </c>
      <c r="C740" s="109" t="str">
        <f>"yfs_person_info.last_name"</f>
        <v>yfs_person_info.last_name</v>
      </c>
      <c r="D740" s="109" t="str">
        <f t="shared" ref="D740:D743" si="681">"string"</f>
        <v>string</v>
      </c>
      <c r="E740" s="108">
        <v>64.0</v>
      </c>
      <c r="F740" s="131" t="s">
        <v>724</v>
      </c>
      <c r="G740" s="112" t="s">
        <v>134</v>
      </c>
      <c r="H740" s="108" t="str">
        <f t="shared" ref="H740:I740" si="680">""</f>
        <v/>
      </c>
      <c r="I740" s="109" t="str">
        <f t="shared" si="680"/>
        <v/>
      </c>
      <c r="J740" s="109" t="str">
        <f>"Doe"</f>
        <v>Doe</v>
      </c>
      <c r="K740" s="109" t="s">
        <v>686</v>
      </c>
      <c r="L740" s="112" t="s">
        <v>66</v>
      </c>
      <c r="M740" s="126" t="s">
        <v>725</v>
      </c>
      <c r="N740" s="126" t="s">
        <v>725</v>
      </c>
      <c r="O740" s="126" t="s">
        <v>725</v>
      </c>
      <c r="P740" s="126" t="s">
        <v>725</v>
      </c>
      <c r="Q740" s="126" t="s">
        <v>725</v>
      </c>
      <c r="R740" s="126"/>
      <c r="S740" s="126"/>
      <c r="T740" s="127" t="s">
        <v>961</v>
      </c>
      <c r="U740" s="126"/>
    </row>
    <row r="741" ht="15.75" customHeight="1">
      <c r="A741" s="108" t="s">
        <v>66</v>
      </c>
      <c r="B741" s="109" t="str">
        <f>"MiddleName"</f>
        <v>MiddleName</v>
      </c>
      <c r="C741" s="109" t="str">
        <f>"yfs_person_info.middle_name"</f>
        <v>yfs_person_info.middle_name</v>
      </c>
      <c r="D741" s="109" t="str">
        <f t="shared" si="681"/>
        <v>string</v>
      </c>
      <c r="E741" s="108">
        <v>64.0</v>
      </c>
      <c r="F741" s="131" t="s">
        <v>726</v>
      </c>
      <c r="G741" s="112" t="str">
        <f t="shared" ref="G741:G744" si="683">"O"</f>
        <v>O</v>
      </c>
      <c r="H741" s="108" t="str">
        <f t="shared" ref="H741:I741" si="682">""</f>
        <v/>
      </c>
      <c r="I741" s="109" t="str">
        <f t="shared" si="682"/>
        <v/>
      </c>
      <c r="J741" s="109" t="str">
        <f>"E"</f>
        <v>E</v>
      </c>
      <c r="K741" s="109" t="s">
        <v>962</v>
      </c>
      <c r="L741" s="112" t="s">
        <v>66</v>
      </c>
      <c r="M741" s="126" t="s">
        <v>727</v>
      </c>
      <c r="N741" s="126" t="s">
        <v>727</v>
      </c>
      <c r="O741" s="126" t="s">
        <v>727</v>
      </c>
      <c r="P741" s="126" t="s">
        <v>727</v>
      </c>
      <c r="Q741" s="126" t="s">
        <v>727</v>
      </c>
      <c r="R741" s="126"/>
      <c r="S741" s="126"/>
      <c r="T741" s="126"/>
      <c r="U741" s="126"/>
    </row>
    <row r="742" ht="15.75" customHeight="1">
      <c r="A742" s="108" t="s">
        <v>66</v>
      </c>
      <c r="B742" s="109" t="str">
        <f>"MobilePhone"</f>
        <v>MobilePhone</v>
      </c>
      <c r="C742" s="109" t="str">
        <f>"yfs_person_info.mobile_phone"</f>
        <v>yfs_person_info.mobile_phone</v>
      </c>
      <c r="D742" s="109" t="str">
        <f t="shared" si="681"/>
        <v>string</v>
      </c>
      <c r="E742" s="108" t="str">
        <f t="shared" ref="E742:E743" si="685">"40"</f>
        <v>40</v>
      </c>
      <c r="F742" s="109" t="s">
        <v>730</v>
      </c>
      <c r="G742" s="108" t="str">
        <f t="shared" si="683"/>
        <v>O</v>
      </c>
      <c r="H742" s="108" t="str">
        <f t="shared" ref="H742:H744" si="686">"space"</f>
        <v>space</v>
      </c>
      <c r="I742" s="109" t="str">
        <f t="shared" ref="I742:I744" si="687">""</f>
        <v/>
      </c>
      <c r="J742" s="109" t="str">
        <f>"(978) 555-1212"</f>
        <v>(978) 555-1212</v>
      </c>
      <c r="K742" s="109"/>
      <c r="L742" s="112" t="s">
        <v>66</v>
      </c>
      <c r="M742" s="109" t="str">
        <f t="shared" ref="M742:Q742" si="684">"MobilePhone"</f>
        <v>MobilePhone</v>
      </c>
      <c r="N742" s="109" t="str">
        <f t="shared" si="684"/>
        <v>MobilePhone</v>
      </c>
      <c r="O742" s="109" t="str">
        <f t="shared" si="684"/>
        <v>MobilePhone</v>
      </c>
      <c r="P742" s="109" t="str">
        <f t="shared" si="684"/>
        <v>MobilePhone</v>
      </c>
      <c r="Q742" s="109" t="str">
        <f t="shared" si="684"/>
        <v>MobilePhone</v>
      </c>
      <c r="R742" s="109"/>
      <c r="S742" s="109"/>
      <c r="T742" s="109"/>
      <c r="U742" s="109"/>
    </row>
    <row r="743" ht="15.75" hidden="1" customHeight="1">
      <c r="A743" s="103"/>
      <c r="B743" s="104" t="str">
        <f>"OtherPhone"</f>
        <v>OtherPhone</v>
      </c>
      <c r="C743" s="104" t="str">
        <f>"yfs_person_info.other_phone"</f>
        <v>yfs_person_info.other_phone</v>
      </c>
      <c r="D743" s="104" t="str">
        <f t="shared" si="681"/>
        <v>string</v>
      </c>
      <c r="E743" s="105" t="str">
        <f t="shared" si="685"/>
        <v>40</v>
      </c>
      <c r="F743" s="104" t="s">
        <v>728</v>
      </c>
      <c r="G743" s="103" t="str">
        <f t="shared" si="683"/>
        <v>O</v>
      </c>
      <c r="H743" s="103" t="str">
        <f t="shared" si="686"/>
        <v>space</v>
      </c>
      <c r="I743" s="104" t="str">
        <f t="shared" si="687"/>
        <v/>
      </c>
      <c r="J743" s="104" t="str">
        <f>"(781) 555-1212"</f>
        <v>(781) 555-1212</v>
      </c>
      <c r="K743" s="104"/>
      <c r="L743" s="105"/>
      <c r="M743" s="104"/>
      <c r="N743" s="104"/>
      <c r="O743" s="104"/>
      <c r="P743" s="104"/>
      <c r="Q743" s="104"/>
      <c r="R743" s="104"/>
      <c r="S743" s="104"/>
      <c r="T743" s="107"/>
      <c r="U743" s="107"/>
    </row>
    <row r="744" ht="15.75" hidden="1" customHeight="1">
      <c r="A744" s="103" t="s">
        <v>92</v>
      </c>
      <c r="B744" s="104" t="str">
        <f>"PersonID"</f>
        <v>PersonID</v>
      </c>
      <c r="C744" s="104" t="str">
        <f>"yfs_person_info.person_id"</f>
        <v>yfs_person_info.person_id</v>
      </c>
      <c r="D744" s="104" t="str">
        <f>"UNKNOWN"</f>
        <v>UNKNOWN</v>
      </c>
      <c r="E744" s="105" t="str">
        <f>""</f>
        <v/>
      </c>
      <c r="F744" s="104" t="s">
        <v>729</v>
      </c>
      <c r="G744" s="103" t="str">
        <f t="shared" si="683"/>
        <v>O</v>
      </c>
      <c r="H744" s="103" t="str">
        <f t="shared" si="686"/>
        <v>space</v>
      </c>
      <c r="I744" s="104" t="str">
        <f t="shared" si="687"/>
        <v/>
      </c>
      <c r="J744" s="104" t="str">
        <f>""</f>
        <v/>
      </c>
      <c r="K744" s="104"/>
      <c r="L744" s="105"/>
      <c r="M744" s="104"/>
      <c r="N744" s="104"/>
      <c r="O744" s="104"/>
      <c r="P744" s="104"/>
      <c r="Q744" s="104"/>
      <c r="R744" s="104"/>
      <c r="S744" s="104"/>
      <c r="T744" s="107"/>
      <c r="U744" s="107"/>
    </row>
    <row r="745">
      <c r="A745" s="111" t="s">
        <v>66</v>
      </c>
      <c r="B745" s="113" t="s">
        <v>714</v>
      </c>
      <c r="C745" s="113" t="s">
        <v>963</v>
      </c>
      <c r="D745" s="113" t="s">
        <v>131</v>
      </c>
      <c r="E745" s="111">
        <v>40.0</v>
      </c>
      <c r="F745" s="124" t="s">
        <v>713</v>
      </c>
      <c r="G745" s="112"/>
      <c r="H745" s="108"/>
      <c r="I745" s="109"/>
      <c r="J745" s="109"/>
      <c r="K745" s="109"/>
      <c r="L745" s="112" t="s">
        <v>92</v>
      </c>
      <c r="M745" s="113" t="s">
        <v>714</v>
      </c>
      <c r="N745" s="113" t="s">
        <v>714</v>
      </c>
      <c r="O745" s="113" t="s">
        <v>714</v>
      </c>
      <c r="P745" s="113" t="s">
        <v>714</v>
      </c>
      <c r="Q745" s="113" t="s">
        <v>714</v>
      </c>
      <c r="R745" s="127"/>
      <c r="S745" s="127"/>
      <c r="T745" s="127"/>
      <c r="U745" s="127"/>
    </row>
    <row r="746">
      <c r="A746" s="108" t="s">
        <v>66</v>
      </c>
      <c r="B746" s="109" t="str">
        <f>"State"</f>
        <v>State</v>
      </c>
      <c r="C746" s="109" t="str">
        <f>"yfs_person_info.state"</f>
        <v>yfs_person_info.state</v>
      </c>
      <c r="D746" s="109" t="str">
        <f>"string"</f>
        <v>string</v>
      </c>
      <c r="E746" s="108" t="str">
        <f>"35"</f>
        <v>35</v>
      </c>
      <c r="F746" s="131" t="s">
        <v>731</v>
      </c>
      <c r="G746" s="112" t="s">
        <v>134</v>
      </c>
      <c r="H746" s="108" t="str">
        <f t="shared" ref="H746:I746" si="688">""</f>
        <v/>
      </c>
      <c r="I746" s="109" t="str">
        <f t="shared" si="688"/>
        <v/>
      </c>
      <c r="J746" s="109" t="s">
        <v>732</v>
      </c>
      <c r="K746" s="109" t="s">
        <v>733</v>
      </c>
      <c r="L746" s="112" t="s">
        <v>66</v>
      </c>
      <c r="M746" s="126" t="s">
        <v>964</v>
      </c>
      <c r="N746" s="127" t="s">
        <v>965</v>
      </c>
      <c r="O746" s="126" t="s">
        <v>964</v>
      </c>
      <c r="P746" s="126" t="s">
        <v>964</v>
      </c>
      <c r="Q746" s="127" t="s">
        <v>965</v>
      </c>
      <c r="R746" s="126"/>
      <c r="S746" s="126"/>
      <c r="T746" s="127" t="s">
        <v>966</v>
      </c>
      <c r="U746" s="126"/>
    </row>
    <row r="747" ht="15.75" hidden="1" customHeight="1">
      <c r="A747" s="103"/>
      <c r="B747" s="104" t="str">
        <f>"Suffix"</f>
        <v>Suffix</v>
      </c>
      <c r="C747" s="104" t="str">
        <f>"yfs_person_info.suffix"</f>
        <v>yfs_person_info.suffix</v>
      </c>
      <c r="D747" s="104" t="str">
        <f t="shared" ref="D747:D748" si="690">"UNKNOWN"</f>
        <v>UNKNOWN</v>
      </c>
      <c r="E747" s="105" t="str">
        <f t="shared" ref="E747:E748" si="691">""</f>
        <v/>
      </c>
      <c r="F747" s="104" t="s">
        <v>735</v>
      </c>
      <c r="G747" s="103" t="str">
        <f t="shared" ref="G747:G750" si="692">"O"</f>
        <v>O</v>
      </c>
      <c r="H747" s="103" t="str">
        <f>"space"</f>
        <v>space</v>
      </c>
      <c r="I747" s="104" t="str">
        <f t="shared" ref="I747:J747" si="689">""</f>
        <v/>
      </c>
      <c r="J747" s="104" t="str">
        <f t="shared" si="689"/>
        <v/>
      </c>
      <c r="K747" s="104"/>
      <c r="L747" s="105"/>
      <c r="M747" s="104"/>
      <c r="N747" s="104"/>
      <c r="O747" s="104"/>
      <c r="P747" s="104"/>
      <c r="Q747" s="104"/>
      <c r="R747" s="104"/>
      <c r="S747" s="104"/>
      <c r="T747" s="107"/>
      <c r="U747" s="107"/>
    </row>
    <row r="748" ht="15.75" hidden="1" customHeight="1">
      <c r="A748" s="103"/>
      <c r="B748" s="104" t="str">
        <f>"TaxGeoCode"</f>
        <v>TaxGeoCode</v>
      </c>
      <c r="C748" s="104" t="str">
        <f>"yfs_person_info.tax_geo_code"</f>
        <v>yfs_person_info.tax_geo_code</v>
      </c>
      <c r="D748" s="104" t="str">
        <f t="shared" si="690"/>
        <v>UNKNOWN</v>
      </c>
      <c r="E748" s="105" t="str">
        <f t="shared" si="691"/>
        <v/>
      </c>
      <c r="F748" s="104" t="s">
        <v>738</v>
      </c>
      <c r="G748" s="103" t="str">
        <f t="shared" si="692"/>
        <v>O</v>
      </c>
      <c r="H748" s="103" t="str">
        <f>"null"</f>
        <v>null</v>
      </c>
      <c r="I748" s="104" t="str">
        <f t="shared" ref="I748:J748" si="693">""</f>
        <v/>
      </c>
      <c r="J748" s="104" t="str">
        <f t="shared" si="693"/>
        <v/>
      </c>
      <c r="K748" s="104"/>
      <c r="L748" s="105"/>
      <c r="M748" s="104"/>
      <c r="N748" s="104"/>
      <c r="O748" s="104"/>
      <c r="P748" s="104"/>
      <c r="Q748" s="104"/>
      <c r="R748" s="104"/>
      <c r="S748" s="104"/>
      <c r="T748" s="107"/>
      <c r="U748" s="107"/>
    </row>
    <row r="749" ht="15.75" hidden="1" customHeight="1">
      <c r="A749" s="103" t="s">
        <v>92</v>
      </c>
      <c r="B749" s="104" t="str">
        <f>"Title"</f>
        <v>Title</v>
      </c>
      <c r="C749" s="104" t="str">
        <f>"yfs_person_info.title"</f>
        <v>yfs_person_info.title</v>
      </c>
      <c r="D749" s="104" t="s">
        <v>131</v>
      </c>
      <c r="E749" s="105">
        <v>10.0</v>
      </c>
      <c r="F749" s="104" t="s">
        <v>739</v>
      </c>
      <c r="G749" s="103" t="str">
        <f t="shared" si="692"/>
        <v>O</v>
      </c>
      <c r="H749" s="103" t="str">
        <f>"space"</f>
        <v>space</v>
      </c>
      <c r="I749" s="104" t="str">
        <f>""</f>
        <v/>
      </c>
      <c r="J749" s="104" t="str">
        <f>"Mr"</f>
        <v>Mr</v>
      </c>
      <c r="K749" s="104"/>
      <c r="L749" s="105"/>
      <c r="M749" s="104"/>
      <c r="N749" s="104"/>
      <c r="O749" s="104"/>
      <c r="P749" s="104"/>
      <c r="Q749" s="104"/>
      <c r="R749" s="104"/>
      <c r="S749" s="104"/>
      <c r="T749" s="107"/>
      <c r="U749" s="107"/>
    </row>
    <row r="750">
      <c r="A750" s="108" t="s">
        <v>66</v>
      </c>
      <c r="B750" s="109" t="str">
        <f>"IsAddressVerified"</f>
        <v>IsAddressVerified</v>
      </c>
      <c r="C750" s="109" t="str">
        <f>"yfs_person_info.is_address_verified"</f>
        <v>yfs_person_info.is_address_verified</v>
      </c>
      <c r="D750" s="109" t="str">
        <f t="shared" ref="D750:D751" si="694">"string"</f>
        <v>string</v>
      </c>
      <c r="E750" s="108" t="str">
        <f>"1"</f>
        <v>1</v>
      </c>
      <c r="F750" s="131" t="s">
        <v>740</v>
      </c>
      <c r="G750" s="108" t="str">
        <f t="shared" si="692"/>
        <v>O</v>
      </c>
      <c r="H750" s="108"/>
      <c r="I750" s="109" t="s">
        <v>741</v>
      </c>
      <c r="J750" s="109" t="str">
        <f>"Y"</f>
        <v>Y</v>
      </c>
      <c r="K750" s="109"/>
      <c r="L750" s="112" t="s">
        <v>92</v>
      </c>
      <c r="M750" s="126" t="s">
        <v>742</v>
      </c>
      <c r="N750" s="126" t="s">
        <v>742</v>
      </c>
      <c r="O750" s="126" t="s">
        <v>742</v>
      </c>
      <c r="P750" s="126" t="s">
        <v>742</v>
      </c>
      <c r="Q750" s="126" t="s">
        <v>742</v>
      </c>
      <c r="R750" s="126"/>
      <c r="S750" s="126"/>
      <c r="T750" s="126"/>
      <c r="U750" s="126"/>
    </row>
    <row r="751" ht="15.75" customHeight="1">
      <c r="A751" s="108" t="s">
        <v>66</v>
      </c>
      <c r="B751" s="109" t="str">
        <f>"ZipCode"</f>
        <v>ZipCode</v>
      </c>
      <c r="C751" s="109" t="str">
        <f>"yfs_person_info.zip_code"</f>
        <v>yfs_person_info.zip_code</v>
      </c>
      <c r="D751" s="109" t="str">
        <f t="shared" si="694"/>
        <v>string</v>
      </c>
      <c r="E751" s="108" t="str">
        <f>"35"</f>
        <v>35</v>
      </c>
      <c r="F751" s="131" t="s">
        <v>743</v>
      </c>
      <c r="G751" s="112" t="s">
        <v>134</v>
      </c>
      <c r="H751" s="108" t="str">
        <f t="shared" ref="H751:I751" si="695">""</f>
        <v/>
      </c>
      <c r="I751" s="109" t="str">
        <f t="shared" si="695"/>
        <v/>
      </c>
      <c r="J751" s="109" t="str">
        <f>"02035-2531"</f>
        <v>02035-2531</v>
      </c>
      <c r="K751" s="109" t="s">
        <v>686</v>
      </c>
      <c r="L751" s="112" t="s">
        <v>66</v>
      </c>
      <c r="M751" s="126" t="s">
        <v>744</v>
      </c>
      <c r="N751" s="126" t="s">
        <v>744</v>
      </c>
      <c r="O751" s="126" t="s">
        <v>744</v>
      </c>
      <c r="P751" s="126" t="s">
        <v>744</v>
      </c>
      <c r="Q751" s="126" t="s">
        <v>744</v>
      </c>
      <c r="R751" s="126"/>
      <c r="S751" s="126"/>
      <c r="T751" s="127" t="s">
        <v>967</v>
      </c>
      <c r="U751" s="126"/>
    </row>
    <row r="752">
      <c r="A752" s="97" t="s">
        <v>66</v>
      </c>
      <c r="B752" s="96" t="str">
        <f>"/Order/PersonInfoShipTo/@"</f>
        <v>/Order/PersonInfoShipTo/@</v>
      </c>
      <c r="C752" s="96"/>
      <c r="D752" s="96"/>
      <c r="E752" s="97"/>
      <c r="F752" s="301" t="s">
        <v>968</v>
      </c>
      <c r="G752" s="100" t="s">
        <v>134</v>
      </c>
      <c r="H752" s="97"/>
      <c r="I752" s="96"/>
      <c r="J752" s="96"/>
      <c r="K752" s="96"/>
      <c r="L752" s="100" t="s">
        <v>66</v>
      </c>
      <c r="M752" s="99"/>
      <c r="N752" s="99"/>
      <c r="O752" s="99"/>
      <c r="P752" s="99"/>
      <c r="Q752" s="99"/>
      <c r="R752" s="99"/>
      <c r="S752" s="99"/>
      <c r="T752" s="99"/>
      <c r="U752" s="99"/>
    </row>
    <row r="753">
      <c r="A753" s="108" t="s">
        <v>66</v>
      </c>
      <c r="B753" s="109" t="str">
        <f>"AddressLine1"</f>
        <v>AddressLine1</v>
      </c>
      <c r="C753" s="109" t="str">
        <f>"yfs_person_info.address_line1"</f>
        <v>yfs_person_info.address_line1</v>
      </c>
      <c r="D753" s="109" t="str">
        <f t="shared" ref="D753:D755" si="696">"string"</f>
        <v>string</v>
      </c>
      <c r="E753" s="108" t="str">
        <f t="shared" ref="E753:E755" si="697">"70"</f>
        <v>70</v>
      </c>
      <c r="F753" s="131" t="s">
        <v>685</v>
      </c>
      <c r="G753" s="112" t="s">
        <v>134</v>
      </c>
      <c r="H753" s="108"/>
      <c r="I753" s="109"/>
      <c r="J753" s="109"/>
      <c r="K753" s="109"/>
      <c r="L753" s="112" t="s">
        <v>66</v>
      </c>
      <c r="M753" s="126" t="s">
        <v>687</v>
      </c>
      <c r="N753" s="126" t="s">
        <v>687</v>
      </c>
      <c r="O753" s="126" t="s">
        <v>687</v>
      </c>
      <c r="P753" s="126" t="s">
        <v>687</v>
      </c>
      <c r="Q753" s="126" t="s">
        <v>687</v>
      </c>
      <c r="R753" s="127" t="s">
        <v>969</v>
      </c>
      <c r="S753" s="127" t="s">
        <v>970</v>
      </c>
      <c r="T753" s="127" t="s">
        <v>971</v>
      </c>
      <c r="U753" s="127"/>
    </row>
    <row r="754">
      <c r="A754" s="108" t="s">
        <v>66</v>
      </c>
      <c r="B754" s="109" t="str">
        <f>"AddressLine2"</f>
        <v>AddressLine2</v>
      </c>
      <c r="C754" s="109" t="str">
        <f>"yfs_person_info.address_line2"</f>
        <v>yfs_person_info.address_line2</v>
      </c>
      <c r="D754" s="109" t="str">
        <f t="shared" si="696"/>
        <v>string</v>
      </c>
      <c r="E754" s="108" t="str">
        <f t="shared" si="697"/>
        <v>70</v>
      </c>
      <c r="F754" s="131" t="s">
        <v>688</v>
      </c>
      <c r="G754" s="112" t="s">
        <v>134</v>
      </c>
      <c r="H754" s="108"/>
      <c r="I754" s="109"/>
      <c r="J754" s="109"/>
      <c r="K754" s="109"/>
      <c r="L754" s="112" t="s">
        <v>66</v>
      </c>
      <c r="M754" s="126" t="s">
        <v>690</v>
      </c>
      <c r="N754" s="126" t="s">
        <v>690</v>
      </c>
      <c r="O754" s="126" t="s">
        <v>690</v>
      </c>
      <c r="P754" s="126" t="s">
        <v>690</v>
      </c>
      <c r="Q754" s="126" t="s">
        <v>690</v>
      </c>
      <c r="R754" s="302" t="s">
        <v>972</v>
      </c>
      <c r="S754" s="127" t="s">
        <v>973</v>
      </c>
      <c r="T754" s="127" t="s">
        <v>974</v>
      </c>
      <c r="U754" s="127"/>
    </row>
    <row r="755">
      <c r="A755" s="108" t="s">
        <v>66</v>
      </c>
      <c r="B755" s="109" t="str">
        <f>"AddressLine3"</f>
        <v>AddressLine3</v>
      </c>
      <c r="C755" s="109" t="str">
        <f>"yfs_person_info.address_line3"</f>
        <v>yfs_person_info.address_line3</v>
      </c>
      <c r="D755" s="109" t="str">
        <f t="shared" si="696"/>
        <v>string</v>
      </c>
      <c r="E755" s="108" t="str">
        <f t="shared" si="697"/>
        <v>70</v>
      </c>
      <c r="F755" s="131" t="s">
        <v>691</v>
      </c>
      <c r="G755" s="112" t="s">
        <v>134</v>
      </c>
      <c r="H755" s="111" t="s">
        <v>975</v>
      </c>
      <c r="I755" s="109"/>
      <c r="J755" s="109"/>
      <c r="K755" s="109"/>
      <c r="L755" s="112" t="s">
        <v>66</v>
      </c>
      <c r="M755" s="126" t="s">
        <v>692</v>
      </c>
      <c r="N755" s="126" t="s">
        <v>692</v>
      </c>
      <c r="O755" s="126" t="s">
        <v>692</v>
      </c>
      <c r="P755" s="126" t="s">
        <v>692</v>
      </c>
      <c r="Q755" s="126" t="s">
        <v>692</v>
      </c>
      <c r="R755" s="127"/>
      <c r="S755" s="126"/>
      <c r="T755" s="127" t="s">
        <v>976</v>
      </c>
      <c r="U755" s="126"/>
    </row>
    <row r="756">
      <c r="A756" s="111" t="s">
        <v>66</v>
      </c>
      <c r="B756" s="113" t="s">
        <v>977</v>
      </c>
      <c r="C756" s="109"/>
      <c r="D756" s="109"/>
      <c r="E756" s="108"/>
      <c r="F756" s="131"/>
      <c r="G756" s="300"/>
      <c r="H756" s="108"/>
      <c r="I756" s="109"/>
      <c r="J756" s="109"/>
      <c r="K756" s="109"/>
      <c r="L756" s="112"/>
      <c r="M756" s="126"/>
      <c r="N756" s="113" t="s">
        <v>977</v>
      </c>
      <c r="O756" s="127" t="s">
        <v>125</v>
      </c>
      <c r="P756" s="127" t="s">
        <v>125</v>
      </c>
      <c r="Q756" s="127" t="s">
        <v>125</v>
      </c>
      <c r="S756" s="126"/>
      <c r="T756" s="126"/>
      <c r="U756" s="126"/>
    </row>
    <row r="757">
      <c r="A757" s="111" t="s">
        <v>66</v>
      </c>
      <c r="B757" s="113" t="s">
        <v>978</v>
      </c>
      <c r="C757" s="109"/>
      <c r="D757" s="109"/>
      <c r="E757" s="108"/>
      <c r="F757" s="131"/>
      <c r="G757" s="300"/>
      <c r="H757" s="108"/>
      <c r="I757" s="109"/>
      <c r="J757" s="109"/>
      <c r="K757" s="109"/>
      <c r="L757" s="112"/>
      <c r="M757" s="126"/>
      <c r="N757" s="113" t="s">
        <v>978</v>
      </c>
      <c r="O757" s="127" t="s">
        <v>125</v>
      </c>
      <c r="P757" s="127" t="s">
        <v>125</v>
      </c>
      <c r="Q757" s="127" t="s">
        <v>125</v>
      </c>
      <c r="R757" s="127" t="s">
        <v>979</v>
      </c>
      <c r="S757" s="127" t="s">
        <v>980</v>
      </c>
      <c r="T757" s="127"/>
      <c r="U757" s="127"/>
    </row>
    <row r="758">
      <c r="A758" s="108" t="s">
        <v>66</v>
      </c>
      <c r="B758" s="109" t="s">
        <v>698</v>
      </c>
      <c r="C758" s="109" t="str">
        <f>"yfs_person_info.address_line4"</f>
        <v>yfs_person_info.address_line4</v>
      </c>
      <c r="D758" s="109" t="str">
        <f t="shared" ref="D758:D768" si="698">"string"</f>
        <v>string</v>
      </c>
      <c r="E758" s="108" t="str">
        <f t="shared" ref="E758:E760" si="699">"70"</f>
        <v>70</v>
      </c>
      <c r="F758" s="131" t="s">
        <v>693</v>
      </c>
      <c r="G758" s="300" t="s">
        <v>981</v>
      </c>
      <c r="H758" s="108"/>
      <c r="I758" s="109"/>
      <c r="J758" s="109"/>
      <c r="K758" s="109"/>
      <c r="L758" s="112" t="s">
        <v>66</v>
      </c>
      <c r="M758" s="126" t="s">
        <v>699</v>
      </c>
      <c r="N758" s="126" t="s">
        <v>699</v>
      </c>
      <c r="O758" s="126" t="s">
        <v>699</v>
      </c>
      <c r="P758" s="126" t="s">
        <v>699</v>
      </c>
      <c r="Q758" s="126" t="s">
        <v>699</v>
      </c>
      <c r="R758" s="127" t="s">
        <v>982</v>
      </c>
      <c r="S758" s="127" t="s">
        <v>983</v>
      </c>
      <c r="T758" s="127" t="s">
        <v>984</v>
      </c>
      <c r="U758" s="127"/>
    </row>
    <row r="759">
      <c r="A759" s="108" t="s">
        <v>66</v>
      </c>
      <c r="B759" s="109" t="s">
        <v>700</v>
      </c>
      <c r="C759" s="109" t="str">
        <f>"yfs_person_info.address_line5"</f>
        <v>yfs_person_info.address_line5</v>
      </c>
      <c r="D759" s="109" t="str">
        <f t="shared" si="698"/>
        <v>string</v>
      </c>
      <c r="E759" s="108" t="str">
        <f t="shared" si="699"/>
        <v>70</v>
      </c>
      <c r="F759" s="131" t="s">
        <v>694</v>
      </c>
      <c r="G759" s="300" t="s">
        <v>985</v>
      </c>
      <c r="H759" s="108"/>
      <c r="I759" s="109"/>
      <c r="J759" s="109"/>
      <c r="K759" s="109"/>
      <c r="L759" s="112" t="s">
        <v>66</v>
      </c>
      <c r="M759" s="126" t="s">
        <v>701</v>
      </c>
      <c r="N759" s="127" t="s">
        <v>986</v>
      </c>
      <c r="O759" s="126" t="s">
        <v>701</v>
      </c>
      <c r="P759" s="126" t="s">
        <v>701</v>
      </c>
      <c r="Q759" s="126" t="s">
        <v>701</v>
      </c>
      <c r="R759" s="127"/>
      <c r="S759" s="126"/>
      <c r="T759" s="127" t="s">
        <v>987</v>
      </c>
      <c r="U759" s="126"/>
    </row>
    <row r="760">
      <c r="A760" s="108" t="s">
        <v>66</v>
      </c>
      <c r="B760" s="109" t="s">
        <v>702</v>
      </c>
      <c r="C760" s="109" t="str">
        <f>"yfs_person_info.address_line6"</f>
        <v>yfs_person_info.address_line6</v>
      </c>
      <c r="D760" s="109" t="str">
        <f t="shared" si="698"/>
        <v>string</v>
      </c>
      <c r="E760" s="108" t="str">
        <f t="shared" si="699"/>
        <v>70</v>
      </c>
      <c r="F760" s="131" t="s">
        <v>695</v>
      </c>
      <c r="G760" s="112" t="s">
        <v>77</v>
      </c>
      <c r="H760" s="108"/>
      <c r="I760" s="109"/>
      <c r="J760" s="109"/>
      <c r="K760" s="109"/>
      <c r="L760" s="112" t="s">
        <v>66</v>
      </c>
      <c r="M760" s="126" t="s">
        <v>703</v>
      </c>
      <c r="N760" s="127" t="s">
        <v>988</v>
      </c>
      <c r="O760" s="126" t="s">
        <v>703</v>
      </c>
      <c r="P760" s="126" t="s">
        <v>703</v>
      </c>
      <c r="Q760" s="126" t="s">
        <v>703</v>
      </c>
      <c r="R760" s="127" t="s">
        <v>989</v>
      </c>
      <c r="S760" s="127" t="s">
        <v>990</v>
      </c>
      <c r="T760" s="127" t="s">
        <v>991</v>
      </c>
      <c r="U760" s="127"/>
    </row>
    <row r="761">
      <c r="A761" s="108" t="s">
        <v>66</v>
      </c>
      <c r="B761" s="109" t="str">
        <f>"City"</f>
        <v>City</v>
      </c>
      <c r="C761" s="109" t="str">
        <f>"yfs_person_info.city"</f>
        <v>yfs_person_info.city</v>
      </c>
      <c r="D761" s="109" t="str">
        <f t="shared" si="698"/>
        <v>string</v>
      </c>
      <c r="E761" s="108" t="str">
        <f>"35"</f>
        <v>35</v>
      </c>
      <c r="F761" s="131" t="s">
        <v>704</v>
      </c>
      <c r="G761" s="112" t="s">
        <v>134</v>
      </c>
      <c r="H761" s="108"/>
      <c r="I761" s="109"/>
      <c r="J761" s="109"/>
      <c r="K761" s="109"/>
      <c r="L761" s="112" t="s">
        <v>66</v>
      </c>
      <c r="M761" s="126" t="s">
        <v>705</v>
      </c>
      <c r="N761" s="126" t="s">
        <v>705</v>
      </c>
      <c r="O761" s="126" t="s">
        <v>705</v>
      </c>
      <c r="P761" s="126" t="s">
        <v>705</v>
      </c>
      <c r="Q761" s="126" t="s">
        <v>705</v>
      </c>
      <c r="R761" s="127" t="s">
        <v>992</v>
      </c>
      <c r="S761" s="127" t="s">
        <v>993</v>
      </c>
      <c r="T761" s="127" t="s">
        <v>994</v>
      </c>
      <c r="U761" s="127"/>
    </row>
    <row r="762">
      <c r="A762" s="108" t="s">
        <v>66</v>
      </c>
      <c r="B762" s="109" t="str">
        <f>"Country"</f>
        <v>Country</v>
      </c>
      <c r="C762" s="109" t="str">
        <f>"yfs_person_info.country"</f>
        <v>yfs_person_info.country</v>
      </c>
      <c r="D762" s="109" t="str">
        <f t="shared" si="698"/>
        <v>string</v>
      </c>
      <c r="E762" s="108" t="str">
        <f t="shared" ref="E762:E763" si="700">"40"</f>
        <v>40</v>
      </c>
      <c r="F762" s="131" t="s">
        <v>708</v>
      </c>
      <c r="G762" s="112" t="s">
        <v>134</v>
      </c>
      <c r="H762" s="108"/>
      <c r="I762" s="109"/>
      <c r="J762" s="109"/>
      <c r="K762" s="109"/>
      <c r="L762" s="112" t="s">
        <v>66</v>
      </c>
      <c r="M762" s="126" t="s">
        <v>955</v>
      </c>
      <c r="N762" s="126" t="s">
        <v>955</v>
      </c>
      <c r="O762" s="126" t="s">
        <v>955</v>
      </c>
      <c r="P762" s="126" t="s">
        <v>955</v>
      </c>
      <c r="Q762" s="126" t="s">
        <v>955</v>
      </c>
      <c r="S762" s="126"/>
      <c r="T762" s="127" t="s">
        <v>995</v>
      </c>
      <c r="U762" s="126"/>
    </row>
    <row r="763" hidden="1">
      <c r="A763" s="103" t="s">
        <v>92</v>
      </c>
      <c r="B763" s="104" t="str">
        <f>"DayPhone"</f>
        <v>DayPhone</v>
      </c>
      <c r="C763" s="104" t="str">
        <f>"yfs_person_info.day_phone"</f>
        <v>yfs_person_info.day_phone</v>
      </c>
      <c r="D763" s="104" t="str">
        <f t="shared" si="698"/>
        <v>string</v>
      </c>
      <c r="E763" s="103" t="str">
        <f t="shared" si="700"/>
        <v>40</v>
      </c>
      <c r="F763" s="233" t="s">
        <v>713</v>
      </c>
      <c r="G763" s="119" t="s">
        <v>134</v>
      </c>
      <c r="H763" s="103"/>
      <c r="I763" s="104"/>
      <c r="J763" s="104"/>
      <c r="K763" s="104"/>
      <c r="L763" s="103"/>
      <c r="M763" s="246" t="s">
        <v>957</v>
      </c>
      <c r="N763" s="246"/>
      <c r="O763" s="246" t="s">
        <v>957</v>
      </c>
      <c r="P763" s="246" t="s">
        <v>957</v>
      </c>
      <c r="Q763" s="246" t="s">
        <v>957</v>
      </c>
      <c r="R763" s="119"/>
      <c r="S763" s="119"/>
      <c r="T763" s="186"/>
      <c r="U763" s="186"/>
    </row>
    <row r="764">
      <c r="A764" s="108" t="s">
        <v>66</v>
      </c>
      <c r="B764" s="109" t="str">
        <f>"EMailID"</f>
        <v>EMailID</v>
      </c>
      <c r="C764" s="109" t="str">
        <f>"yfs_person_info.emailid"</f>
        <v>yfs_person_info.emailid</v>
      </c>
      <c r="D764" s="109" t="str">
        <f t="shared" si="698"/>
        <v>string</v>
      </c>
      <c r="E764" s="108" t="str">
        <f>"150"</f>
        <v>150</v>
      </c>
      <c r="F764" s="131" t="s">
        <v>716</v>
      </c>
      <c r="G764" s="112" t="s">
        <v>134</v>
      </c>
      <c r="H764" s="108"/>
      <c r="I764" s="109"/>
      <c r="J764" s="109"/>
      <c r="K764" s="109"/>
      <c r="L764" s="112" t="s">
        <v>66</v>
      </c>
      <c r="M764" s="126" t="s">
        <v>959</v>
      </c>
      <c r="N764" s="126" t="s">
        <v>959</v>
      </c>
      <c r="O764" s="126" t="s">
        <v>959</v>
      </c>
      <c r="P764" s="126" t="s">
        <v>959</v>
      </c>
      <c r="Q764" s="126" t="s">
        <v>959</v>
      </c>
      <c r="R764" s="127" t="s">
        <v>996</v>
      </c>
      <c r="S764" s="127" t="s">
        <v>128</v>
      </c>
      <c r="T764" s="127"/>
      <c r="U764" s="127"/>
    </row>
    <row r="765">
      <c r="A765" s="108" t="s">
        <v>66</v>
      </c>
      <c r="B765" s="109" t="str">
        <f>"FirstName"</f>
        <v>FirstName</v>
      </c>
      <c r="C765" s="109" t="str">
        <f>"yfs_person_info.first_name"</f>
        <v>yfs_person_info.first_name</v>
      </c>
      <c r="D765" s="109" t="str">
        <f t="shared" si="698"/>
        <v>string</v>
      </c>
      <c r="E765" s="108">
        <v>64.0</v>
      </c>
      <c r="F765" s="131" t="s">
        <v>720</v>
      </c>
      <c r="G765" s="112" t="s">
        <v>134</v>
      </c>
      <c r="H765" s="108"/>
      <c r="I765" s="109"/>
      <c r="J765" s="109"/>
      <c r="K765" s="109"/>
      <c r="L765" s="112" t="s">
        <v>66</v>
      </c>
      <c r="M765" s="126" t="s">
        <v>721</v>
      </c>
      <c r="N765" s="126" t="s">
        <v>721</v>
      </c>
      <c r="O765" s="126" t="s">
        <v>721</v>
      </c>
      <c r="P765" s="126" t="s">
        <v>721</v>
      </c>
      <c r="Q765" s="126" t="s">
        <v>721</v>
      </c>
      <c r="R765" s="126"/>
      <c r="S765" s="126"/>
      <c r="T765" s="127" t="s">
        <v>997</v>
      </c>
      <c r="U765" s="126"/>
    </row>
    <row r="766">
      <c r="A766" s="108" t="s">
        <v>66</v>
      </c>
      <c r="B766" s="109" t="str">
        <f>"LastName"</f>
        <v>LastName</v>
      </c>
      <c r="C766" s="109" t="str">
        <f>"yfs_person_info.last_name"</f>
        <v>yfs_person_info.last_name</v>
      </c>
      <c r="D766" s="109" t="str">
        <f t="shared" si="698"/>
        <v>string</v>
      </c>
      <c r="E766" s="108">
        <v>64.0</v>
      </c>
      <c r="F766" s="131" t="s">
        <v>724</v>
      </c>
      <c r="G766" s="112" t="s">
        <v>134</v>
      </c>
      <c r="H766" s="108"/>
      <c r="I766" s="109"/>
      <c r="J766" s="109"/>
      <c r="K766" s="109"/>
      <c r="L766" s="112" t="s">
        <v>66</v>
      </c>
      <c r="M766" s="126" t="s">
        <v>725</v>
      </c>
      <c r="N766" s="126" t="s">
        <v>725</v>
      </c>
      <c r="O766" s="126" t="s">
        <v>725</v>
      </c>
      <c r="P766" s="126" t="s">
        <v>725</v>
      </c>
      <c r="Q766" s="126" t="s">
        <v>725</v>
      </c>
      <c r="R766" s="126"/>
      <c r="S766" s="126"/>
      <c r="T766" s="127" t="s">
        <v>998</v>
      </c>
      <c r="U766" s="126"/>
    </row>
    <row r="767">
      <c r="A767" s="108" t="s">
        <v>66</v>
      </c>
      <c r="B767" s="109" t="str">
        <f>"MiddleName"</f>
        <v>MiddleName</v>
      </c>
      <c r="C767" s="109" t="str">
        <f>"yfs_person_info.middle_name"</f>
        <v>yfs_person_info.middle_name</v>
      </c>
      <c r="D767" s="109" t="str">
        <f t="shared" si="698"/>
        <v>string</v>
      </c>
      <c r="E767" s="108">
        <v>64.0</v>
      </c>
      <c r="F767" s="131" t="s">
        <v>726</v>
      </c>
      <c r="G767" s="112" t="str">
        <f t="shared" ref="G767:G768" si="701">"O"</f>
        <v>O</v>
      </c>
      <c r="H767" s="108"/>
      <c r="I767" s="109"/>
      <c r="J767" s="109"/>
      <c r="K767" s="109"/>
      <c r="L767" s="112" t="s">
        <v>66</v>
      </c>
      <c r="M767" s="126" t="s">
        <v>727</v>
      </c>
      <c r="N767" s="126" t="s">
        <v>727</v>
      </c>
      <c r="O767" s="126" t="s">
        <v>727</v>
      </c>
      <c r="P767" s="126" t="s">
        <v>727</v>
      </c>
      <c r="Q767" s="126" t="s">
        <v>727</v>
      </c>
      <c r="R767" s="126"/>
      <c r="S767" s="126"/>
      <c r="T767" s="126"/>
      <c r="U767" s="126"/>
    </row>
    <row r="768">
      <c r="A768" s="108" t="s">
        <v>66</v>
      </c>
      <c r="B768" s="109" t="str">
        <f>"MobilePhone"</f>
        <v>MobilePhone</v>
      </c>
      <c r="C768" s="109" t="str">
        <f>"yfs_person_info.mobile_phone"</f>
        <v>yfs_person_info.mobile_phone</v>
      </c>
      <c r="D768" s="109" t="str">
        <f t="shared" si="698"/>
        <v>string</v>
      </c>
      <c r="E768" s="108" t="str">
        <f>"40"</f>
        <v>40</v>
      </c>
      <c r="F768" s="109" t="s">
        <v>730</v>
      </c>
      <c r="G768" s="108" t="str">
        <f t="shared" si="701"/>
        <v>O</v>
      </c>
      <c r="H768" s="108" t="str">
        <f>"space"</f>
        <v>space</v>
      </c>
      <c r="I768" s="109" t="str">
        <f>""</f>
        <v/>
      </c>
      <c r="J768" s="109" t="str">
        <f t="shared" ref="J768:J769" si="702">"(978) 555-1212"</f>
        <v>(978) 555-1212</v>
      </c>
      <c r="K768" s="109"/>
      <c r="L768" s="112" t="s">
        <v>66</v>
      </c>
      <c r="M768" s="113" t="s">
        <v>999</v>
      </c>
      <c r="N768" s="113" t="s">
        <v>999</v>
      </c>
      <c r="O768" s="113" t="s">
        <v>999</v>
      </c>
      <c r="P768" s="113" t="s">
        <v>999</v>
      </c>
      <c r="Q768" s="113" t="s">
        <v>999</v>
      </c>
      <c r="R768" s="113" t="s">
        <v>1000</v>
      </c>
      <c r="S768" s="113" t="s">
        <v>1001</v>
      </c>
      <c r="T768" s="127" t="s">
        <v>1002</v>
      </c>
      <c r="U768" s="113"/>
    </row>
    <row r="769">
      <c r="A769" s="111" t="s">
        <v>66</v>
      </c>
      <c r="B769" s="113" t="s">
        <v>714</v>
      </c>
      <c r="C769" s="113" t="s">
        <v>963</v>
      </c>
      <c r="D769" s="113" t="s">
        <v>131</v>
      </c>
      <c r="E769" s="111">
        <v>40.0</v>
      </c>
      <c r="F769" s="124" t="s">
        <v>713</v>
      </c>
      <c r="G769" s="136" t="s">
        <v>77</v>
      </c>
      <c r="H769" s="108"/>
      <c r="I769" s="109"/>
      <c r="J769" s="109" t="str">
        <f t="shared" si="702"/>
        <v>(978) 555-1212</v>
      </c>
      <c r="K769" s="109"/>
      <c r="L769" s="112" t="s">
        <v>66</v>
      </c>
      <c r="M769" s="127" t="s">
        <v>1003</v>
      </c>
      <c r="N769" s="127" t="s">
        <v>1003</v>
      </c>
      <c r="O769" s="127" t="s">
        <v>1003</v>
      </c>
      <c r="P769" s="127" t="s">
        <v>1003</v>
      </c>
      <c r="Q769" s="127" t="s">
        <v>1003</v>
      </c>
      <c r="R769" s="113" t="s">
        <v>1004</v>
      </c>
      <c r="S769" s="113" t="s">
        <v>1001</v>
      </c>
      <c r="T769" s="113"/>
      <c r="U769" s="113"/>
    </row>
    <row r="770">
      <c r="A770" s="108" t="s">
        <v>66</v>
      </c>
      <c r="B770" s="109" t="str">
        <f>"State"</f>
        <v>State</v>
      </c>
      <c r="C770" s="109" t="str">
        <f>"yfs_person_info.state"</f>
        <v>yfs_person_info.state</v>
      </c>
      <c r="D770" s="109" t="str">
        <f t="shared" ref="D770:D772" si="703">"string"</f>
        <v>string</v>
      </c>
      <c r="E770" s="108" t="str">
        <f>"35"</f>
        <v>35</v>
      </c>
      <c r="F770" s="131" t="s">
        <v>731</v>
      </c>
      <c r="G770" s="112" t="s">
        <v>134</v>
      </c>
      <c r="H770" s="108"/>
      <c r="I770" s="109"/>
      <c r="J770" s="109"/>
      <c r="K770" s="109"/>
      <c r="L770" s="112" t="s">
        <v>66</v>
      </c>
      <c r="M770" s="126" t="s">
        <v>964</v>
      </c>
      <c r="N770" s="126" t="s">
        <v>964</v>
      </c>
      <c r="O770" s="126" t="s">
        <v>964</v>
      </c>
      <c r="P770" s="126" t="s">
        <v>964</v>
      </c>
      <c r="Q770" s="127" t="s">
        <v>965</v>
      </c>
      <c r="R770" s="127" t="s">
        <v>1005</v>
      </c>
      <c r="S770" s="127" t="s">
        <v>193</v>
      </c>
      <c r="T770" s="127" t="s">
        <v>1006</v>
      </c>
      <c r="U770" s="127"/>
    </row>
    <row r="771">
      <c r="A771" s="108" t="s">
        <v>66</v>
      </c>
      <c r="B771" s="109" t="str">
        <f>"IsAddressVerified"</f>
        <v>IsAddressVerified</v>
      </c>
      <c r="C771" s="109" t="str">
        <f>"yfs_person_info.is_address_verified"</f>
        <v>yfs_person_info.is_address_verified</v>
      </c>
      <c r="D771" s="109" t="str">
        <f t="shared" si="703"/>
        <v>string</v>
      </c>
      <c r="E771" s="108" t="str">
        <f>"1"</f>
        <v>1</v>
      </c>
      <c r="F771" s="131" t="s">
        <v>740</v>
      </c>
      <c r="G771" s="108" t="str">
        <f>"O"</f>
        <v>O</v>
      </c>
      <c r="H771" s="108"/>
      <c r="I771" s="109"/>
      <c r="J771" s="109"/>
      <c r="K771" s="109"/>
      <c r="L771" s="112" t="s">
        <v>92</v>
      </c>
      <c r="M771" s="126" t="s">
        <v>742</v>
      </c>
      <c r="N771" s="126" t="s">
        <v>742</v>
      </c>
      <c r="O771" s="126" t="s">
        <v>742</v>
      </c>
      <c r="P771" s="126" t="s">
        <v>742</v>
      </c>
      <c r="Q771" s="126" t="s">
        <v>742</v>
      </c>
      <c r="R771" s="126"/>
      <c r="S771" s="126"/>
      <c r="T771" s="126"/>
      <c r="U771" s="126"/>
    </row>
    <row r="772">
      <c r="A772" s="108" t="s">
        <v>66</v>
      </c>
      <c r="B772" s="109" t="str">
        <f>"ZipCode"</f>
        <v>ZipCode</v>
      </c>
      <c r="C772" s="109" t="str">
        <f>"yfs_person_info.zip_code"</f>
        <v>yfs_person_info.zip_code</v>
      </c>
      <c r="D772" s="109" t="str">
        <f t="shared" si="703"/>
        <v>string</v>
      </c>
      <c r="E772" s="108" t="str">
        <f>"35"</f>
        <v>35</v>
      </c>
      <c r="F772" s="131" t="s">
        <v>743</v>
      </c>
      <c r="G772" s="112" t="s">
        <v>134</v>
      </c>
      <c r="H772" s="108"/>
      <c r="I772" s="109"/>
      <c r="J772" s="109"/>
      <c r="K772" s="109"/>
      <c r="L772" s="112" t="s">
        <v>66</v>
      </c>
      <c r="M772" s="126" t="s">
        <v>744</v>
      </c>
      <c r="N772" s="126" t="s">
        <v>744</v>
      </c>
      <c r="O772" s="126" t="s">
        <v>744</v>
      </c>
      <c r="P772" s="126" t="s">
        <v>744</v>
      </c>
      <c r="Q772" s="126" t="s">
        <v>744</v>
      </c>
      <c r="R772" s="113" t="s">
        <v>1007</v>
      </c>
      <c r="S772" s="127" t="s">
        <v>1008</v>
      </c>
      <c r="T772" s="127" t="s">
        <v>1009</v>
      </c>
      <c r="U772" s="127"/>
    </row>
    <row r="773">
      <c r="A773" s="111" t="s">
        <v>66</v>
      </c>
      <c r="B773" s="303" t="s">
        <v>1010</v>
      </c>
      <c r="C773" s="109"/>
      <c r="D773" s="109"/>
      <c r="E773" s="108"/>
      <c r="F773" s="304" t="s">
        <v>1011</v>
      </c>
      <c r="G773" s="136" t="s">
        <v>77</v>
      </c>
      <c r="H773" s="108"/>
      <c r="I773" s="109"/>
      <c r="J773" s="109"/>
      <c r="K773" s="109"/>
      <c r="L773" s="112"/>
      <c r="M773" s="126"/>
      <c r="N773" s="110" t="s">
        <v>1012</v>
      </c>
      <c r="O773" s="127" t="s">
        <v>125</v>
      </c>
      <c r="P773" s="127" t="s">
        <v>125</v>
      </c>
      <c r="Q773" s="127" t="s">
        <v>125</v>
      </c>
      <c r="R773" s="110" t="s">
        <v>1013</v>
      </c>
      <c r="S773" s="127" t="s">
        <v>242</v>
      </c>
      <c r="T773" s="127"/>
      <c r="U773" s="127"/>
    </row>
    <row r="774" ht="15.75" hidden="1" customHeight="1">
      <c r="A774" s="196"/>
      <c r="B774" s="170" t="str">
        <f>"/Order/PersonInfoMarkFor/@"</f>
        <v>/Order/PersonInfoMarkFor/@</v>
      </c>
      <c r="C774" s="170"/>
      <c r="D774" s="170"/>
      <c r="E774" s="170"/>
      <c r="F774" s="170"/>
      <c r="G774" s="196" t="str">
        <f t="shared" ref="G774:G840" si="704">"O"</f>
        <v>O</v>
      </c>
      <c r="H774" s="170"/>
      <c r="I774" s="170"/>
      <c r="J774" s="170"/>
      <c r="K774" s="170"/>
      <c r="L774" s="170"/>
      <c r="M774" s="170"/>
      <c r="N774" s="170"/>
      <c r="O774" s="170"/>
      <c r="P774" s="170"/>
      <c r="Q774" s="170"/>
      <c r="R774" s="170"/>
      <c r="S774" s="170"/>
      <c r="T774" s="197"/>
      <c r="U774" s="197"/>
    </row>
    <row r="775" ht="15.75" hidden="1" customHeight="1">
      <c r="A775" s="103"/>
      <c r="B775" s="104" t="str">
        <f>"AddressID"</f>
        <v>AddressID</v>
      </c>
      <c r="C775" s="104" t="str">
        <f>"yfs_person_info.address_id"</f>
        <v>yfs_person_info.address_id</v>
      </c>
      <c r="D775" s="104" t="str">
        <f t="shared" ref="D775:D784" si="706">"string"</f>
        <v>string</v>
      </c>
      <c r="E775" s="105" t="str">
        <f>"256"</f>
        <v>256</v>
      </c>
      <c r="F775" s="104" t="s">
        <v>684</v>
      </c>
      <c r="G775" s="103" t="str">
        <f t="shared" si="704"/>
        <v>O</v>
      </c>
      <c r="H775" s="103" t="str">
        <f>"null"</f>
        <v>null</v>
      </c>
      <c r="I775" s="104" t="str">
        <f t="shared" ref="I775:J775" si="705">""</f>
        <v/>
      </c>
      <c r="J775" s="104" t="str">
        <f t="shared" si="705"/>
        <v/>
      </c>
      <c r="K775" s="104"/>
      <c r="L775" s="105"/>
      <c r="M775" s="104"/>
      <c r="N775" s="104"/>
      <c r="O775" s="104"/>
      <c r="P775" s="104"/>
      <c r="Q775" s="104"/>
      <c r="R775" s="104"/>
      <c r="S775" s="104"/>
      <c r="T775" s="107"/>
      <c r="U775" s="107"/>
    </row>
    <row r="776" ht="15.75" hidden="1" customHeight="1">
      <c r="A776" s="103"/>
      <c r="B776" s="104" t="str">
        <f>"AddressLine1"</f>
        <v>AddressLine1</v>
      </c>
      <c r="C776" s="104" t="str">
        <f>"yfs_person_info.address_line1"</f>
        <v>yfs_person_info.address_line1</v>
      </c>
      <c r="D776" s="104" t="str">
        <f t="shared" si="706"/>
        <v>string</v>
      </c>
      <c r="E776" s="105" t="str">
        <f t="shared" ref="E776:E781" si="707">"70"</f>
        <v>70</v>
      </c>
      <c r="F776" s="104" t="s">
        <v>685</v>
      </c>
      <c r="G776" s="103" t="str">
        <f t="shared" si="704"/>
        <v>O</v>
      </c>
      <c r="H776" s="103" t="str">
        <f t="shared" ref="H776:H793" si="708">"space"</f>
        <v>space</v>
      </c>
      <c r="I776" s="104" t="str">
        <f t="shared" ref="I776:I805" si="709">""</f>
        <v/>
      </c>
      <c r="J776" s="104" t="str">
        <f>"1 Main Street"</f>
        <v>1 Main Street</v>
      </c>
      <c r="K776" s="104"/>
      <c r="L776" s="105"/>
      <c r="M776" s="104"/>
      <c r="N776" s="104"/>
      <c r="O776" s="104"/>
      <c r="P776" s="104"/>
      <c r="Q776" s="104"/>
      <c r="R776" s="104"/>
      <c r="S776" s="104"/>
      <c r="T776" s="107"/>
      <c r="U776" s="107"/>
    </row>
    <row r="777" ht="15.75" hidden="1" customHeight="1">
      <c r="A777" s="103"/>
      <c r="B777" s="104" t="str">
        <f>"AddressLine2"</f>
        <v>AddressLine2</v>
      </c>
      <c r="C777" s="104" t="str">
        <f>"yfs_person_info.address_line2"</f>
        <v>yfs_person_info.address_line2</v>
      </c>
      <c r="D777" s="104" t="str">
        <f t="shared" si="706"/>
        <v>string</v>
      </c>
      <c r="E777" s="105" t="str">
        <f t="shared" si="707"/>
        <v>70</v>
      </c>
      <c r="F777" s="104" t="s">
        <v>688</v>
      </c>
      <c r="G777" s="103" t="str">
        <f t="shared" si="704"/>
        <v>O</v>
      </c>
      <c r="H777" s="103" t="str">
        <f t="shared" si="708"/>
        <v>space</v>
      </c>
      <c r="I777" s="104" t="str">
        <f t="shared" si="709"/>
        <v/>
      </c>
      <c r="J777" s="104" t="str">
        <f>"Unit A2"</f>
        <v>Unit A2</v>
      </c>
      <c r="K777" s="104"/>
      <c r="L777" s="105"/>
      <c r="M777" s="104"/>
      <c r="N777" s="104"/>
      <c r="O777" s="104"/>
      <c r="P777" s="104"/>
      <c r="Q777" s="104"/>
      <c r="R777" s="104"/>
      <c r="S777" s="104"/>
      <c r="T777" s="107"/>
      <c r="U777" s="107"/>
    </row>
    <row r="778" ht="15.75" hidden="1" customHeight="1">
      <c r="A778" s="103"/>
      <c r="B778" s="104" t="str">
        <f>"AddressLine3"</f>
        <v>AddressLine3</v>
      </c>
      <c r="C778" s="104" t="str">
        <f>"yfs_person_info.address_line3"</f>
        <v>yfs_person_info.address_line3</v>
      </c>
      <c r="D778" s="104" t="str">
        <f t="shared" si="706"/>
        <v>string</v>
      </c>
      <c r="E778" s="105" t="str">
        <f t="shared" si="707"/>
        <v>70</v>
      </c>
      <c r="F778" s="104" t="s">
        <v>691</v>
      </c>
      <c r="G778" s="103" t="str">
        <f t="shared" si="704"/>
        <v>O</v>
      </c>
      <c r="H778" s="103" t="str">
        <f t="shared" si="708"/>
        <v>space</v>
      </c>
      <c r="I778" s="104" t="str">
        <f t="shared" si="709"/>
        <v/>
      </c>
      <c r="J778" s="104" t="str">
        <f t="shared" ref="J778:J781" si="710">""</f>
        <v/>
      </c>
      <c r="K778" s="104"/>
      <c r="L778" s="105"/>
      <c r="M778" s="104"/>
      <c r="N778" s="104"/>
      <c r="O778" s="104"/>
      <c r="P778" s="104"/>
      <c r="Q778" s="104"/>
      <c r="R778" s="104"/>
      <c r="S778" s="104"/>
      <c r="T778" s="107"/>
      <c r="U778" s="107"/>
    </row>
    <row r="779" ht="15.75" hidden="1" customHeight="1">
      <c r="A779" s="103"/>
      <c r="B779" s="104" t="str">
        <f>"AddressLine4"</f>
        <v>AddressLine4</v>
      </c>
      <c r="C779" s="104" t="str">
        <f>"yfs_person_info.address_line4"</f>
        <v>yfs_person_info.address_line4</v>
      </c>
      <c r="D779" s="104" t="str">
        <f t="shared" si="706"/>
        <v>string</v>
      </c>
      <c r="E779" s="105" t="str">
        <f t="shared" si="707"/>
        <v>70</v>
      </c>
      <c r="F779" s="104" t="s">
        <v>693</v>
      </c>
      <c r="G779" s="103" t="str">
        <f t="shared" si="704"/>
        <v>O</v>
      </c>
      <c r="H779" s="103" t="str">
        <f t="shared" si="708"/>
        <v>space</v>
      </c>
      <c r="I779" s="104" t="str">
        <f t="shared" si="709"/>
        <v/>
      </c>
      <c r="J779" s="104" t="str">
        <f t="shared" si="710"/>
        <v/>
      </c>
      <c r="K779" s="104"/>
      <c r="L779" s="105"/>
      <c r="M779" s="104"/>
      <c r="N779" s="104"/>
      <c r="O779" s="104"/>
      <c r="P779" s="104"/>
      <c r="Q779" s="104"/>
      <c r="R779" s="104"/>
      <c r="S779" s="104"/>
      <c r="T779" s="107"/>
      <c r="U779" s="107"/>
    </row>
    <row r="780" ht="15.75" hidden="1" customHeight="1">
      <c r="A780" s="103"/>
      <c r="B780" s="104" t="str">
        <f>"AddressLine5"</f>
        <v>AddressLine5</v>
      </c>
      <c r="C780" s="104" t="str">
        <f>"yfs_person_info.address_line5"</f>
        <v>yfs_person_info.address_line5</v>
      </c>
      <c r="D780" s="104" t="str">
        <f t="shared" si="706"/>
        <v>string</v>
      </c>
      <c r="E780" s="105" t="str">
        <f t="shared" si="707"/>
        <v>70</v>
      </c>
      <c r="F780" s="104" t="s">
        <v>694</v>
      </c>
      <c r="G780" s="103" t="str">
        <f t="shared" si="704"/>
        <v>O</v>
      </c>
      <c r="H780" s="103" t="str">
        <f t="shared" si="708"/>
        <v>space</v>
      </c>
      <c r="I780" s="104" t="str">
        <f t="shared" si="709"/>
        <v/>
      </c>
      <c r="J780" s="104" t="str">
        <f t="shared" si="710"/>
        <v/>
      </c>
      <c r="K780" s="104"/>
      <c r="L780" s="105"/>
      <c r="M780" s="104"/>
      <c r="N780" s="104"/>
      <c r="O780" s="104"/>
      <c r="P780" s="104"/>
      <c r="Q780" s="104"/>
      <c r="R780" s="104"/>
      <c r="S780" s="104"/>
      <c r="T780" s="107"/>
      <c r="U780" s="107"/>
    </row>
    <row r="781" ht="15.75" hidden="1" customHeight="1">
      <c r="A781" s="103"/>
      <c r="B781" s="104" t="str">
        <f>"AddressLine6"</f>
        <v>AddressLine6</v>
      </c>
      <c r="C781" s="104" t="str">
        <f>"yfs_person_info.address_line6"</f>
        <v>yfs_person_info.address_line6</v>
      </c>
      <c r="D781" s="104" t="str">
        <f t="shared" si="706"/>
        <v>string</v>
      </c>
      <c r="E781" s="105" t="str">
        <f t="shared" si="707"/>
        <v>70</v>
      </c>
      <c r="F781" s="104" t="s">
        <v>695</v>
      </c>
      <c r="G781" s="103" t="str">
        <f t="shared" si="704"/>
        <v>O</v>
      </c>
      <c r="H781" s="103" t="str">
        <f t="shared" si="708"/>
        <v>space</v>
      </c>
      <c r="I781" s="104" t="str">
        <f t="shared" si="709"/>
        <v/>
      </c>
      <c r="J781" s="104" t="str">
        <f t="shared" si="710"/>
        <v/>
      </c>
      <c r="K781" s="104"/>
      <c r="L781" s="105"/>
      <c r="M781" s="104"/>
      <c r="N781" s="104"/>
      <c r="O781" s="104"/>
      <c r="P781" s="104"/>
      <c r="Q781" s="104"/>
      <c r="R781" s="104"/>
      <c r="S781" s="104"/>
      <c r="T781" s="107"/>
      <c r="U781" s="107"/>
    </row>
    <row r="782" ht="15.75" hidden="1" customHeight="1">
      <c r="A782" s="103"/>
      <c r="B782" s="104" t="str">
        <f>"AlternateEmailID"</f>
        <v>AlternateEmailID</v>
      </c>
      <c r="C782" s="104" t="str">
        <f>"yfs_person_info.alternate_emailid"</f>
        <v>yfs_person_info.alternate_emailid</v>
      </c>
      <c r="D782" s="104" t="str">
        <f t="shared" si="706"/>
        <v>string</v>
      </c>
      <c r="E782" s="105" t="str">
        <f>"150"</f>
        <v>150</v>
      </c>
      <c r="F782" s="104" t="s">
        <v>696</v>
      </c>
      <c r="G782" s="103" t="str">
        <f t="shared" si="704"/>
        <v>O</v>
      </c>
      <c r="H782" s="103" t="str">
        <f t="shared" si="708"/>
        <v>space</v>
      </c>
      <c r="I782" s="104" t="str">
        <f t="shared" si="709"/>
        <v/>
      </c>
      <c r="J782" s="104" t="str">
        <f>"john.doe@workplace.com"</f>
        <v>john.doe@workplace.com</v>
      </c>
      <c r="K782" s="104"/>
      <c r="L782" s="105"/>
      <c r="M782" s="104"/>
      <c r="N782" s="104"/>
      <c r="O782" s="104"/>
      <c r="P782" s="104"/>
      <c r="Q782" s="104"/>
      <c r="R782" s="104"/>
      <c r="S782" s="104"/>
      <c r="T782" s="107"/>
      <c r="U782" s="107"/>
    </row>
    <row r="783" ht="15.75" hidden="1" customHeight="1">
      <c r="A783" s="103"/>
      <c r="B783" s="104" t="str">
        <f>"Beeper"</f>
        <v>Beeper</v>
      </c>
      <c r="C783" s="104" t="str">
        <f>"yfs_person_info.beeper"</f>
        <v>yfs_person_info.beeper</v>
      </c>
      <c r="D783" s="104" t="str">
        <f t="shared" si="706"/>
        <v>string</v>
      </c>
      <c r="E783" s="105" t="str">
        <f>"40"</f>
        <v>40</v>
      </c>
      <c r="F783" s="104" t="s">
        <v>697</v>
      </c>
      <c r="G783" s="103" t="str">
        <f t="shared" si="704"/>
        <v>O</v>
      </c>
      <c r="H783" s="103" t="str">
        <f t="shared" si="708"/>
        <v>space</v>
      </c>
      <c r="I783" s="104" t="str">
        <f t="shared" si="709"/>
        <v/>
      </c>
      <c r="J783" s="104" t="str">
        <f>""</f>
        <v/>
      </c>
      <c r="K783" s="104"/>
      <c r="L783" s="105"/>
      <c r="M783" s="104"/>
      <c r="N783" s="104"/>
      <c r="O783" s="104"/>
      <c r="P783" s="104"/>
      <c r="Q783" s="104"/>
      <c r="R783" s="104"/>
      <c r="S783" s="104"/>
      <c r="T783" s="107"/>
      <c r="U783" s="107"/>
    </row>
    <row r="784" ht="15.75" hidden="1" customHeight="1">
      <c r="A784" s="103"/>
      <c r="B784" s="104" t="str">
        <f>"City"</f>
        <v>City</v>
      </c>
      <c r="C784" s="104" t="str">
        <f>"yfs_person_info.city"</f>
        <v>yfs_person_info.city</v>
      </c>
      <c r="D784" s="104" t="str">
        <f t="shared" si="706"/>
        <v>string</v>
      </c>
      <c r="E784" s="105" t="str">
        <f>"35"</f>
        <v>35</v>
      </c>
      <c r="F784" s="104" t="s">
        <v>704</v>
      </c>
      <c r="G784" s="103" t="str">
        <f t="shared" si="704"/>
        <v>O</v>
      </c>
      <c r="H784" s="103" t="str">
        <f t="shared" si="708"/>
        <v>space</v>
      </c>
      <c r="I784" s="104" t="str">
        <f t="shared" si="709"/>
        <v/>
      </c>
      <c r="J784" s="104" t="str">
        <f>"Foxboro"</f>
        <v>Foxboro</v>
      </c>
      <c r="K784" s="104"/>
      <c r="L784" s="105"/>
      <c r="M784" s="104"/>
      <c r="N784" s="104"/>
      <c r="O784" s="104"/>
      <c r="P784" s="104"/>
      <c r="Q784" s="104"/>
      <c r="R784" s="104"/>
      <c r="S784" s="104"/>
      <c r="T784" s="107"/>
      <c r="U784" s="107"/>
    </row>
    <row r="785" ht="15.75" hidden="1" customHeight="1">
      <c r="A785" s="103"/>
      <c r="B785" s="104" t="str">
        <f>"Company"</f>
        <v>Company</v>
      </c>
      <c r="C785" s="104" t="str">
        <f>"yfs_person_info.company"</f>
        <v>yfs_person_info.company</v>
      </c>
      <c r="D785" s="104" t="str">
        <f>"UNKNOWN"</f>
        <v>UNKNOWN</v>
      </c>
      <c r="E785" s="105" t="str">
        <f>""</f>
        <v/>
      </c>
      <c r="F785" s="104" t="s">
        <v>706</v>
      </c>
      <c r="G785" s="103" t="str">
        <f t="shared" si="704"/>
        <v>O</v>
      </c>
      <c r="H785" s="103" t="str">
        <f t="shared" si="708"/>
        <v>space</v>
      </c>
      <c r="I785" s="104" t="str">
        <f t="shared" si="709"/>
        <v/>
      </c>
      <c r="J785" s="104" t="str">
        <f>"Things 'R Us"</f>
        <v>Things 'R Us</v>
      </c>
      <c r="K785" s="104"/>
      <c r="L785" s="105"/>
      <c r="M785" s="104"/>
      <c r="N785" s="104"/>
      <c r="O785" s="104"/>
      <c r="P785" s="104"/>
      <c r="Q785" s="104"/>
      <c r="R785" s="104"/>
      <c r="S785" s="104"/>
      <c r="T785" s="107"/>
      <c r="U785" s="107"/>
    </row>
    <row r="786" ht="15.75" hidden="1" customHeight="1">
      <c r="A786" s="103"/>
      <c r="B786" s="104" t="str">
        <f>"Country"</f>
        <v>Country</v>
      </c>
      <c r="C786" s="104" t="str">
        <f>"yfs_person_info.country"</f>
        <v>yfs_person_info.country</v>
      </c>
      <c r="D786" s="104" t="str">
        <f t="shared" ref="D786:D788" si="711">"string"</f>
        <v>string</v>
      </c>
      <c r="E786" s="105" t="str">
        <f t="shared" ref="E786:E788" si="712">"40"</f>
        <v>40</v>
      </c>
      <c r="F786" s="104" t="s">
        <v>708</v>
      </c>
      <c r="G786" s="103" t="str">
        <f t="shared" si="704"/>
        <v>O</v>
      </c>
      <c r="H786" s="103" t="str">
        <f t="shared" si="708"/>
        <v>space</v>
      </c>
      <c r="I786" s="104" t="str">
        <f t="shared" si="709"/>
        <v/>
      </c>
      <c r="J786" s="104" t="str">
        <f>"US"</f>
        <v>US</v>
      </c>
      <c r="K786" s="104"/>
      <c r="L786" s="105"/>
      <c r="M786" s="104"/>
      <c r="N786" s="104"/>
      <c r="O786" s="104"/>
      <c r="P786" s="104"/>
      <c r="Q786" s="104"/>
      <c r="R786" s="104"/>
      <c r="S786" s="104"/>
      <c r="T786" s="107"/>
      <c r="U786" s="107"/>
    </row>
    <row r="787" ht="15.75" hidden="1" customHeight="1">
      <c r="A787" s="103"/>
      <c r="B787" s="104" t="str">
        <f>"DayFaxNo"</f>
        <v>DayFaxNo</v>
      </c>
      <c r="C787" s="104" t="str">
        <f>"yfs_person_info.day_fax_no"</f>
        <v>yfs_person_info.day_fax_no</v>
      </c>
      <c r="D787" s="104" t="str">
        <f t="shared" si="711"/>
        <v>string</v>
      </c>
      <c r="E787" s="105" t="str">
        <f t="shared" si="712"/>
        <v>40</v>
      </c>
      <c r="F787" s="104" t="s">
        <v>712</v>
      </c>
      <c r="G787" s="103" t="str">
        <f t="shared" si="704"/>
        <v>O</v>
      </c>
      <c r="H787" s="103" t="str">
        <f t="shared" si="708"/>
        <v>space</v>
      </c>
      <c r="I787" s="104" t="str">
        <f t="shared" si="709"/>
        <v/>
      </c>
      <c r="J787" s="104" t="str">
        <f>""</f>
        <v/>
      </c>
      <c r="K787" s="104"/>
      <c r="L787" s="105"/>
      <c r="M787" s="104"/>
      <c r="N787" s="104"/>
      <c r="O787" s="104"/>
      <c r="P787" s="104"/>
      <c r="Q787" s="104"/>
      <c r="R787" s="104"/>
      <c r="S787" s="104"/>
      <c r="T787" s="107"/>
      <c r="U787" s="107"/>
    </row>
    <row r="788" ht="15.75" hidden="1" customHeight="1">
      <c r="A788" s="103"/>
      <c r="B788" s="104" t="str">
        <f>"DayPhone"</f>
        <v>DayPhone</v>
      </c>
      <c r="C788" s="104" t="str">
        <f>"yfs_person_info.day_phone"</f>
        <v>yfs_person_info.day_phone</v>
      </c>
      <c r="D788" s="104" t="str">
        <f t="shared" si="711"/>
        <v>string</v>
      </c>
      <c r="E788" s="105" t="str">
        <f t="shared" si="712"/>
        <v>40</v>
      </c>
      <c r="F788" s="104" t="s">
        <v>713</v>
      </c>
      <c r="G788" s="103" t="str">
        <f t="shared" si="704"/>
        <v>O</v>
      </c>
      <c r="H788" s="103" t="str">
        <f t="shared" si="708"/>
        <v>space</v>
      </c>
      <c r="I788" s="104" t="str">
        <f t="shared" si="709"/>
        <v/>
      </c>
      <c r="J788" s="104" t="str">
        <f>"(508) 555-1212"</f>
        <v>(508) 555-1212</v>
      </c>
      <c r="K788" s="104"/>
      <c r="L788" s="105"/>
      <c r="M788" s="104"/>
      <c r="N788" s="104"/>
      <c r="O788" s="104"/>
      <c r="P788" s="104"/>
      <c r="Q788" s="104"/>
      <c r="R788" s="104"/>
      <c r="S788" s="104"/>
      <c r="T788" s="107"/>
      <c r="U788" s="107"/>
    </row>
    <row r="789" ht="15.75" hidden="1" customHeight="1">
      <c r="A789" s="103"/>
      <c r="B789" s="104" t="str">
        <f>"Department"</f>
        <v>Department</v>
      </c>
      <c r="C789" s="104" t="str">
        <f>"yfs_person_info.department"</f>
        <v>yfs_person_info.department</v>
      </c>
      <c r="D789" s="104" t="str">
        <f>"UNKNOWN"</f>
        <v>UNKNOWN</v>
      </c>
      <c r="E789" s="105" t="str">
        <f>""</f>
        <v/>
      </c>
      <c r="F789" s="104" t="s">
        <v>715</v>
      </c>
      <c r="G789" s="103" t="str">
        <f t="shared" si="704"/>
        <v>O</v>
      </c>
      <c r="H789" s="103" t="str">
        <f t="shared" si="708"/>
        <v>space</v>
      </c>
      <c r="I789" s="104" t="str">
        <f t="shared" si="709"/>
        <v/>
      </c>
      <c r="J789" s="104" t="str">
        <f>""</f>
        <v/>
      </c>
      <c r="K789" s="104"/>
      <c r="L789" s="105"/>
      <c r="M789" s="104"/>
      <c r="N789" s="104"/>
      <c r="O789" s="104"/>
      <c r="P789" s="104"/>
      <c r="Q789" s="104"/>
      <c r="R789" s="104"/>
      <c r="S789" s="104"/>
      <c r="T789" s="107"/>
      <c r="U789" s="107"/>
    </row>
    <row r="790" ht="15.75" hidden="1" customHeight="1">
      <c r="A790" s="103"/>
      <c r="B790" s="104" t="str">
        <f>"EMailID"</f>
        <v>EMailID</v>
      </c>
      <c r="C790" s="104" t="str">
        <f>"yfs_person_info.emailid"</f>
        <v>yfs_person_info.emailid</v>
      </c>
      <c r="D790" s="104" t="str">
        <f t="shared" ref="D790:D792" si="713">"string"</f>
        <v>string</v>
      </c>
      <c r="E790" s="105" t="str">
        <f>"150"</f>
        <v>150</v>
      </c>
      <c r="F790" s="104" t="s">
        <v>716</v>
      </c>
      <c r="G790" s="103" t="str">
        <f t="shared" si="704"/>
        <v>O</v>
      </c>
      <c r="H790" s="103" t="str">
        <f t="shared" si="708"/>
        <v>space</v>
      </c>
      <c r="I790" s="104" t="str">
        <f t="shared" si="709"/>
        <v/>
      </c>
      <c r="J790" s="104" t="str">
        <f>"john.doe@mail.com"</f>
        <v>john.doe@mail.com</v>
      </c>
      <c r="K790" s="104"/>
      <c r="L790" s="105"/>
      <c r="M790" s="104"/>
      <c r="N790" s="104"/>
      <c r="O790" s="104"/>
      <c r="P790" s="104"/>
      <c r="Q790" s="104"/>
      <c r="R790" s="104"/>
      <c r="S790" s="104"/>
      <c r="T790" s="107"/>
      <c r="U790" s="107"/>
    </row>
    <row r="791" ht="15.75" hidden="1" customHeight="1">
      <c r="A791" s="103"/>
      <c r="B791" s="104" t="str">
        <f>"EveningFaxNo"</f>
        <v>EveningFaxNo</v>
      </c>
      <c r="C791" s="104" t="str">
        <f>"yfs_person_info.evening_fax_no"</f>
        <v>yfs_person_info.evening_fax_no</v>
      </c>
      <c r="D791" s="104" t="str">
        <f t="shared" si="713"/>
        <v>string</v>
      </c>
      <c r="E791" s="105" t="str">
        <f t="shared" ref="E791:E792" si="714">"40"</f>
        <v>40</v>
      </c>
      <c r="F791" s="104" t="s">
        <v>718</v>
      </c>
      <c r="G791" s="103" t="str">
        <f t="shared" si="704"/>
        <v>O</v>
      </c>
      <c r="H791" s="103" t="str">
        <f t="shared" si="708"/>
        <v>space</v>
      </c>
      <c r="I791" s="104" t="str">
        <f t="shared" si="709"/>
        <v/>
      </c>
      <c r="J791" s="104" t="str">
        <f>"(617) 555-3333"</f>
        <v>(617) 555-3333</v>
      </c>
      <c r="K791" s="104"/>
      <c r="L791" s="105"/>
      <c r="M791" s="104"/>
      <c r="N791" s="104"/>
      <c r="O791" s="104"/>
      <c r="P791" s="104"/>
      <c r="Q791" s="104"/>
      <c r="R791" s="104"/>
      <c r="S791" s="104"/>
      <c r="T791" s="107"/>
      <c r="U791" s="107"/>
    </row>
    <row r="792" ht="15.75" hidden="1" customHeight="1">
      <c r="A792" s="103"/>
      <c r="B792" s="104" t="str">
        <f>"EveningPhone"</f>
        <v>EveningPhone</v>
      </c>
      <c r="C792" s="104" t="str">
        <f>"yfs_person_info.evening_phone"</f>
        <v>yfs_person_info.evening_phone</v>
      </c>
      <c r="D792" s="104" t="str">
        <f t="shared" si="713"/>
        <v>string</v>
      </c>
      <c r="E792" s="105" t="str">
        <f t="shared" si="714"/>
        <v>40</v>
      </c>
      <c r="F792" s="104" t="s">
        <v>719</v>
      </c>
      <c r="G792" s="103" t="str">
        <f t="shared" si="704"/>
        <v>O</v>
      </c>
      <c r="H792" s="103" t="str">
        <f t="shared" si="708"/>
        <v>space</v>
      </c>
      <c r="I792" s="104" t="str">
        <f t="shared" si="709"/>
        <v/>
      </c>
      <c r="J792" s="104" t="str">
        <f>"(617) 555-1212"</f>
        <v>(617) 555-1212</v>
      </c>
      <c r="K792" s="104"/>
      <c r="L792" s="105"/>
      <c r="M792" s="104"/>
      <c r="N792" s="104"/>
      <c r="O792" s="104"/>
      <c r="P792" s="104"/>
      <c r="Q792" s="104"/>
      <c r="R792" s="104"/>
      <c r="S792" s="104"/>
      <c r="T792" s="107"/>
      <c r="U792" s="107"/>
    </row>
    <row r="793" ht="15.75" hidden="1" customHeight="1">
      <c r="A793" s="103"/>
      <c r="B793" s="104" t="str">
        <f>"FirstName"</f>
        <v>FirstName</v>
      </c>
      <c r="C793" s="104" t="str">
        <f>"yfs_person_info.first_name"</f>
        <v>yfs_person_info.first_name</v>
      </c>
      <c r="D793" s="104" t="str">
        <f>"UNKNOWN"</f>
        <v>UNKNOWN</v>
      </c>
      <c r="E793" s="105" t="str">
        <f>""</f>
        <v/>
      </c>
      <c r="F793" s="104" t="s">
        <v>720</v>
      </c>
      <c r="G793" s="103" t="str">
        <f t="shared" si="704"/>
        <v>O</v>
      </c>
      <c r="H793" s="103" t="str">
        <f t="shared" si="708"/>
        <v>space</v>
      </c>
      <c r="I793" s="104" t="str">
        <f t="shared" si="709"/>
        <v/>
      </c>
      <c r="J793" s="104" t="str">
        <f>"John"</f>
        <v>John</v>
      </c>
      <c r="K793" s="104"/>
      <c r="L793" s="105"/>
      <c r="M793" s="104"/>
      <c r="N793" s="104"/>
      <c r="O793" s="104"/>
      <c r="P793" s="104"/>
      <c r="Q793" s="104"/>
      <c r="R793" s="104"/>
      <c r="S793" s="104"/>
      <c r="T793" s="107"/>
      <c r="U793" s="107"/>
    </row>
    <row r="794" ht="15.75" hidden="1" customHeight="1">
      <c r="A794" s="103"/>
      <c r="B794" s="104" t="str">
        <f>"IsCommercialAddress"</f>
        <v>IsCommercialAddress</v>
      </c>
      <c r="C794" s="104" t="str">
        <f>"yfs_person_info.is_commercial_address"</f>
        <v>yfs_person_info.is_commercial_address</v>
      </c>
      <c r="D794" s="104" t="str">
        <f>"string"</f>
        <v>string</v>
      </c>
      <c r="E794" s="105" t="str">
        <f>"1"</f>
        <v>1</v>
      </c>
      <c r="F794" s="104" t="s">
        <v>722</v>
      </c>
      <c r="G794" s="103" t="str">
        <f t="shared" si="704"/>
        <v>O</v>
      </c>
      <c r="H794" s="103" t="str">
        <f>"null"</f>
        <v>null</v>
      </c>
      <c r="I794" s="104" t="str">
        <f t="shared" si="709"/>
        <v/>
      </c>
      <c r="J794" s="104" t="str">
        <f>"Y"</f>
        <v>Y</v>
      </c>
      <c r="K794" s="104"/>
      <c r="L794" s="105"/>
      <c r="M794" s="104"/>
      <c r="N794" s="104"/>
      <c r="O794" s="104"/>
      <c r="P794" s="104"/>
      <c r="Q794" s="104"/>
      <c r="R794" s="104"/>
      <c r="S794" s="104"/>
      <c r="T794" s="107"/>
      <c r="U794" s="107"/>
    </row>
    <row r="795" ht="15.75" hidden="1" customHeight="1">
      <c r="A795" s="103"/>
      <c r="B795" s="104" t="str">
        <f>"JobTitle"</f>
        <v>JobTitle</v>
      </c>
      <c r="C795" s="104" t="str">
        <f>"yfs_person_info.job_title"</f>
        <v>yfs_person_info.job_title</v>
      </c>
      <c r="D795" s="104" t="str">
        <f t="shared" ref="D795:D797" si="715">"UNKNOWN"</f>
        <v>UNKNOWN</v>
      </c>
      <c r="E795" s="105" t="str">
        <f t="shared" ref="E795:E797" si="716">""</f>
        <v/>
      </c>
      <c r="F795" s="104" t="s">
        <v>723</v>
      </c>
      <c r="G795" s="103" t="str">
        <f t="shared" si="704"/>
        <v>O</v>
      </c>
      <c r="H795" s="103" t="str">
        <f t="shared" ref="H795:H802" si="717">"space"</f>
        <v>space</v>
      </c>
      <c r="I795" s="104" t="str">
        <f t="shared" si="709"/>
        <v/>
      </c>
      <c r="J795" s="104" t="str">
        <f>"Procurement Manager"</f>
        <v>Procurement Manager</v>
      </c>
      <c r="K795" s="104"/>
      <c r="L795" s="105"/>
      <c r="M795" s="104"/>
      <c r="N795" s="104"/>
      <c r="O795" s="104"/>
      <c r="P795" s="104"/>
      <c r="Q795" s="104"/>
      <c r="R795" s="104"/>
      <c r="S795" s="104"/>
      <c r="T795" s="107"/>
      <c r="U795" s="107"/>
    </row>
    <row r="796" ht="15.75" hidden="1" customHeight="1">
      <c r="A796" s="103"/>
      <c r="B796" s="104" t="str">
        <f>"LastName"</f>
        <v>LastName</v>
      </c>
      <c r="C796" s="104" t="str">
        <f>"yfs_person_info.last_name"</f>
        <v>yfs_person_info.last_name</v>
      </c>
      <c r="D796" s="104" t="str">
        <f t="shared" si="715"/>
        <v>UNKNOWN</v>
      </c>
      <c r="E796" s="105" t="str">
        <f t="shared" si="716"/>
        <v/>
      </c>
      <c r="F796" s="104" t="s">
        <v>724</v>
      </c>
      <c r="G796" s="103" t="str">
        <f t="shared" si="704"/>
        <v>O</v>
      </c>
      <c r="H796" s="103" t="str">
        <f t="shared" si="717"/>
        <v>space</v>
      </c>
      <c r="I796" s="104" t="str">
        <f t="shared" si="709"/>
        <v/>
      </c>
      <c r="J796" s="104" t="str">
        <f>"Doe"</f>
        <v>Doe</v>
      </c>
      <c r="K796" s="104"/>
      <c r="L796" s="105"/>
      <c r="M796" s="104"/>
      <c r="N796" s="104"/>
      <c r="O796" s="104"/>
      <c r="P796" s="104"/>
      <c r="Q796" s="104"/>
      <c r="R796" s="104"/>
      <c r="S796" s="104"/>
      <c r="T796" s="107"/>
      <c r="U796" s="107"/>
    </row>
    <row r="797" ht="15.75" hidden="1" customHeight="1">
      <c r="A797" s="103"/>
      <c r="B797" s="104" t="str">
        <f>"MiddleName"</f>
        <v>MiddleName</v>
      </c>
      <c r="C797" s="104" t="str">
        <f>"yfs_person_info.middle_name"</f>
        <v>yfs_person_info.middle_name</v>
      </c>
      <c r="D797" s="104" t="str">
        <f t="shared" si="715"/>
        <v>UNKNOWN</v>
      </c>
      <c r="E797" s="105" t="str">
        <f t="shared" si="716"/>
        <v/>
      </c>
      <c r="F797" s="104" t="s">
        <v>726</v>
      </c>
      <c r="G797" s="103" t="str">
        <f t="shared" si="704"/>
        <v>O</v>
      </c>
      <c r="H797" s="103" t="str">
        <f t="shared" si="717"/>
        <v>space</v>
      </c>
      <c r="I797" s="104" t="str">
        <f t="shared" si="709"/>
        <v/>
      </c>
      <c r="J797" s="104" t="str">
        <f>"E"</f>
        <v>E</v>
      </c>
      <c r="K797" s="104"/>
      <c r="L797" s="105"/>
      <c r="M797" s="104"/>
      <c r="N797" s="104"/>
      <c r="O797" s="104"/>
      <c r="P797" s="104"/>
      <c r="Q797" s="104"/>
      <c r="R797" s="104"/>
      <c r="S797" s="104"/>
      <c r="T797" s="107"/>
      <c r="U797" s="107"/>
    </row>
    <row r="798" ht="15.75" hidden="1" customHeight="1">
      <c r="A798" s="103"/>
      <c r="B798" s="104" t="str">
        <f>"MobilePhone"</f>
        <v>MobilePhone</v>
      </c>
      <c r="C798" s="104" t="str">
        <f>"yfs_person_info.mobile_phone"</f>
        <v>yfs_person_info.mobile_phone</v>
      </c>
      <c r="D798" s="104" t="str">
        <f t="shared" ref="D798:D799" si="718">"string"</f>
        <v>string</v>
      </c>
      <c r="E798" s="105" t="str">
        <f t="shared" ref="E798:E799" si="719">"40"</f>
        <v>40</v>
      </c>
      <c r="F798" s="104" t="s">
        <v>730</v>
      </c>
      <c r="G798" s="103" t="str">
        <f t="shared" si="704"/>
        <v>O</v>
      </c>
      <c r="H798" s="103" t="str">
        <f t="shared" si="717"/>
        <v>space</v>
      </c>
      <c r="I798" s="104" t="str">
        <f t="shared" si="709"/>
        <v/>
      </c>
      <c r="J798" s="104" t="str">
        <f>"(978) 555-1212"</f>
        <v>(978) 555-1212</v>
      </c>
      <c r="K798" s="104"/>
      <c r="L798" s="105"/>
      <c r="M798" s="104"/>
      <c r="N798" s="104"/>
      <c r="O798" s="104"/>
      <c r="P798" s="104"/>
      <c r="Q798" s="104"/>
      <c r="R798" s="104"/>
      <c r="S798" s="104"/>
      <c r="T798" s="107"/>
      <c r="U798" s="107"/>
    </row>
    <row r="799" ht="15.75" hidden="1" customHeight="1">
      <c r="A799" s="103"/>
      <c r="B799" s="104" t="str">
        <f>"OtherPhone"</f>
        <v>OtherPhone</v>
      </c>
      <c r="C799" s="104" t="str">
        <f>"yfs_person_info.other_phone"</f>
        <v>yfs_person_info.other_phone</v>
      </c>
      <c r="D799" s="104" t="str">
        <f t="shared" si="718"/>
        <v>string</v>
      </c>
      <c r="E799" s="105" t="str">
        <f t="shared" si="719"/>
        <v>40</v>
      </c>
      <c r="F799" s="104" t="s">
        <v>728</v>
      </c>
      <c r="G799" s="103" t="str">
        <f t="shared" si="704"/>
        <v>O</v>
      </c>
      <c r="H799" s="103" t="str">
        <f t="shared" si="717"/>
        <v>space</v>
      </c>
      <c r="I799" s="104" t="str">
        <f t="shared" si="709"/>
        <v/>
      </c>
      <c r="J799" s="104" t="str">
        <f>"(781) 555-1212"</f>
        <v>(781) 555-1212</v>
      </c>
      <c r="K799" s="104"/>
      <c r="L799" s="105"/>
      <c r="M799" s="104"/>
      <c r="N799" s="104"/>
      <c r="O799" s="104"/>
      <c r="P799" s="104"/>
      <c r="Q799" s="104"/>
      <c r="R799" s="104"/>
      <c r="S799" s="104"/>
      <c r="T799" s="107"/>
      <c r="U799" s="107"/>
    </row>
    <row r="800" ht="15.75" hidden="1" customHeight="1">
      <c r="A800" s="103"/>
      <c r="B800" s="104" t="str">
        <f>"PersonID"</f>
        <v>PersonID</v>
      </c>
      <c r="C800" s="104" t="str">
        <f>"yfs_person_info.person_id"</f>
        <v>yfs_person_info.person_id</v>
      </c>
      <c r="D800" s="104" t="str">
        <f>"UNKNOWN"</f>
        <v>UNKNOWN</v>
      </c>
      <c r="E800" s="105" t="str">
        <f>""</f>
        <v/>
      </c>
      <c r="F800" s="104" t="s">
        <v>729</v>
      </c>
      <c r="G800" s="103" t="str">
        <f t="shared" si="704"/>
        <v>O</v>
      </c>
      <c r="H800" s="103" t="str">
        <f t="shared" si="717"/>
        <v>space</v>
      </c>
      <c r="I800" s="104" t="str">
        <f t="shared" si="709"/>
        <v/>
      </c>
      <c r="J800" s="104" t="str">
        <f>""</f>
        <v/>
      </c>
      <c r="K800" s="104"/>
      <c r="L800" s="105"/>
      <c r="M800" s="104"/>
      <c r="N800" s="104"/>
      <c r="O800" s="104"/>
      <c r="P800" s="104"/>
      <c r="Q800" s="104"/>
      <c r="R800" s="104"/>
      <c r="S800" s="104"/>
      <c r="T800" s="107"/>
      <c r="U800" s="107"/>
    </row>
    <row r="801" ht="15.75" hidden="1" customHeight="1">
      <c r="A801" s="103"/>
      <c r="B801" s="104" t="str">
        <f>"State"</f>
        <v>State</v>
      </c>
      <c r="C801" s="104" t="str">
        <f>"yfs_person_info.state"</f>
        <v>yfs_person_info.state</v>
      </c>
      <c r="D801" s="104" t="str">
        <f>"string"</f>
        <v>string</v>
      </c>
      <c r="E801" s="105" t="str">
        <f>"35"</f>
        <v>35</v>
      </c>
      <c r="F801" s="104" t="s">
        <v>731</v>
      </c>
      <c r="G801" s="103" t="str">
        <f t="shared" si="704"/>
        <v>O</v>
      </c>
      <c r="H801" s="103" t="str">
        <f t="shared" si="717"/>
        <v>space</v>
      </c>
      <c r="I801" s="104" t="str">
        <f t="shared" si="709"/>
        <v/>
      </c>
      <c r="J801" s="104" t="str">
        <f>"MA"</f>
        <v>MA</v>
      </c>
      <c r="K801" s="104"/>
      <c r="L801" s="105"/>
      <c r="M801" s="104"/>
      <c r="N801" s="104"/>
      <c r="O801" s="104"/>
      <c r="P801" s="104"/>
      <c r="Q801" s="104"/>
      <c r="R801" s="104"/>
      <c r="S801" s="104"/>
      <c r="T801" s="107"/>
      <c r="U801" s="107"/>
    </row>
    <row r="802" ht="15.75" hidden="1" customHeight="1">
      <c r="A802" s="103"/>
      <c r="B802" s="104" t="str">
        <f>"Suffix"</f>
        <v>Suffix</v>
      </c>
      <c r="C802" s="104" t="str">
        <f>"yfs_person_info.suffix"</f>
        <v>yfs_person_info.suffix</v>
      </c>
      <c r="D802" s="104" t="str">
        <f t="shared" ref="D802:D804" si="720">"UNKNOWN"</f>
        <v>UNKNOWN</v>
      </c>
      <c r="E802" s="105" t="str">
        <f t="shared" ref="E802:E804" si="721">""</f>
        <v/>
      </c>
      <c r="F802" s="104" t="s">
        <v>735</v>
      </c>
      <c r="G802" s="103" t="str">
        <f t="shared" si="704"/>
        <v>O</v>
      </c>
      <c r="H802" s="103" t="str">
        <f t="shared" si="717"/>
        <v>space</v>
      </c>
      <c r="I802" s="104" t="str">
        <f t="shared" si="709"/>
        <v/>
      </c>
      <c r="J802" s="104" t="str">
        <f t="shared" ref="J802:J803" si="722">""</f>
        <v/>
      </c>
      <c r="K802" s="104"/>
      <c r="L802" s="105"/>
      <c r="M802" s="104"/>
      <c r="N802" s="104"/>
      <c r="O802" s="104"/>
      <c r="P802" s="104"/>
      <c r="Q802" s="104"/>
      <c r="R802" s="104"/>
      <c r="S802" s="104"/>
      <c r="T802" s="107"/>
      <c r="U802" s="107"/>
    </row>
    <row r="803" ht="15.75" hidden="1" customHeight="1">
      <c r="A803" s="103"/>
      <c r="B803" s="104" t="str">
        <f>"TaxGeoCode"</f>
        <v>TaxGeoCode</v>
      </c>
      <c r="C803" s="104" t="str">
        <f>"yfs_person_info.tax_geo_code"</f>
        <v>yfs_person_info.tax_geo_code</v>
      </c>
      <c r="D803" s="104" t="str">
        <f t="shared" si="720"/>
        <v>UNKNOWN</v>
      </c>
      <c r="E803" s="105" t="str">
        <f t="shared" si="721"/>
        <v/>
      </c>
      <c r="F803" s="104" t="s">
        <v>738</v>
      </c>
      <c r="G803" s="103" t="str">
        <f t="shared" si="704"/>
        <v>O</v>
      </c>
      <c r="H803" s="103" t="str">
        <f>"null"</f>
        <v>null</v>
      </c>
      <c r="I803" s="104" t="str">
        <f t="shared" si="709"/>
        <v/>
      </c>
      <c r="J803" s="104" t="str">
        <f t="shared" si="722"/>
        <v/>
      </c>
      <c r="K803" s="104"/>
      <c r="L803" s="105"/>
      <c r="M803" s="104"/>
      <c r="N803" s="104"/>
      <c r="O803" s="104"/>
      <c r="P803" s="104"/>
      <c r="Q803" s="104"/>
      <c r="R803" s="104"/>
      <c r="S803" s="104"/>
      <c r="T803" s="107"/>
      <c r="U803" s="107"/>
    </row>
    <row r="804" ht="15.75" hidden="1" customHeight="1">
      <c r="A804" s="103"/>
      <c r="B804" s="104" t="str">
        <f>"Title"</f>
        <v>Title</v>
      </c>
      <c r="C804" s="104" t="str">
        <f>"yfs_person_info.title"</f>
        <v>yfs_person_info.title</v>
      </c>
      <c r="D804" s="104" t="str">
        <f t="shared" si="720"/>
        <v>UNKNOWN</v>
      </c>
      <c r="E804" s="105" t="str">
        <f t="shared" si="721"/>
        <v/>
      </c>
      <c r="F804" s="104" t="s">
        <v>739</v>
      </c>
      <c r="G804" s="103" t="str">
        <f t="shared" si="704"/>
        <v>O</v>
      </c>
      <c r="H804" s="103" t="str">
        <f t="shared" ref="H804:H805" si="723">"space"</f>
        <v>space</v>
      </c>
      <c r="I804" s="104" t="str">
        <f t="shared" si="709"/>
        <v/>
      </c>
      <c r="J804" s="104" t="str">
        <f>"Mr"</f>
        <v>Mr</v>
      </c>
      <c r="K804" s="104"/>
      <c r="L804" s="105"/>
      <c r="M804" s="104"/>
      <c r="N804" s="104"/>
      <c r="O804" s="104"/>
      <c r="P804" s="104"/>
      <c r="Q804" s="104"/>
      <c r="R804" s="104"/>
      <c r="S804" s="104"/>
      <c r="T804" s="107"/>
      <c r="U804" s="107"/>
    </row>
    <row r="805" ht="15.75" hidden="1" customHeight="1">
      <c r="A805" s="103"/>
      <c r="B805" s="104" t="str">
        <f>"ZipCode"</f>
        <v>ZipCode</v>
      </c>
      <c r="C805" s="104" t="str">
        <f>"yfs_person_info.zip_code"</f>
        <v>yfs_person_info.zip_code</v>
      </c>
      <c r="D805" s="104" t="str">
        <f>"string"</f>
        <v>string</v>
      </c>
      <c r="E805" s="105" t="str">
        <f>"35"</f>
        <v>35</v>
      </c>
      <c r="F805" s="104" t="s">
        <v>743</v>
      </c>
      <c r="G805" s="103" t="str">
        <f t="shared" si="704"/>
        <v>O</v>
      </c>
      <c r="H805" s="103" t="str">
        <f t="shared" si="723"/>
        <v>space</v>
      </c>
      <c r="I805" s="104" t="str">
        <f t="shared" si="709"/>
        <v/>
      </c>
      <c r="J805" s="104" t="str">
        <f>"02035-2531"</f>
        <v>02035-2531</v>
      </c>
      <c r="K805" s="104"/>
      <c r="L805" s="105"/>
      <c r="M805" s="104"/>
      <c r="N805" s="104"/>
      <c r="O805" s="104"/>
      <c r="P805" s="104"/>
      <c r="Q805" s="104"/>
      <c r="R805" s="104"/>
      <c r="S805" s="104"/>
      <c r="T805" s="107"/>
      <c r="U805" s="107"/>
    </row>
    <row r="806" ht="15.75" hidden="1" customHeight="1">
      <c r="A806" s="196"/>
      <c r="B806" s="170" t="str">
        <f>"/Order/PersonInfoContact/@"</f>
        <v>/Order/PersonInfoContact/@</v>
      </c>
      <c r="C806" s="170"/>
      <c r="D806" s="170"/>
      <c r="E806" s="170"/>
      <c r="F806" s="287"/>
      <c r="G806" s="196" t="str">
        <f t="shared" si="704"/>
        <v>O</v>
      </c>
      <c r="H806" s="170"/>
      <c r="I806" s="170"/>
      <c r="J806" s="170"/>
      <c r="K806" s="305"/>
      <c r="L806" s="170"/>
      <c r="M806" s="170"/>
      <c r="N806" s="170"/>
      <c r="O806" s="170"/>
      <c r="P806" s="170"/>
      <c r="Q806" s="170"/>
      <c r="R806" s="170"/>
      <c r="S806" s="170"/>
      <c r="T806" s="197"/>
      <c r="U806" s="197"/>
    </row>
    <row r="807" ht="15.75" hidden="1" customHeight="1">
      <c r="A807" s="103"/>
      <c r="B807" s="104" t="str">
        <f>"AddressID"</f>
        <v>AddressID</v>
      </c>
      <c r="C807" s="104" t="str">
        <f>"yfs_person_info.address_id"</f>
        <v>yfs_person_info.address_id</v>
      </c>
      <c r="D807" s="104" t="str">
        <f t="shared" ref="D807:D816" si="725">"string"</f>
        <v>string</v>
      </c>
      <c r="E807" s="105" t="str">
        <f>"256"</f>
        <v>256</v>
      </c>
      <c r="F807" s="118" t="s">
        <v>684</v>
      </c>
      <c r="G807" s="103" t="str">
        <f t="shared" si="704"/>
        <v>O</v>
      </c>
      <c r="H807" s="103" t="str">
        <f>"null"</f>
        <v>null</v>
      </c>
      <c r="I807" s="104" t="str">
        <f t="shared" ref="I807:J807" si="724">""</f>
        <v/>
      </c>
      <c r="J807" s="104" t="str">
        <f t="shared" si="724"/>
        <v/>
      </c>
      <c r="K807" s="104"/>
      <c r="L807" s="105"/>
      <c r="M807" s="104"/>
      <c r="N807" s="104"/>
      <c r="O807" s="104"/>
      <c r="P807" s="104"/>
      <c r="Q807" s="104"/>
      <c r="R807" s="104"/>
      <c r="S807" s="104"/>
      <c r="T807" s="107"/>
      <c r="U807" s="107"/>
    </row>
    <row r="808" ht="15.75" hidden="1" customHeight="1">
      <c r="A808" s="103"/>
      <c r="B808" s="104" t="str">
        <f>"AddressLine1"</f>
        <v>AddressLine1</v>
      </c>
      <c r="C808" s="104" t="str">
        <f>"yfs_person_info.address_line1"</f>
        <v>yfs_person_info.address_line1</v>
      </c>
      <c r="D808" s="104" t="str">
        <f t="shared" si="725"/>
        <v>string</v>
      </c>
      <c r="E808" s="105" t="str">
        <f t="shared" ref="E808:E813" si="726">"70"</f>
        <v>70</v>
      </c>
      <c r="F808" s="118" t="s">
        <v>685</v>
      </c>
      <c r="G808" s="103" t="str">
        <f t="shared" si="704"/>
        <v>O</v>
      </c>
      <c r="H808" s="103" t="str">
        <f t="shared" ref="H808:H825" si="727">"space"</f>
        <v>space</v>
      </c>
      <c r="I808" s="104" t="str">
        <f t="shared" ref="I808:I838" si="728">""</f>
        <v/>
      </c>
      <c r="J808" s="104" t="str">
        <f>"1 Main Street"</f>
        <v>1 Main Street</v>
      </c>
      <c r="K808" s="104"/>
      <c r="L808" s="105"/>
      <c r="M808" s="104"/>
      <c r="N808" s="104"/>
      <c r="O808" s="104"/>
      <c r="P808" s="104"/>
      <c r="Q808" s="104"/>
      <c r="R808" s="104"/>
      <c r="S808" s="104"/>
      <c r="T808" s="107"/>
      <c r="U808" s="107"/>
    </row>
    <row r="809" ht="15.75" hidden="1" customHeight="1">
      <c r="A809" s="103"/>
      <c r="B809" s="104" t="str">
        <f>"AddressLine2"</f>
        <v>AddressLine2</v>
      </c>
      <c r="C809" s="104" t="str">
        <f>"yfs_person_info.address_line2"</f>
        <v>yfs_person_info.address_line2</v>
      </c>
      <c r="D809" s="104" t="str">
        <f t="shared" si="725"/>
        <v>string</v>
      </c>
      <c r="E809" s="105" t="str">
        <f t="shared" si="726"/>
        <v>70</v>
      </c>
      <c r="F809" s="118" t="s">
        <v>688</v>
      </c>
      <c r="G809" s="103" t="str">
        <f t="shared" si="704"/>
        <v>O</v>
      </c>
      <c r="H809" s="103" t="str">
        <f t="shared" si="727"/>
        <v>space</v>
      </c>
      <c r="I809" s="104" t="str">
        <f t="shared" si="728"/>
        <v/>
      </c>
      <c r="J809" s="104" t="str">
        <f>"Unit A2"</f>
        <v>Unit A2</v>
      </c>
      <c r="K809" s="104"/>
      <c r="L809" s="105"/>
      <c r="M809" s="104"/>
      <c r="N809" s="104"/>
      <c r="O809" s="104"/>
      <c r="P809" s="104"/>
      <c r="Q809" s="104"/>
      <c r="R809" s="104"/>
      <c r="S809" s="104"/>
      <c r="T809" s="107"/>
      <c r="U809" s="107"/>
    </row>
    <row r="810" ht="15.75" hidden="1" customHeight="1">
      <c r="A810" s="103"/>
      <c r="B810" s="104" t="str">
        <f>"AddressLine3"</f>
        <v>AddressLine3</v>
      </c>
      <c r="C810" s="104" t="str">
        <f>"yfs_person_info.address_line3"</f>
        <v>yfs_person_info.address_line3</v>
      </c>
      <c r="D810" s="104" t="str">
        <f t="shared" si="725"/>
        <v>string</v>
      </c>
      <c r="E810" s="105" t="str">
        <f t="shared" si="726"/>
        <v>70</v>
      </c>
      <c r="F810" s="118" t="s">
        <v>691</v>
      </c>
      <c r="G810" s="103" t="str">
        <f t="shared" si="704"/>
        <v>O</v>
      </c>
      <c r="H810" s="103" t="str">
        <f t="shared" si="727"/>
        <v>space</v>
      </c>
      <c r="I810" s="104" t="str">
        <f t="shared" si="728"/>
        <v/>
      </c>
      <c r="J810" s="104" t="str">
        <f t="shared" ref="J810:J813" si="729">""</f>
        <v/>
      </c>
      <c r="K810" s="104"/>
      <c r="L810" s="105"/>
      <c r="M810" s="104"/>
      <c r="N810" s="104"/>
      <c r="O810" s="104"/>
      <c r="P810" s="104"/>
      <c r="Q810" s="104"/>
      <c r="R810" s="104"/>
      <c r="S810" s="104"/>
      <c r="T810" s="107"/>
      <c r="U810" s="107"/>
    </row>
    <row r="811" ht="15.75" hidden="1" customHeight="1">
      <c r="A811" s="103"/>
      <c r="B811" s="104" t="str">
        <f>"AddressLine4"</f>
        <v>AddressLine4</v>
      </c>
      <c r="C811" s="104" t="str">
        <f>"yfs_person_info.address_line4"</f>
        <v>yfs_person_info.address_line4</v>
      </c>
      <c r="D811" s="104" t="str">
        <f t="shared" si="725"/>
        <v>string</v>
      </c>
      <c r="E811" s="105" t="str">
        <f t="shared" si="726"/>
        <v>70</v>
      </c>
      <c r="F811" s="118" t="s">
        <v>693</v>
      </c>
      <c r="G811" s="103" t="str">
        <f t="shared" si="704"/>
        <v>O</v>
      </c>
      <c r="H811" s="103" t="str">
        <f t="shared" si="727"/>
        <v>space</v>
      </c>
      <c r="I811" s="104" t="str">
        <f t="shared" si="728"/>
        <v/>
      </c>
      <c r="J811" s="104" t="str">
        <f t="shared" si="729"/>
        <v/>
      </c>
      <c r="K811" s="104"/>
      <c r="L811" s="105"/>
      <c r="M811" s="104"/>
      <c r="N811" s="104"/>
      <c r="O811" s="104"/>
      <c r="P811" s="104"/>
      <c r="Q811" s="104"/>
      <c r="R811" s="104"/>
      <c r="S811" s="104"/>
      <c r="T811" s="107"/>
      <c r="U811" s="107"/>
    </row>
    <row r="812" ht="15.75" hidden="1" customHeight="1">
      <c r="A812" s="103"/>
      <c r="B812" s="104" t="str">
        <f>"AddressLine5"</f>
        <v>AddressLine5</v>
      </c>
      <c r="C812" s="104" t="str">
        <f>"yfs_person_info.address_line5"</f>
        <v>yfs_person_info.address_line5</v>
      </c>
      <c r="D812" s="104" t="str">
        <f t="shared" si="725"/>
        <v>string</v>
      </c>
      <c r="E812" s="105" t="str">
        <f t="shared" si="726"/>
        <v>70</v>
      </c>
      <c r="F812" s="118" t="s">
        <v>694</v>
      </c>
      <c r="G812" s="103" t="str">
        <f t="shared" si="704"/>
        <v>O</v>
      </c>
      <c r="H812" s="103" t="str">
        <f t="shared" si="727"/>
        <v>space</v>
      </c>
      <c r="I812" s="104" t="str">
        <f t="shared" si="728"/>
        <v/>
      </c>
      <c r="J812" s="104" t="str">
        <f t="shared" si="729"/>
        <v/>
      </c>
      <c r="K812" s="104"/>
      <c r="L812" s="105"/>
      <c r="M812" s="104"/>
      <c r="N812" s="104"/>
      <c r="O812" s="104"/>
      <c r="P812" s="104"/>
      <c r="Q812" s="104"/>
      <c r="R812" s="104"/>
      <c r="S812" s="104"/>
      <c r="T812" s="107"/>
      <c r="U812" s="107"/>
    </row>
    <row r="813" ht="15.75" hidden="1" customHeight="1">
      <c r="A813" s="103"/>
      <c r="B813" s="104" t="str">
        <f>"AddressLine6"</f>
        <v>AddressLine6</v>
      </c>
      <c r="C813" s="104" t="str">
        <f>"yfs_person_info.address_line6"</f>
        <v>yfs_person_info.address_line6</v>
      </c>
      <c r="D813" s="104" t="str">
        <f t="shared" si="725"/>
        <v>string</v>
      </c>
      <c r="E813" s="105" t="str">
        <f t="shared" si="726"/>
        <v>70</v>
      </c>
      <c r="F813" s="104" t="s">
        <v>695</v>
      </c>
      <c r="G813" s="103" t="str">
        <f t="shared" si="704"/>
        <v>O</v>
      </c>
      <c r="H813" s="103" t="str">
        <f t="shared" si="727"/>
        <v>space</v>
      </c>
      <c r="I813" s="104" t="str">
        <f t="shared" si="728"/>
        <v/>
      </c>
      <c r="J813" s="104" t="str">
        <f t="shared" si="729"/>
        <v/>
      </c>
      <c r="K813" s="104"/>
      <c r="L813" s="105"/>
      <c r="M813" s="104"/>
      <c r="N813" s="104"/>
      <c r="O813" s="104"/>
      <c r="P813" s="104"/>
      <c r="Q813" s="104"/>
      <c r="R813" s="104"/>
      <c r="S813" s="104"/>
      <c r="T813" s="107"/>
      <c r="U813" s="107"/>
    </row>
    <row r="814" ht="15.75" hidden="1" customHeight="1">
      <c r="A814" s="103"/>
      <c r="B814" s="104" t="str">
        <f>"AlternateEmailID"</f>
        <v>AlternateEmailID</v>
      </c>
      <c r="C814" s="104" t="str">
        <f>"yfs_person_info.alternate_emailid"</f>
        <v>yfs_person_info.alternate_emailid</v>
      </c>
      <c r="D814" s="104" t="str">
        <f t="shared" si="725"/>
        <v>string</v>
      </c>
      <c r="E814" s="105" t="str">
        <f>"150"</f>
        <v>150</v>
      </c>
      <c r="F814" s="118" t="s">
        <v>696</v>
      </c>
      <c r="G814" s="103" t="str">
        <f t="shared" si="704"/>
        <v>O</v>
      </c>
      <c r="H814" s="103" t="str">
        <f t="shared" si="727"/>
        <v>space</v>
      </c>
      <c r="I814" s="104" t="str">
        <f t="shared" si="728"/>
        <v/>
      </c>
      <c r="J814" s="104" t="str">
        <f>"john.doe@workplace.com"</f>
        <v>john.doe@workplace.com</v>
      </c>
      <c r="K814" s="104"/>
      <c r="L814" s="105"/>
      <c r="M814" s="104"/>
      <c r="N814" s="104"/>
      <c r="O814" s="104"/>
      <c r="P814" s="104"/>
      <c r="Q814" s="104"/>
      <c r="R814" s="104"/>
      <c r="S814" s="104"/>
      <c r="T814" s="107"/>
      <c r="U814" s="107"/>
    </row>
    <row r="815" ht="15.75" hidden="1" customHeight="1">
      <c r="A815" s="103"/>
      <c r="B815" s="104" t="str">
        <f>"Beeper"</f>
        <v>Beeper</v>
      </c>
      <c r="C815" s="104" t="str">
        <f>"yfs_person_info.beeper"</f>
        <v>yfs_person_info.beeper</v>
      </c>
      <c r="D815" s="104" t="str">
        <f t="shared" si="725"/>
        <v>string</v>
      </c>
      <c r="E815" s="105" t="str">
        <f>"40"</f>
        <v>40</v>
      </c>
      <c r="F815" s="104" t="s">
        <v>697</v>
      </c>
      <c r="G815" s="103" t="str">
        <f t="shared" si="704"/>
        <v>O</v>
      </c>
      <c r="H815" s="103" t="str">
        <f t="shared" si="727"/>
        <v>space</v>
      </c>
      <c r="I815" s="104" t="str">
        <f t="shared" si="728"/>
        <v/>
      </c>
      <c r="J815" s="104" t="str">
        <f>""</f>
        <v/>
      </c>
      <c r="K815" s="104"/>
      <c r="L815" s="105"/>
      <c r="M815" s="104"/>
      <c r="N815" s="104"/>
      <c r="O815" s="104"/>
      <c r="P815" s="104"/>
      <c r="Q815" s="104"/>
      <c r="R815" s="104"/>
      <c r="S815" s="104"/>
      <c r="T815" s="107"/>
      <c r="U815" s="107"/>
    </row>
    <row r="816" ht="15.75" hidden="1" customHeight="1">
      <c r="A816" s="103"/>
      <c r="B816" s="104" t="str">
        <f>"City"</f>
        <v>City</v>
      </c>
      <c r="C816" s="104" t="str">
        <f>"yfs_person_info.city"</f>
        <v>yfs_person_info.city</v>
      </c>
      <c r="D816" s="104" t="str">
        <f t="shared" si="725"/>
        <v>string</v>
      </c>
      <c r="E816" s="105" t="str">
        <f>"35"</f>
        <v>35</v>
      </c>
      <c r="F816" s="118" t="s">
        <v>704</v>
      </c>
      <c r="G816" s="103" t="str">
        <f t="shared" si="704"/>
        <v>O</v>
      </c>
      <c r="H816" s="103" t="str">
        <f t="shared" si="727"/>
        <v>space</v>
      </c>
      <c r="I816" s="104" t="str">
        <f t="shared" si="728"/>
        <v/>
      </c>
      <c r="J816" s="104" t="str">
        <f>"Foxboro"</f>
        <v>Foxboro</v>
      </c>
      <c r="K816" s="104"/>
      <c r="L816" s="105"/>
      <c r="M816" s="104"/>
      <c r="N816" s="104"/>
      <c r="O816" s="104"/>
      <c r="P816" s="104"/>
      <c r="Q816" s="104"/>
      <c r="R816" s="104"/>
      <c r="S816" s="104"/>
      <c r="T816" s="107"/>
      <c r="U816" s="107"/>
    </row>
    <row r="817" ht="15.75" hidden="1" customHeight="1">
      <c r="A817" s="103"/>
      <c r="B817" s="104" t="str">
        <f>"Company"</f>
        <v>Company</v>
      </c>
      <c r="C817" s="104" t="str">
        <f>"yfs_person_info.company"</f>
        <v>yfs_person_info.company</v>
      </c>
      <c r="D817" s="104" t="str">
        <f>"UNKNOWN"</f>
        <v>UNKNOWN</v>
      </c>
      <c r="E817" s="105" t="str">
        <f>""</f>
        <v/>
      </c>
      <c r="F817" s="104" t="s">
        <v>706</v>
      </c>
      <c r="G817" s="103" t="str">
        <f t="shared" si="704"/>
        <v>O</v>
      </c>
      <c r="H817" s="103" t="str">
        <f t="shared" si="727"/>
        <v>space</v>
      </c>
      <c r="I817" s="104" t="str">
        <f t="shared" si="728"/>
        <v/>
      </c>
      <c r="J817" s="104" t="str">
        <f>"Things 'R Us"</f>
        <v>Things 'R Us</v>
      </c>
      <c r="K817" s="104"/>
      <c r="L817" s="105"/>
      <c r="M817" s="104"/>
      <c r="N817" s="104"/>
      <c r="O817" s="104"/>
      <c r="P817" s="104"/>
      <c r="Q817" s="104"/>
      <c r="R817" s="104"/>
      <c r="S817" s="104"/>
      <c r="T817" s="107"/>
      <c r="U817" s="107"/>
    </row>
    <row r="818" ht="15.75" hidden="1" customHeight="1">
      <c r="A818" s="103"/>
      <c r="B818" s="104" t="str">
        <f>"Country"</f>
        <v>Country</v>
      </c>
      <c r="C818" s="104" t="str">
        <f>"yfs_person_info.country"</f>
        <v>yfs_person_info.country</v>
      </c>
      <c r="D818" s="104" t="str">
        <f t="shared" ref="D818:D820" si="730">"string"</f>
        <v>string</v>
      </c>
      <c r="E818" s="105" t="str">
        <f t="shared" ref="E818:E819" si="731">"40"</f>
        <v>40</v>
      </c>
      <c r="F818" s="118" t="s">
        <v>708</v>
      </c>
      <c r="G818" s="103" t="str">
        <f t="shared" si="704"/>
        <v>O</v>
      </c>
      <c r="H818" s="103" t="str">
        <f t="shared" si="727"/>
        <v>space</v>
      </c>
      <c r="I818" s="104" t="str">
        <f t="shared" si="728"/>
        <v/>
      </c>
      <c r="J818" s="104" t="str">
        <f>"US"</f>
        <v>US</v>
      </c>
      <c r="K818" s="104"/>
      <c r="L818" s="105"/>
      <c r="M818" s="104"/>
      <c r="N818" s="104"/>
      <c r="O818" s="104"/>
      <c r="P818" s="104"/>
      <c r="Q818" s="104"/>
      <c r="R818" s="104"/>
      <c r="S818" s="104"/>
      <c r="T818" s="107"/>
      <c r="U818" s="107"/>
    </row>
    <row r="819" ht="15.75" hidden="1" customHeight="1">
      <c r="A819" s="103"/>
      <c r="B819" s="104" t="str">
        <f>"DayFaxNo"</f>
        <v>DayFaxNo</v>
      </c>
      <c r="C819" s="104" t="str">
        <f>"yfs_person_info.day_fax_no"</f>
        <v>yfs_person_info.day_fax_no</v>
      </c>
      <c r="D819" s="104" t="str">
        <f t="shared" si="730"/>
        <v>string</v>
      </c>
      <c r="E819" s="105" t="str">
        <f t="shared" si="731"/>
        <v>40</v>
      </c>
      <c r="F819" s="104" t="s">
        <v>712</v>
      </c>
      <c r="G819" s="103" t="str">
        <f t="shared" si="704"/>
        <v>O</v>
      </c>
      <c r="H819" s="103" t="str">
        <f t="shared" si="727"/>
        <v>space</v>
      </c>
      <c r="I819" s="104" t="str">
        <f t="shared" si="728"/>
        <v/>
      </c>
      <c r="J819" s="104" t="str">
        <f>""</f>
        <v/>
      </c>
      <c r="K819" s="104"/>
      <c r="L819" s="105"/>
      <c r="M819" s="104"/>
      <c r="N819" s="104"/>
      <c r="O819" s="104"/>
      <c r="P819" s="104"/>
      <c r="Q819" s="104"/>
      <c r="R819" s="104"/>
      <c r="S819" s="104"/>
      <c r="T819" s="107"/>
      <c r="U819" s="107"/>
    </row>
    <row r="820" ht="15.75" hidden="1" customHeight="1">
      <c r="A820" s="103"/>
      <c r="B820" s="104" t="str">
        <f>"DayPhone"</f>
        <v>DayPhone</v>
      </c>
      <c r="C820" s="104" t="str">
        <f>"yfs_person_info.day_phone"</f>
        <v>yfs_person_info.day_phone</v>
      </c>
      <c r="D820" s="104" t="str">
        <f t="shared" si="730"/>
        <v>string</v>
      </c>
      <c r="E820" s="105">
        <v>20.0</v>
      </c>
      <c r="F820" s="118" t="s">
        <v>713</v>
      </c>
      <c r="G820" s="103" t="str">
        <f t="shared" si="704"/>
        <v>O</v>
      </c>
      <c r="H820" s="103" t="str">
        <f t="shared" si="727"/>
        <v>space</v>
      </c>
      <c r="I820" s="104" t="str">
        <f t="shared" si="728"/>
        <v/>
      </c>
      <c r="J820" s="104" t="str">
        <f>"(508) 555-1212"</f>
        <v>(508) 555-1212</v>
      </c>
      <c r="K820" s="104"/>
      <c r="L820" s="105"/>
      <c r="M820" s="104"/>
      <c r="N820" s="104"/>
      <c r="O820" s="104"/>
      <c r="P820" s="104"/>
      <c r="Q820" s="104"/>
      <c r="R820" s="104"/>
      <c r="S820" s="104"/>
      <c r="T820" s="107"/>
      <c r="U820" s="107"/>
    </row>
    <row r="821" ht="15.75" hidden="1" customHeight="1">
      <c r="A821" s="103"/>
      <c r="B821" s="104" t="str">
        <f>"Department"</f>
        <v>Department</v>
      </c>
      <c r="C821" s="104" t="str">
        <f>"yfs_person_info.department"</f>
        <v>yfs_person_info.department</v>
      </c>
      <c r="D821" s="104" t="str">
        <f>"UNKNOWN"</f>
        <v>UNKNOWN</v>
      </c>
      <c r="E821" s="105" t="str">
        <f>""</f>
        <v/>
      </c>
      <c r="F821" s="104" t="s">
        <v>715</v>
      </c>
      <c r="G821" s="103" t="str">
        <f t="shared" si="704"/>
        <v>O</v>
      </c>
      <c r="H821" s="103" t="str">
        <f t="shared" si="727"/>
        <v>space</v>
      </c>
      <c r="I821" s="104" t="str">
        <f t="shared" si="728"/>
        <v/>
      </c>
      <c r="J821" s="104" t="str">
        <f>""</f>
        <v/>
      </c>
      <c r="K821" s="104"/>
      <c r="L821" s="105"/>
      <c r="M821" s="104"/>
      <c r="N821" s="104"/>
      <c r="O821" s="104"/>
      <c r="P821" s="104"/>
      <c r="Q821" s="104"/>
      <c r="R821" s="104"/>
      <c r="S821" s="104"/>
      <c r="T821" s="107"/>
      <c r="U821" s="107"/>
    </row>
    <row r="822" ht="15.75" hidden="1" customHeight="1">
      <c r="A822" s="103"/>
      <c r="B822" s="104" t="str">
        <f>"EMailID"</f>
        <v>EMailID</v>
      </c>
      <c r="C822" s="104" t="str">
        <f>"yfs_person_info.emailid"</f>
        <v>yfs_person_info.emailid</v>
      </c>
      <c r="D822" s="104" t="str">
        <f t="shared" ref="D822:D824" si="732">"string"</f>
        <v>string</v>
      </c>
      <c r="E822" s="105">
        <v>60.0</v>
      </c>
      <c r="F822" s="118" t="s">
        <v>716</v>
      </c>
      <c r="G822" s="103" t="str">
        <f t="shared" si="704"/>
        <v>O</v>
      </c>
      <c r="H822" s="103" t="str">
        <f t="shared" si="727"/>
        <v>space</v>
      </c>
      <c r="I822" s="104" t="str">
        <f t="shared" si="728"/>
        <v/>
      </c>
      <c r="J822" s="104" t="str">
        <f>"john.doe@mail.com"</f>
        <v>john.doe@mail.com</v>
      </c>
      <c r="K822" s="104"/>
      <c r="L822" s="105"/>
      <c r="M822" s="104"/>
      <c r="N822" s="104"/>
      <c r="O822" s="104"/>
      <c r="P822" s="104"/>
      <c r="Q822" s="104"/>
      <c r="R822" s="104"/>
      <c r="S822" s="104"/>
      <c r="T822" s="107"/>
      <c r="U822" s="107"/>
    </row>
    <row r="823" ht="15.75" hidden="1" customHeight="1">
      <c r="A823" s="103"/>
      <c r="B823" s="104" t="str">
        <f>"EveningFaxNo"</f>
        <v>EveningFaxNo</v>
      </c>
      <c r="C823" s="104" t="str">
        <f>"yfs_person_info.evening_fax_no"</f>
        <v>yfs_person_info.evening_fax_no</v>
      </c>
      <c r="D823" s="104" t="str">
        <f t="shared" si="732"/>
        <v>string</v>
      </c>
      <c r="E823" s="105" t="str">
        <f t="shared" ref="E823:E824" si="733">"40"</f>
        <v>40</v>
      </c>
      <c r="F823" s="104" t="s">
        <v>718</v>
      </c>
      <c r="G823" s="103" t="str">
        <f t="shared" si="704"/>
        <v>O</v>
      </c>
      <c r="H823" s="103" t="str">
        <f t="shared" si="727"/>
        <v>space</v>
      </c>
      <c r="I823" s="104" t="str">
        <f t="shared" si="728"/>
        <v/>
      </c>
      <c r="J823" s="104" t="str">
        <f>"(617) 555-3333"</f>
        <v>(617) 555-3333</v>
      </c>
      <c r="K823" s="104"/>
      <c r="L823" s="105"/>
      <c r="M823" s="104"/>
      <c r="N823" s="104"/>
      <c r="O823" s="104"/>
      <c r="P823" s="104"/>
      <c r="Q823" s="104"/>
      <c r="R823" s="104"/>
      <c r="S823" s="104"/>
      <c r="T823" s="107"/>
      <c r="U823" s="107"/>
    </row>
    <row r="824" ht="15.75" hidden="1" customHeight="1">
      <c r="A824" s="103"/>
      <c r="B824" s="104" t="str">
        <f>"EveningPhone"</f>
        <v>EveningPhone</v>
      </c>
      <c r="C824" s="104" t="str">
        <f>"yfs_person_info.evening_phone"</f>
        <v>yfs_person_info.evening_phone</v>
      </c>
      <c r="D824" s="104" t="str">
        <f t="shared" si="732"/>
        <v>string</v>
      </c>
      <c r="E824" s="105" t="str">
        <f t="shared" si="733"/>
        <v>40</v>
      </c>
      <c r="F824" s="104" t="s">
        <v>719</v>
      </c>
      <c r="G824" s="103" t="str">
        <f t="shared" si="704"/>
        <v>O</v>
      </c>
      <c r="H824" s="103" t="str">
        <f t="shared" si="727"/>
        <v>space</v>
      </c>
      <c r="I824" s="104" t="str">
        <f t="shared" si="728"/>
        <v/>
      </c>
      <c r="J824" s="104" t="str">
        <f>"(617) 555-1212"</f>
        <v>(617) 555-1212</v>
      </c>
      <c r="K824" s="104"/>
      <c r="L824" s="105"/>
      <c r="M824" s="104"/>
      <c r="N824" s="104"/>
      <c r="O824" s="104"/>
      <c r="P824" s="104"/>
      <c r="Q824" s="104"/>
      <c r="R824" s="104"/>
      <c r="S824" s="104"/>
      <c r="T824" s="107"/>
      <c r="U824" s="107"/>
    </row>
    <row r="825" ht="15.75" hidden="1" customHeight="1">
      <c r="A825" s="103"/>
      <c r="B825" s="104" t="str">
        <f>"FirstName"</f>
        <v>FirstName</v>
      </c>
      <c r="C825" s="104" t="str">
        <f>"yfs_person_info.first_name"</f>
        <v>yfs_person_info.first_name</v>
      </c>
      <c r="D825" s="104" t="s">
        <v>131</v>
      </c>
      <c r="E825" s="105">
        <v>60.0</v>
      </c>
      <c r="F825" s="118" t="s">
        <v>720</v>
      </c>
      <c r="G825" s="103" t="str">
        <f t="shared" si="704"/>
        <v>O</v>
      </c>
      <c r="H825" s="103" t="str">
        <f t="shared" si="727"/>
        <v>space</v>
      </c>
      <c r="I825" s="104" t="str">
        <f t="shared" si="728"/>
        <v/>
      </c>
      <c r="J825" s="104" t="str">
        <f>"John"</f>
        <v>John</v>
      </c>
      <c r="K825" s="104"/>
      <c r="L825" s="105"/>
      <c r="M825" s="104"/>
      <c r="N825" s="104"/>
      <c r="O825" s="104"/>
      <c r="P825" s="104"/>
      <c r="Q825" s="104"/>
      <c r="R825" s="104"/>
      <c r="S825" s="104"/>
      <c r="T825" s="107"/>
      <c r="U825" s="107"/>
    </row>
    <row r="826" ht="15.75" hidden="1" customHeight="1">
      <c r="A826" s="103"/>
      <c r="B826" s="104" t="str">
        <f>"IsCommercialAddress"</f>
        <v>IsCommercialAddress</v>
      </c>
      <c r="C826" s="104" t="str">
        <f>"yfs_person_info.is_commercial_address"</f>
        <v>yfs_person_info.is_commercial_address</v>
      </c>
      <c r="D826" s="104" t="str">
        <f>"string"</f>
        <v>string</v>
      </c>
      <c r="E826" s="105" t="str">
        <f>"1"</f>
        <v>1</v>
      </c>
      <c r="F826" s="104" t="s">
        <v>722</v>
      </c>
      <c r="G826" s="103" t="str">
        <f t="shared" si="704"/>
        <v>O</v>
      </c>
      <c r="H826" s="103" t="str">
        <f>"null"</f>
        <v>null</v>
      </c>
      <c r="I826" s="104" t="str">
        <f t="shared" si="728"/>
        <v/>
      </c>
      <c r="J826" s="104" t="str">
        <f>"Y"</f>
        <v>Y</v>
      </c>
      <c r="K826" s="104"/>
      <c r="L826" s="105"/>
      <c r="M826" s="104"/>
      <c r="N826" s="104"/>
      <c r="O826" s="104"/>
      <c r="P826" s="104"/>
      <c r="Q826" s="104"/>
      <c r="R826" s="104"/>
      <c r="S826" s="104"/>
      <c r="T826" s="107"/>
      <c r="U826" s="107"/>
    </row>
    <row r="827" ht="15.75" hidden="1" customHeight="1">
      <c r="A827" s="103"/>
      <c r="B827" s="104" t="str">
        <f>"JobTitle"</f>
        <v>JobTitle</v>
      </c>
      <c r="C827" s="104" t="str">
        <f>"yfs_person_info.job_title"</f>
        <v>yfs_person_info.job_title</v>
      </c>
      <c r="D827" s="104" t="str">
        <f>"UNKNOWN"</f>
        <v>UNKNOWN</v>
      </c>
      <c r="E827" s="105" t="str">
        <f>""</f>
        <v/>
      </c>
      <c r="F827" s="104" t="s">
        <v>723</v>
      </c>
      <c r="G827" s="103" t="str">
        <f t="shared" si="704"/>
        <v>O</v>
      </c>
      <c r="H827" s="103" t="str">
        <f t="shared" ref="H827:H834" si="734">"space"</f>
        <v>space</v>
      </c>
      <c r="I827" s="104" t="str">
        <f t="shared" si="728"/>
        <v/>
      </c>
      <c r="J827" s="104" t="str">
        <f>"Procurement Manager"</f>
        <v>Procurement Manager</v>
      </c>
      <c r="K827" s="104"/>
      <c r="L827" s="105"/>
      <c r="M827" s="104"/>
      <c r="N827" s="104"/>
      <c r="O827" s="104"/>
      <c r="P827" s="104"/>
      <c r="Q827" s="104"/>
      <c r="R827" s="104"/>
      <c r="S827" s="104"/>
      <c r="T827" s="107"/>
      <c r="U827" s="107"/>
    </row>
    <row r="828" ht="15.75" hidden="1" customHeight="1">
      <c r="A828" s="103"/>
      <c r="B828" s="104" t="str">
        <f>"LastName"</f>
        <v>LastName</v>
      </c>
      <c r="C828" s="104" t="str">
        <f>"yfs_person_info.last_name"</f>
        <v>yfs_person_info.last_name</v>
      </c>
      <c r="D828" s="104" t="s">
        <v>131</v>
      </c>
      <c r="E828" s="105">
        <v>60.0</v>
      </c>
      <c r="F828" s="118" t="s">
        <v>724</v>
      </c>
      <c r="G828" s="103" t="str">
        <f t="shared" si="704"/>
        <v>O</v>
      </c>
      <c r="H828" s="103" t="str">
        <f t="shared" si="734"/>
        <v>space</v>
      </c>
      <c r="I828" s="104" t="str">
        <f t="shared" si="728"/>
        <v/>
      </c>
      <c r="J828" s="104" t="str">
        <f>"Doe"</f>
        <v>Doe</v>
      </c>
      <c r="K828" s="104"/>
      <c r="L828" s="105"/>
      <c r="M828" s="104"/>
      <c r="N828" s="104"/>
      <c r="O828" s="104"/>
      <c r="P828" s="104"/>
      <c r="Q828" s="104"/>
      <c r="R828" s="104"/>
      <c r="S828" s="104"/>
      <c r="T828" s="107"/>
      <c r="U828" s="107"/>
    </row>
    <row r="829" ht="15.75" hidden="1" customHeight="1">
      <c r="A829" s="103"/>
      <c r="B829" s="104" t="str">
        <f>"MiddleName"</f>
        <v>MiddleName</v>
      </c>
      <c r="C829" s="104" t="str">
        <f>"yfs_person_info.middle_name"</f>
        <v>yfs_person_info.middle_name</v>
      </c>
      <c r="D829" s="104" t="s">
        <v>131</v>
      </c>
      <c r="E829" s="105">
        <v>60.0</v>
      </c>
      <c r="F829" s="118" t="s">
        <v>726</v>
      </c>
      <c r="G829" s="103" t="str">
        <f t="shared" si="704"/>
        <v>O</v>
      </c>
      <c r="H829" s="103" t="str">
        <f t="shared" si="734"/>
        <v>space</v>
      </c>
      <c r="I829" s="104" t="str">
        <f t="shared" si="728"/>
        <v/>
      </c>
      <c r="J829" s="104" t="str">
        <f>"E"</f>
        <v>E</v>
      </c>
      <c r="K829" s="104"/>
      <c r="L829" s="105"/>
      <c r="M829" s="104"/>
      <c r="N829" s="104"/>
      <c r="O829" s="104"/>
      <c r="P829" s="104"/>
      <c r="Q829" s="104"/>
      <c r="R829" s="104"/>
      <c r="S829" s="104"/>
      <c r="T829" s="107"/>
      <c r="U829" s="107"/>
    </row>
    <row r="830" ht="15.75" hidden="1" customHeight="1">
      <c r="A830" s="103"/>
      <c r="B830" s="104" t="str">
        <f>"MobilePhone"</f>
        <v>MobilePhone</v>
      </c>
      <c r="C830" s="104" t="str">
        <f>"yfs_person_info.mobile_phone"</f>
        <v>yfs_person_info.mobile_phone</v>
      </c>
      <c r="D830" s="104" t="str">
        <f t="shared" ref="D830:D831" si="735">"string"</f>
        <v>string</v>
      </c>
      <c r="E830" s="105" t="str">
        <f t="shared" ref="E830:E831" si="736">"40"</f>
        <v>40</v>
      </c>
      <c r="F830" s="104" t="s">
        <v>730</v>
      </c>
      <c r="G830" s="103" t="str">
        <f t="shared" si="704"/>
        <v>O</v>
      </c>
      <c r="H830" s="103" t="str">
        <f t="shared" si="734"/>
        <v>space</v>
      </c>
      <c r="I830" s="104" t="str">
        <f t="shared" si="728"/>
        <v/>
      </c>
      <c r="J830" s="104" t="str">
        <f>"(978) 555-1212"</f>
        <v>(978) 555-1212</v>
      </c>
      <c r="K830" s="104"/>
      <c r="L830" s="105"/>
      <c r="M830" s="104"/>
      <c r="N830" s="104"/>
      <c r="O830" s="104"/>
      <c r="P830" s="104"/>
      <c r="Q830" s="104"/>
      <c r="R830" s="104"/>
      <c r="S830" s="104"/>
      <c r="T830" s="107"/>
      <c r="U830" s="107"/>
    </row>
    <row r="831" ht="15.75" hidden="1" customHeight="1">
      <c r="A831" s="103"/>
      <c r="B831" s="104" t="str">
        <f>"OtherPhone"</f>
        <v>OtherPhone</v>
      </c>
      <c r="C831" s="104" t="str">
        <f>"yfs_person_info.other_phone"</f>
        <v>yfs_person_info.other_phone</v>
      </c>
      <c r="D831" s="104" t="str">
        <f t="shared" si="735"/>
        <v>string</v>
      </c>
      <c r="E831" s="105" t="str">
        <f t="shared" si="736"/>
        <v>40</v>
      </c>
      <c r="F831" s="104" t="s">
        <v>728</v>
      </c>
      <c r="G831" s="103" t="str">
        <f t="shared" si="704"/>
        <v>O</v>
      </c>
      <c r="H831" s="103" t="str">
        <f t="shared" si="734"/>
        <v>space</v>
      </c>
      <c r="I831" s="104" t="str">
        <f t="shared" si="728"/>
        <v/>
      </c>
      <c r="J831" s="104" t="str">
        <f>"(781) 555-1212"</f>
        <v>(781) 555-1212</v>
      </c>
      <c r="K831" s="104"/>
      <c r="L831" s="105"/>
      <c r="M831" s="104"/>
      <c r="N831" s="104"/>
      <c r="O831" s="104"/>
      <c r="P831" s="104"/>
      <c r="Q831" s="104"/>
      <c r="R831" s="104"/>
      <c r="S831" s="104"/>
      <c r="T831" s="107"/>
      <c r="U831" s="107"/>
    </row>
    <row r="832" ht="15.75" hidden="1" customHeight="1">
      <c r="A832" s="103"/>
      <c r="B832" s="104" t="str">
        <f>"PersonID"</f>
        <v>PersonID</v>
      </c>
      <c r="C832" s="104" t="str">
        <f>"yfs_person_info.person_id"</f>
        <v>yfs_person_info.person_id</v>
      </c>
      <c r="D832" s="104" t="s">
        <v>131</v>
      </c>
      <c r="E832" s="105">
        <v>20.0</v>
      </c>
      <c r="F832" s="118" t="s">
        <v>729</v>
      </c>
      <c r="G832" s="103" t="str">
        <f t="shared" si="704"/>
        <v>O</v>
      </c>
      <c r="H832" s="103" t="str">
        <f t="shared" si="734"/>
        <v>space</v>
      </c>
      <c r="I832" s="104" t="str">
        <f t="shared" si="728"/>
        <v/>
      </c>
      <c r="J832" s="104" t="str">
        <f>""</f>
        <v/>
      </c>
      <c r="K832" s="104"/>
      <c r="L832" s="105"/>
      <c r="M832" s="104"/>
      <c r="N832" s="104"/>
      <c r="O832" s="104"/>
      <c r="P832" s="104"/>
      <c r="Q832" s="104"/>
      <c r="R832" s="104"/>
      <c r="S832" s="104"/>
      <c r="T832" s="107"/>
      <c r="U832" s="107"/>
    </row>
    <row r="833" ht="15.75" hidden="1" customHeight="1">
      <c r="A833" s="103"/>
      <c r="B833" s="104" t="str">
        <f>"State"</f>
        <v>State</v>
      </c>
      <c r="C833" s="104" t="str">
        <f>"yfs_person_info.state"</f>
        <v>yfs_person_info.state</v>
      </c>
      <c r="D833" s="104" t="str">
        <f>"string"</f>
        <v>string</v>
      </c>
      <c r="E833" s="105" t="str">
        <f>"35"</f>
        <v>35</v>
      </c>
      <c r="F833" s="118" t="s">
        <v>731</v>
      </c>
      <c r="G833" s="103" t="str">
        <f t="shared" si="704"/>
        <v>O</v>
      </c>
      <c r="H833" s="103" t="str">
        <f t="shared" si="734"/>
        <v>space</v>
      </c>
      <c r="I833" s="104" t="str">
        <f t="shared" si="728"/>
        <v/>
      </c>
      <c r="J833" s="104" t="str">
        <f>"MA"</f>
        <v>MA</v>
      </c>
      <c r="K833" s="104"/>
      <c r="L833" s="105"/>
      <c r="M833" s="104"/>
      <c r="N833" s="104"/>
      <c r="O833" s="104"/>
      <c r="P833" s="104"/>
      <c r="Q833" s="104"/>
      <c r="R833" s="104"/>
      <c r="S833" s="104"/>
      <c r="T833" s="107"/>
      <c r="U833" s="107"/>
    </row>
    <row r="834" ht="15.75" hidden="1" customHeight="1">
      <c r="A834" s="103"/>
      <c r="B834" s="104" t="str">
        <f>"Suffix"</f>
        <v>Suffix</v>
      </c>
      <c r="C834" s="104" t="str">
        <f>"yfs_person_info.suffix"</f>
        <v>yfs_person_info.suffix</v>
      </c>
      <c r="D834" s="104" t="str">
        <f t="shared" ref="D834:D836" si="737">"UNKNOWN"</f>
        <v>UNKNOWN</v>
      </c>
      <c r="E834" s="105" t="str">
        <f t="shared" ref="E834:E836" si="738">""</f>
        <v/>
      </c>
      <c r="F834" s="104" t="s">
        <v>735</v>
      </c>
      <c r="G834" s="103" t="str">
        <f t="shared" si="704"/>
        <v>O</v>
      </c>
      <c r="H834" s="103" t="str">
        <f t="shared" si="734"/>
        <v>space</v>
      </c>
      <c r="I834" s="104" t="str">
        <f t="shared" si="728"/>
        <v/>
      </c>
      <c r="J834" s="104" t="str">
        <f t="shared" ref="J834:J835" si="739">""</f>
        <v/>
      </c>
      <c r="K834" s="104"/>
      <c r="L834" s="105"/>
      <c r="M834" s="104"/>
      <c r="N834" s="104"/>
      <c r="O834" s="104"/>
      <c r="P834" s="104"/>
      <c r="Q834" s="104"/>
      <c r="R834" s="104"/>
      <c r="S834" s="104"/>
      <c r="T834" s="107"/>
      <c r="U834" s="107"/>
    </row>
    <row r="835" ht="15.75" hidden="1" customHeight="1">
      <c r="A835" s="103"/>
      <c r="B835" s="104" t="str">
        <f>"TaxGeoCode"</f>
        <v>TaxGeoCode</v>
      </c>
      <c r="C835" s="104" t="str">
        <f>"yfs_person_info.tax_geo_code"</f>
        <v>yfs_person_info.tax_geo_code</v>
      </c>
      <c r="D835" s="104" t="str">
        <f t="shared" si="737"/>
        <v>UNKNOWN</v>
      </c>
      <c r="E835" s="105" t="str">
        <f t="shared" si="738"/>
        <v/>
      </c>
      <c r="F835" s="104" t="s">
        <v>738</v>
      </c>
      <c r="G835" s="103" t="str">
        <f t="shared" si="704"/>
        <v>O</v>
      </c>
      <c r="H835" s="103" t="str">
        <f>"null"</f>
        <v>null</v>
      </c>
      <c r="I835" s="104" t="str">
        <f t="shared" si="728"/>
        <v/>
      </c>
      <c r="J835" s="104" t="str">
        <f t="shared" si="739"/>
        <v/>
      </c>
      <c r="K835" s="104"/>
      <c r="L835" s="105"/>
      <c r="M835" s="104"/>
      <c r="N835" s="104"/>
      <c r="O835" s="104"/>
      <c r="P835" s="104"/>
      <c r="Q835" s="104"/>
      <c r="R835" s="104"/>
      <c r="S835" s="104"/>
      <c r="T835" s="107"/>
      <c r="U835" s="107"/>
    </row>
    <row r="836" ht="15.75" hidden="1" customHeight="1">
      <c r="A836" s="103"/>
      <c r="B836" s="104" t="str">
        <f>"Title"</f>
        <v>Title</v>
      </c>
      <c r="C836" s="104" t="str">
        <f>"yfs_person_info.title"</f>
        <v>yfs_person_info.title</v>
      </c>
      <c r="D836" s="104" t="str">
        <f t="shared" si="737"/>
        <v>UNKNOWN</v>
      </c>
      <c r="E836" s="105" t="str">
        <f t="shared" si="738"/>
        <v/>
      </c>
      <c r="F836" s="104" t="s">
        <v>739</v>
      </c>
      <c r="G836" s="103" t="str">
        <f t="shared" si="704"/>
        <v>O</v>
      </c>
      <c r="H836" s="103" t="str">
        <f t="shared" ref="H836:H838" si="740">"space"</f>
        <v>space</v>
      </c>
      <c r="I836" s="104" t="str">
        <f t="shared" si="728"/>
        <v/>
      </c>
      <c r="J836" s="104" t="str">
        <f>"Mr"</f>
        <v>Mr</v>
      </c>
      <c r="K836" s="104"/>
      <c r="L836" s="105"/>
      <c r="M836" s="104"/>
      <c r="N836" s="104"/>
      <c r="O836" s="104"/>
      <c r="P836" s="104"/>
      <c r="Q836" s="104"/>
      <c r="R836" s="104"/>
      <c r="S836" s="104"/>
      <c r="T836" s="107"/>
      <c r="U836" s="107"/>
    </row>
    <row r="837" ht="15.75" hidden="1" customHeight="1">
      <c r="A837" s="103"/>
      <c r="B837" s="104" t="str">
        <f>"ZipCode"</f>
        <v>ZipCode</v>
      </c>
      <c r="C837" s="104" t="str">
        <f>"yfs_person_info.zip_code"</f>
        <v>yfs_person_info.zip_code</v>
      </c>
      <c r="D837" s="104" t="str">
        <f t="shared" ref="D837:D838" si="741">"string"</f>
        <v>string</v>
      </c>
      <c r="E837" s="105">
        <v>6.0</v>
      </c>
      <c r="F837" s="118" t="s">
        <v>743</v>
      </c>
      <c r="G837" s="103" t="str">
        <f t="shared" si="704"/>
        <v>O</v>
      </c>
      <c r="H837" s="103" t="str">
        <f t="shared" si="740"/>
        <v>space</v>
      </c>
      <c r="I837" s="104" t="str">
        <f t="shared" si="728"/>
        <v/>
      </c>
      <c r="J837" s="104" t="str">
        <f>"02035-2531"</f>
        <v>02035-2531</v>
      </c>
      <c r="K837" s="104"/>
      <c r="L837" s="105"/>
      <c r="M837" s="104"/>
      <c r="N837" s="104"/>
      <c r="O837" s="104"/>
      <c r="P837" s="104"/>
      <c r="Q837" s="104"/>
      <c r="R837" s="104"/>
      <c r="S837" s="104"/>
      <c r="T837" s="107"/>
      <c r="U837" s="107"/>
    </row>
    <row r="838" ht="15.75" hidden="1" customHeight="1">
      <c r="A838" s="103"/>
      <c r="B838" s="104" t="str">
        <f>"HttpUrl"</f>
        <v>HttpUrl</v>
      </c>
      <c r="C838" s="104" t="str">
        <f>"yfs_person_info.http_url"</f>
        <v>yfs_person_info.http_url</v>
      </c>
      <c r="D838" s="104" t="str">
        <f t="shared" si="741"/>
        <v>string</v>
      </c>
      <c r="E838" s="105" t="str">
        <f>"255"</f>
        <v>255</v>
      </c>
      <c r="F838" s="179" t="s">
        <v>1014</v>
      </c>
      <c r="G838" s="103" t="str">
        <f t="shared" si="704"/>
        <v>O</v>
      </c>
      <c r="H838" s="103" t="str">
        <f t="shared" si="740"/>
        <v>space</v>
      </c>
      <c r="I838" s="104" t="str">
        <f t="shared" si="728"/>
        <v/>
      </c>
      <c r="J838" s="297" t="str">
        <f>"http://www.thingsRus.com"</f>
        <v>http://www.thingsRus.com</v>
      </c>
      <c r="K838" s="104"/>
      <c r="L838" s="105"/>
      <c r="M838" s="104"/>
      <c r="N838" s="104"/>
      <c r="O838" s="104"/>
      <c r="P838" s="104"/>
      <c r="Q838" s="104"/>
      <c r="R838" s="104"/>
      <c r="S838" s="104"/>
      <c r="T838" s="107"/>
      <c r="U838" s="107"/>
    </row>
    <row r="839" ht="15.75" hidden="1" customHeight="1">
      <c r="A839" s="196"/>
      <c r="B839" s="170" t="str">
        <f>"/Order/AdditionalAddresses"</f>
        <v>/Order/AdditionalAddresses</v>
      </c>
      <c r="C839" s="170"/>
      <c r="D839" s="170"/>
      <c r="E839" s="170"/>
      <c r="F839" s="170"/>
      <c r="G839" s="196" t="str">
        <f t="shared" si="704"/>
        <v>O</v>
      </c>
      <c r="H839" s="170"/>
      <c r="I839" s="170"/>
      <c r="J839" s="170"/>
      <c r="K839" s="170"/>
      <c r="L839" s="170"/>
      <c r="M839" s="170"/>
      <c r="N839" s="170"/>
      <c r="O839" s="170"/>
      <c r="P839" s="170"/>
      <c r="Q839" s="170"/>
      <c r="R839" s="170"/>
      <c r="S839" s="170"/>
      <c r="T839" s="197"/>
      <c r="U839" s="197"/>
    </row>
    <row r="840" ht="15.75" hidden="1" customHeight="1">
      <c r="A840" s="196"/>
      <c r="B840" s="170" t="str">
        <f>"/Order/AdditionalAddresses/AdditionalAddress/@"</f>
        <v>/Order/AdditionalAddresses/AdditionalAddress/@</v>
      </c>
      <c r="C840" s="170"/>
      <c r="D840" s="170"/>
      <c r="E840" s="170"/>
      <c r="F840" s="170"/>
      <c r="G840" s="196" t="str">
        <f t="shared" si="704"/>
        <v>O</v>
      </c>
      <c r="H840" s="170"/>
      <c r="I840" s="170"/>
      <c r="J840" s="170"/>
      <c r="K840" s="170"/>
      <c r="L840" s="170"/>
      <c r="M840" s="170"/>
      <c r="N840" s="170"/>
      <c r="O840" s="170"/>
      <c r="P840" s="170"/>
      <c r="Q840" s="170"/>
      <c r="R840" s="170"/>
      <c r="S840" s="170"/>
      <c r="T840" s="197"/>
      <c r="U840" s="197"/>
    </row>
    <row r="841" ht="15.75" hidden="1" customHeight="1">
      <c r="A841" s="103"/>
      <c r="B841" s="104" t="str">
        <f>"AddressType"</f>
        <v>AddressType</v>
      </c>
      <c r="C841" s="104" t="str">
        <f>"yfs_entity_address.address_type"</f>
        <v>yfs_entity_address.address_type</v>
      </c>
      <c r="D841" s="104" t="str">
        <f>"UNKNOWN"</f>
        <v>UNKNOWN</v>
      </c>
      <c r="E841" s="105" t="str">
        <f>""</f>
        <v/>
      </c>
      <c r="F841" s="104" t="s">
        <v>850</v>
      </c>
      <c r="G841" s="103" t="str">
        <f>"M"</f>
        <v>M</v>
      </c>
      <c r="H841" s="103" t="str">
        <f>"space"</f>
        <v>space</v>
      </c>
      <c r="I841" s="104" t="str">
        <f t="shared" ref="I841:J841" si="742">""</f>
        <v/>
      </c>
      <c r="J841" s="104" t="str">
        <f t="shared" si="742"/>
        <v/>
      </c>
      <c r="K841" s="104"/>
      <c r="L841" s="105"/>
      <c r="M841" s="104"/>
      <c r="N841" s="104"/>
      <c r="O841" s="104"/>
      <c r="P841" s="104"/>
      <c r="Q841" s="104"/>
      <c r="R841" s="104"/>
      <c r="S841" s="104"/>
      <c r="T841" s="107"/>
      <c r="U841" s="107"/>
    </row>
    <row r="842" ht="15.75" hidden="1" customHeight="1">
      <c r="A842" s="196"/>
      <c r="B842" s="170" t="str">
        <f>"/Order/AdditionalAddresses/AdditionalAddress/PersonInfo/@"</f>
        <v>/Order/AdditionalAddresses/AdditionalAddress/PersonInfo/@</v>
      </c>
      <c r="C842" s="170"/>
      <c r="D842" s="170"/>
      <c r="E842" s="170"/>
      <c r="F842" s="170"/>
      <c r="G842" s="196" t="str">
        <f t="shared" ref="G842:G875" si="743">"O"</f>
        <v>O</v>
      </c>
      <c r="H842" s="170"/>
      <c r="I842" s="170"/>
      <c r="J842" s="170"/>
      <c r="K842" s="170"/>
      <c r="L842" s="170"/>
      <c r="M842" s="170"/>
      <c r="N842" s="170"/>
      <c r="O842" s="170"/>
      <c r="P842" s="170"/>
      <c r="Q842" s="170"/>
      <c r="R842" s="170"/>
      <c r="S842" s="170"/>
      <c r="T842" s="197"/>
      <c r="U842" s="197"/>
    </row>
    <row r="843" ht="15.75" hidden="1" customHeight="1">
      <c r="A843" s="103"/>
      <c r="B843" s="104" t="str">
        <f>"AddressID"</f>
        <v>AddressID</v>
      </c>
      <c r="C843" s="104" t="str">
        <f>"yfs_person_info.address_id"</f>
        <v>yfs_person_info.address_id</v>
      </c>
      <c r="D843" s="104" t="str">
        <f t="shared" ref="D843:D852" si="745">"string"</f>
        <v>string</v>
      </c>
      <c r="E843" s="105" t="str">
        <f>"256"</f>
        <v>256</v>
      </c>
      <c r="F843" s="104" t="s">
        <v>684</v>
      </c>
      <c r="G843" s="103" t="str">
        <f t="shared" si="743"/>
        <v>O</v>
      </c>
      <c r="H843" s="103" t="str">
        <f>"null"</f>
        <v>null</v>
      </c>
      <c r="I843" s="104" t="str">
        <f t="shared" ref="I843:J843" si="744">""</f>
        <v/>
      </c>
      <c r="J843" s="104" t="str">
        <f t="shared" si="744"/>
        <v/>
      </c>
      <c r="K843" s="104"/>
      <c r="L843" s="105"/>
      <c r="M843" s="104"/>
      <c r="N843" s="104"/>
      <c r="O843" s="104"/>
      <c r="P843" s="104"/>
      <c r="Q843" s="104"/>
      <c r="R843" s="104"/>
      <c r="S843" s="104"/>
      <c r="T843" s="107"/>
      <c r="U843" s="107"/>
    </row>
    <row r="844" ht="15.75" hidden="1" customHeight="1">
      <c r="A844" s="103"/>
      <c r="B844" s="104" t="str">
        <f>"AddressLine1"</f>
        <v>AddressLine1</v>
      </c>
      <c r="C844" s="104" t="str">
        <f>"yfs_person_info.address_line1"</f>
        <v>yfs_person_info.address_line1</v>
      </c>
      <c r="D844" s="104" t="str">
        <f t="shared" si="745"/>
        <v>string</v>
      </c>
      <c r="E844" s="105" t="str">
        <f t="shared" ref="E844:E849" si="746">"70"</f>
        <v>70</v>
      </c>
      <c r="F844" s="104" t="s">
        <v>685</v>
      </c>
      <c r="G844" s="103" t="str">
        <f t="shared" si="743"/>
        <v>O</v>
      </c>
      <c r="H844" s="103" t="str">
        <f t="shared" ref="H844:H861" si="747">"space"</f>
        <v>space</v>
      </c>
      <c r="I844" s="104" t="str">
        <f t="shared" ref="I844:I873" si="748">""</f>
        <v/>
      </c>
      <c r="J844" s="104" t="str">
        <f>"1 Main Street"</f>
        <v>1 Main Street</v>
      </c>
      <c r="K844" s="104"/>
      <c r="L844" s="105"/>
      <c r="M844" s="104"/>
      <c r="N844" s="104"/>
      <c r="O844" s="104"/>
      <c r="P844" s="104"/>
      <c r="Q844" s="104"/>
      <c r="R844" s="104"/>
      <c r="S844" s="104"/>
      <c r="T844" s="107"/>
      <c r="U844" s="107"/>
    </row>
    <row r="845" ht="15.75" hidden="1" customHeight="1">
      <c r="A845" s="103"/>
      <c r="B845" s="104" t="str">
        <f>"AddressLine2"</f>
        <v>AddressLine2</v>
      </c>
      <c r="C845" s="104" t="str">
        <f>"yfs_person_info.address_line2"</f>
        <v>yfs_person_info.address_line2</v>
      </c>
      <c r="D845" s="104" t="str">
        <f t="shared" si="745"/>
        <v>string</v>
      </c>
      <c r="E845" s="105" t="str">
        <f t="shared" si="746"/>
        <v>70</v>
      </c>
      <c r="F845" s="104" t="s">
        <v>688</v>
      </c>
      <c r="G845" s="103" t="str">
        <f t="shared" si="743"/>
        <v>O</v>
      </c>
      <c r="H845" s="103" t="str">
        <f t="shared" si="747"/>
        <v>space</v>
      </c>
      <c r="I845" s="104" t="str">
        <f t="shared" si="748"/>
        <v/>
      </c>
      <c r="J845" s="104" t="str">
        <f>"Unit A2"</f>
        <v>Unit A2</v>
      </c>
      <c r="K845" s="104"/>
      <c r="L845" s="105"/>
      <c r="M845" s="104"/>
      <c r="N845" s="104"/>
      <c r="O845" s="104"/>
      <c r="P845" s="104"/>
      <c r="Q845" s="104"/>
      <c r="R845" s="104"/>
      <c r="S845" s="104"/>
      <c r="T845" s="107"/>
      <c r="U845" s="107"/>
    </row>
    <row r="846" ht="15.75" hidden="1" customHeight="1">
      <c r="A846" s="103"/>
      <c r="B846" s="104" t="str">
        <f>"AddressLine3"</f>
        <v>AddressLine3</v>
      </c>
      <c r="C846" s="104" t="str">
        <f>"yfs_person_info.address_line3"</f>
        <v>yfs_person_info.address_line3</v>
      </c>
      <c r="D846" s="104" t="str">
        <f t="shared" si="745"/>
        <v>string</v>
      </c>
      <c r="E846" s="105" t="str">
        <f t="shared" si="746"/>
        <v>70</v>
      </c>
      <c r="F846" s="104" t="s">
        <v>691</v>
      </c>
      <c r="G846" s="103" t="str">
        <f t="shared" si="743"/>
        <v>O</v>
      </c>
      <c r="H846" s="103" t="str">
        <f t="shared" si="747"/>
        <v>space</v>
      </c>
      <c r="I846" s="104" t="str">
        <f t="shared" si="748"/>
        <v/>
      </c>
      <c r="J846" s="104" t="str">
        <f t="shared" ref="J846:J849" si="749">""</f>
        <v/>
      </c>
      <c r="K846" s="104"/>
      <c r="L846" s="105"/>
      <c r="M846" s="104"/>
      <c r="N846" s="104"/>
      <c r="O846" s="104"/>
      <c r="P846" s="104"/>
      <c r="Q846" s="104"/>
      <c r="R846" s="104"/>
      <c r="S846" s="104"/>
      <c r="T846" s="107"/>
      <c r="U846" s="107"/>
    </row>
    <row r="847" ht="15.75" hidden="1" customHeight="1">
      <c r="A847" s="103"/>
      <c r="B847" s="104" t="str">
        <f>"AddressLine4"</f>
        <v>AddressLine4</v>
      </c>
      <c r="C847" s="104" t="str">
        <f>"yfs_person_info.address_line4"</f>
        <v>yfs_person_info.address_line4</v>
      </c>
      <c r="D847" s="104" t="str">
        <f t="shared" si="745"/>
        <v>string</v>
      </c>
      <c r="E847" s="105" t="str">
        <f t="shared" si="746"/>
        <v>70</v>
      </c>
      <c r="F847" s="104" t="s">
        <v>693</v>
      </c>
      <c r="G847" s="103" t="str">
        <f t="shared" si="743"/>
        <v>O</v>
      </c>
      <c r="H847" s="103" t="str">
        <f t="shared" si="747"/>
        <v>space</v>
      </c>
      <c r="I847" s="104" t="str">
        <f t="shared" si="748"/>
        <v/>
      </c>
      <c r="J847" s="104" t="str">
        <f t="shared" si="749"/>
        <v/>
      </c>
      <c r="K847" s="104"/>
      <c r="L847" s="105"/>
      <c r="M847" s="104"/>
      <c r="N847" s="104"/>
      <c r="O847" s="104"/>
      <c r="P847" s="104"/>
      <c r="Q847" s="104"/>
      <c r="R847" s="104"/>
      <c r="S847" s="104"/>
      <c r="T847" s="107"/>
      <c r="U847" s="107"/>
    </row>
    <row r="848" ht="15.75" hidden="1" customHeight="1">
      <c r="A848" s="103"/>
      <c r="B848" s="104" t="str">
        <f>"AddressLine5"</f>
        <v>AddressLine5</v>
      </c>
      <c r="C848" s="104" t="str">
        <f>"yfs_person_info.address_line5"</f>
        <v>yfs_person_info.address_line5</v>
      </c>
      <c r="D848" s="104" t="str">
        <f t="shared" si="745"/>
        <v>string</v>
      </c>
      <c r="E848" s="105" t="str">
        <f t="shared" si="746"/>
        <v>70</v>
      </c>
      <c r="F848" s="104" t="s">
        <v>694</v>
      </c>
      <c r="G848" s="103" t="str">
        <f t="shared" si="743"/>
        <v>O</v>
      </c>
      <c r="H848" s="103" t="str">
        <f t="shared" si="747"/>
        <v>space</v>
      </c>
      <c r="I848" s="104" t="str">
        <f t="shared" si="748"/>
        <v/>
      </c>
      <c r="J848" s="104" t="str">
        <f t="shared" si="749"/>
        <v/>
      </c>
      <c r="K848" s="104"/>
      <c r="L848" s="105"/>
      <c r="M848" s="104"/>
      <c r="N848" s="104"/>
      <c r="O848" s="104"/>
      <c r="P848" s="104"/>
      <c r="Q848" s="104"/>
      <c r="R848" s="104"/>
      <c r="S848" s="104"/>
      <c r="T848" s="107"/>
      <c r="U848" s="107"/>
    </row>
    <row r="849" ht="15.75" hidden="1" customHeight="1">
      <c r="A849" s="103"/>
      <c r="B849" s="104" t="str">
        <f>"AddressLine6"</f>
        <v>AddressLine6</v>
      </c>
      <c r="C849" s="104" t="str">
        <f>"yfs_person_info.address_line6"</f>
        <v>yfs_person_info.address_line6</v>
      </c>
      <c r="D849" s="104" t="str">
        <f t="shared" si="745"/>
        <v>string</v>
      </c>
      <c r="E849" s="105" t="str">
        <f t="shared" si="746"/>
        <v>70</v>
      </c>
      <c r="F849" s="104" t="s">
        <v>695</v>
      </c>
      <c r="G849" s="103" t="str">
        <f t="shared" si="743"/>
        <v>O</v>
      </c>
      <c r="H849" s="103" t="str">
        <f t="shared" si="747"/>
        <v>space</v>
      </c>
      <c r="I849" s="104" t="str">
        <f t="shared" si="748"/>
        <v/>
      </c>
      <c r="J849" s="104" t="str">
        <f t="shared" si="749"/>
        <v/>
      </c>
      <c r="K849" s="104"/>
      <c r="L849" s="105"/>
      <c r="M849" s="104"/>
      <c r="N849" s="104"/>
      <c r="O849" s="104"/>
      <c r="P849" s="104"/>
      <c r="Q849" s="104"/>
      <c r="R849" s="104"/>
      <c r="S849" s="104"/>
      <c r="T849" s="107"/>
      <c r="U849" s="107"/>
    </row>
    <row r="850" ht="15.75" hidden="1" customHeight="1">
      <c r="A850" s="103"/>
      <c r="B850" s="104" t="str">
        <f>"AlternateEmailID"</f>
        <v>AlternateEmailID</v>
      </c>
      <c r="C850" s="104" t="str">
        <f>"yfs_person_info.alternate_emailid"</f>
        <v>yfs_person_info.alternate_emailid</v>
      </c>
      <c r="D850" s="104" t="str">
        <f t="shared" si="745"/>
        <v>string</v>
      </c>
      <c r="E850" s="105" t="str">
        <f>"150"</f>
        <v>150</v>
      </c>
      <c r="F850" s="104" t="s">
        <v>696</v>
      </c>
      <c r="G850" s="103" t="str">
        <f t="shared" si="743"/>
        <v>O</v>
      </c>
      <c r="H850" s="103" t="str">
        <f t="shared" si="747"/>
        <v>space</v>
      </c>
      <c r="I850" s="104" t="str">
        <f t="shared" si="748"/>
        <v/>
      </c>
      <c r="J850" s="104" t="str">
        <f>"john.doe@workplace.com"</f>
        <v>john.doe@workplace.com</v>
      </c>
      <c r="K850" s="104"/>
      <c r="L850" s="105"/>
      <c r="M850" s="104"/>
      <c r="N850" s="104"/>
      <c r="O850" s="104"/>
      <c r="P850" s="104"/>
      <c r="Q850" s="104"/>
      <c r="R850" s="104"/>
      <c r="S850" s="104"/>
      <c r="T850" s="107"/>
      <c r="U850" s="107"/>
    </row>
    <row r="851" ht="15.75" hidden="1" customHeight="1">
      <c r="A851" s="103"/>
      <c r="B851" s="104" t="str">
        <f>"Beeper"</f>
        <v>Beeper</v>
      </c>
      <c r="C851" s="104" t="str">
        <f>"yfs_person_info.beeper"</f>
        <v>yfs_person_info.beeper</v>
      </c>
      <c r="D851" s="104" t="str">
        <f t="shared" si="745"/>
        <v>string</v>
      </c>
      <c r="E851" s="105" t="str">
        <f>"40"</f>
        <v>40</v>
      </c>
      <c r="F851" s="104" t="s">
        <v>697</v>
      </c>
      <c r="G851" s="103" t="str">
        <f t="shared" si="743"/>
        <v>O</v>
      </c>
      <c r="H851" s="103" t="str">
        <f t="shared" si="747"/>
        <v>space</v>
      </c>
      <c r="I851" s="104" t="str">
        <f t="shared" si="748"/>
        <v/>
      </c>
      <c r="J851" s="104" t="str">
        <f>""</f>
        <v/>
      </c>
      <c r="K851" s="104"/>
      <c r="L851" s="105"/>
      <c r="M851" s="104"/>
      <c r="N851" s="104"/>
      <c r="O851" s="104"/>
      <c r="P851" s="104"/>
      <c r="Q851" s="104"/>
      <c r="R851" s="104"/>
      <c r="S851" s="104"/>
      <c r="T851" s="107"/>
      <c r="U851" s="107"/>
    </row>
    <row r="852" ht="15.75" hidden="1" customHeight="1">
      <c r="A852" s="103"/>
      <c r="B852" s="104" t="str">
        <f>"City"</f>
        <v>City</v>
      </c>
      <c r="C852" s="104" t="str">
        <f>"yfs_person_info.city"</f>
        <v>yfs_person_info.city</v>
      </c>
      <c r="D852" s="104" t="str">
        <f t="shared" si="745"/>
        <v>string</v>
      </c>
      <c r="E852" s="105" t="str">
        <f>"35"</f>
        <v>35</v>
      </c>
      <c r="F852" s="104" t="s">
        <v>704</v>
      </c>
      <c r="G852" s="103" t="str">
        <f t="shared" si="743"/>
        <v>O</v>
      </c>
      <c r="H852" s="103" t="str">
        <f t="shared" si="747"/>
        <v>space</v>
      </c>
      <c r="I852" s="104" t="str">
        <f t="shared" si="748"/>
        <v/>
      </c>
      <c r="J852" s="104" t="str">
        <f>"Foxboro"</f>
        <v>Foxboro</v>
      </c>
      <c r="K852" s="104"/>
      <c r="L852" s="105"/>
      <c r="M852" s="104"/>
      <c r="N852" s="104"/>
      <c r="O852" s="104"/>
      <c r="P852" s="104"/>
      <c r="Q852" s="104"/>
      <c r="R852" s="104"/>
      <c r="S852" s="104"/>
      <c r="T852" s="107"/>
      <c r="U852" s="107"/>
    </row>
    <row r="853" ht="15.75" hidden="1" customHeight="1">
      <c r="A853" s="103"/>
      <c r="B853" s="104" t="str">
        <f>"Company"</f>
        <v>Company</v>
      </c>
      <c r="C853" s="104" t="str">
        <f>"yfs_person_info.company"</f>
        <v>yfs_person_info.company</v>
      </c>
      <c r="D853" s="104" t="str">
        <f>"UNKNOWN"</f>
        <v>UNKNOWN</v>
      </c>
      <c r="E853" s="105" t="str">
        <f>""</f>
        <v/>
      </c>
      <c r="F853" s="104" t="s">
        <v>706</v>
      </c>
      <c r="G853" s="103" t="str">
        <f t="shared" si="743"/>
        <v>O</v>
      </c>
      <c r="H853" s="103" t="str">
        <f t="shared" si="747"/>
        <v>space</v>
      </c>
      <c r="I853" s="104" t="str">
        <f t="shared" si="748"/>
        <v/>
      </c>
      <c r="J853" s="104" t="str">
        <f>"Things 'R Us"</f>
        <v>Things 'R Us</v>
      </c>
      <c r="K853" s="104"/>
      <c r="L853" s="105"/>
      <c r="M853" s="104"/>
      <c r="N853" s="104"/>
      <c r="O853" s="104"/>
      <c r="P853" s="104"/>
      <c r="Q853" s="104"/>
      <c r="R853" s="104"/>
      <c r="S853" s="104"/>
      <c r="T853" s="107"/>
      <c r="U853" s="107"/>
    </row>
    <row r="854" ht="15.75" hidden="1" customHeight="1">
      <c r="A854" s="103"/>
      <c r="B854" s="104" t="str">
        <f>"Country"</f>
        <v>Country</v>
      </c>
      <c r="C854" s="104" t="str">
        <f>"yfs_person_info.country"</f>
        <v>yfs_person_info.country</v>
      </c>
      <c r="D854" s="104" t="str">
        <f t="shared" ref="D854:D856" si="750">"string"</f>
        <v>string</v>
      </c>
      <c r="E854" s="105" t="str">
        <f t="shared" ref="E854:E856" si="751">"40"</f>
        <v>40</v>
      </c>
      <c r="F854" s="104" t="s">
        <v>708</v>
      </c>
      <c r="G854" s="103" t="str">
        <f t="shared" si="743"/>
        <v>O</v>
      </c>
      <c r="H854" s="103" t="str">
        <f t="shared" si="747"/>
        <v>space</v>
      </c>
      <c r="I854" s="104" t="str">
        <f t="shared" si="748"/>
        <v/>
      </c>
      <c r="J854" s="104" t="str">
        <f>"US"</f>
        <v>US</v>
      </c>
      <c r="K854" s="104"/>
      <c r="L854" s="105"/>
      <c r="M854" s="104"/>
      <c r="N854" s="104"/>
      <c r="O854" s="104"/>
      <c r="P854" s="104"/>
      <c r="Q854" s="104"/>
      <c r="R854" s="104"/>
      <c r="S854" s="104"/>
      <c r="T854" s="107"/>
      <c r="U854" s="107"/>
    </row>
    <row r="855" ht="15.75" hidden="1" customHeight="1">
      <c r="A855" s="103"/>
      <c r="B855" s="104" t="str">
        <f>"DayFaxNo"</f>
        <v>DayFaxNo</v>
      </c>
      <c r="C855" s="104" t="str">
        <f>"yfs_person_info.day_fax_no"</f>
        <v>yfs_person_info.day_fax_no</v>
      </c>
      <c r="D855" s="104" t="str">
        <f t="shared" si="750"/>
        <v>string</v>
      </c>
      <c r="E855" s="105" t="str">
        <f t="shared" si="751"/>
        <v>40</v>
      </c>
      <c r="F855" s="104" t="s">
        <v>712</v>
      </c>
      <c r="G855" s="103" t="str">
        <f t="shared" si="743"/>
        <v>O</v>
      </c>
      <c r="H855" s="103" t="str">
        <f t="shared" si="747"/>
        <v>space</v>
      </c>
      <c r="I855" s="104" t="str">
        <f t="shared" si="748"/>
        <v/>
      </c>
      <c r="J855" s="104" t="str">
        <f>""</f>
        <v/>
      </c>
      <c r="K855" s="104"/>
      <c r="L855" s="105"/>
      <c r="M855" s="104"/>
      <c r="N855" s="104"/>
      <c r="O855" s="104"/>
      <c r="P855" s="104"/>
      <c r="Q855" s="104"/>
      <c r="R855" s="104"/>
      <c r="S855" s="104"/>
      <c r="T855" s="107"/>
      <c r="U855" s="107"/>
    </row>
    <row r="856" ht="15.75" hidden="1" customHeight="1">
      <c r="A856" s="103"/>
      <c r="B856" s="104" t="str">
        <f>"DayPhone"</f>
        <v>DayPhone</v>
      </c>
      <c r="C856" s="104" t="str">
        <f>"yfs_person_info.day_phone"</f>
        <v>yfs_person_info.day_phone</v>
      </c>
      <c r="D856" s="104" t="str">
        <f t="shared" si="750"/>
        <v>string</v>
      </c>
      <c r="E856" s="105" t="str">
        <f t="shared" si="751"/>
        <v>40</v>
      </c>
      <c r="F856" s="104" t="s">
        <v>713</v>
      </c>
      <c r="G856" s="103" t="str">
        <f t="shared" si="743"/>
        <v>O</v>
      </c>
      <c r="H856" s="103" t="str">
        <f t="shared" si="747"/>
        <v>space</v>
      </c>
      <c r="I856" s="104" t="str">
        <f t="shared" si="748"/>
        <v/>
      </c>
      <c r="J856" s="104" t="str">
        <f>"(508) 555-1212"</f>
        <v>(508) 555-1212</v>
      </c>
      <c r="K856" s="104"/>
      <c r="L856" s="105"/>
      <c r="M856" s="104"/>
      <c r="N856" s="104"/>
      <c r="O856" s="104"/>
      <c r="P856" s="104"/>
      <c r="Q856" s="104"/>
      <c r="R856" s="104"/>
      <c r="S856" s="104"/>
      <c r="T856" s="107"/>
      <c r="U856" s="107"/>
    </row>
    <row r="857" ht="15.75" hidden="1" customHeight="1">
      <c r="A857" s="103"/>
      <c r="B857" s="104" t="str">
        <f>"Department"</f>
        <v>Department</v>
      </c>
      <c r="C857" s="104" t="str">
        <f>"yfs_person_info.department"</f>
        <v>yfs_person_info.department</v>
      </c>
      <c r="D857" s="104" t="str">
        <f>"UNKNOWN"</f>
        <v>UNKNOWN</v>
      </c>
      <c r="E857" s="105" t="str">
        <f>""</f>
        <v/>
      </c>
      <c r="F857" s="104" t="s">
        <v>715</v>
      </c>
      <c r="G857" s="103" t="str">
        <f t="shared" si="743"/>
        <v>O</v>
      </c>
      <c r="H857" s="103" t="str">
        <f t="shared" si="747"/>
        <v>space</v>
      </c>
      <c r="I857" s="104" t="str">
        <f t="shared" si="748"/>
        <v/>
      </c>
      <c r="J857" s="104" t="str">
        <f>""</f>
        <v/>
      </c>
      <c r="K857" s="104"/>
      <c r="L857" s="105"/>
      <c r="M857" s="104"/>
      <c r="N857" s="104"/>
      <c r="O857" s="104"/>
      <c r="P857" s="104"/>
      <c r="Q857" s="104"/>
      <c r="R857" s="104"/>
      <c r="S857" s="104"/>
      <c r="T857" s="107"/>
      <c r="U857" s="107"/>
    </row>
    <row r="858" ht="15.75" hidden="1" customHeight="1">
      <c r="A858" s="103"/>
      <c r="B858" s="104" t="str">
        <f>"EMailID"</f>
        <v>EMailID</v>
      </c>
      <c r="C858" s="104" t="str">
        <f>"yfs_person_info.emailid"</f>
        <v>yfs_person_info.emailid</v>
      </c>
      <c r="D858" s="104" t="str">
        <f t="shared" ref="D858:D860" si="752">"string"</f>
        <v>string</v>
      </c>
      <c r="E858" s="105" t="str">
        <f>"150"</f>
        <v>150</v>
      </c>
      <c r="F858" s="104" t="s">
        <v>716</v>
      </c>
      <c r="G858" s="103" t="str">
        <f t="shared" si="743"/>
        <v>O</v>
      </c>
      <c r="H858" s="103" t="str">
        <f t="shared" si="747"/>
        <v>space</v>
      </c>
      <c r="I858" s="104" t="str">
        <f t="shared" si="748"/>
        <v/>
      </c>
      <c r="J858" s="104" t="str">
        <f>"john.doe@mail.com"</f>
        <v>john.doe@mail.com</v>
      </c>
      <c r="K858" s="104"/>
      <c r="L858" s="105"/>
      <c r="M858" s="104"/>
      <c r="N858" s="104"/>
      <c r="O858" s="104"/>
      <c r="P858" s="104"/>
      <c r="Q858" s="104"/>
      <c r="R858" s="104"/>
      <c r="S858" s="104"/>
      <c r="T858" s="107"/>
      <c r="U858" s="107"/>
    </row>
    <row r="859" ht="15.75" hidden="1" customHeight="1">
      <c r="A859" s="103"/>
      <c r="B859" s="104" t="str">
        <f>"EveningFaxNo"</f>
        <v>EveningFaxNo</v>
      </c>
      <c r="C859" s="104" t="str">
        <f>"yfs_person_info.evening_fax_no"</f>
        <v>yfs_person_info.evening_fax_no</v>
      </c>
      <c r="D859" s="104" t="str">
        <f t="shared" si="752"/>
        <v>string</v>
      </c>
      <c r="E859" s="105" t="str">
        <f t="shared" ref="E859:E860" si="753">"40"</f>
        <v>40</v>
      </c>
      <c r="F859" s="104" t="s">
        <v>718</v>
      </c>
      <c r="G859" s="103" t="str">
        <f t="shared" si="743"/>
        <v>O</v>
      </c>
      <c r="H859" s="103" t="str">
        <f t="shared" si="747"/>
        <v>space</v>
      </c>
      <c r="I859" s="104" t="str">
        <f t="shared" si="748"/>
        <v/>
      </c>
      <c r="J859" s="104" t="str">
        <f>"(617) 555-3333"</f>
        <v>(617) 555-3333</v>
      </c>
      <c r="K859" s="104"/>
      <c r="L859" s="105"/>
      <c r="M859" s="104"/>
      <c r="N859" s="104"/>
      <c r="O859" s="104"/>
      <c r="P859" s="104"/>
      <c r="Q859" s="104"/>
      <c r="R859" s="104"/>
      <c r="S859" s="104"/>
      <c r="T859" s="107"/>
      <c r="U859" s="107"/>
    </row>
    <row r="860" ht="15.75" hidden="1" customHeight="1">
      <c r="A860" s="103"/>
      <c r="B860" s="104" t="str">
        <f>"EveningPhone"</f>
        <v>EveningPhone</v>
      </c>
      <c r="C860" s="104" t="str">
        <f>"yfs_person_info.evening_phone"</f>
        <v>yfs_person_info.evening_phone</v>
      </c>
      <c r="D860" s="104" t="str">
        <f t="shared" si="752"/>
        <v>string</v>
      </c>
      <c r="E860" s="105" t="str">
        <f t="shared" si="753"/>
        <v>40</v>
      </c>
      <c r="F860" s="104" t="s">
        <v>719</v>
      </c>
      <c r="G860" s="103" t="str">
        <f t="shared" si="743"/>
        <v>O</v>
      </c>
      <c r="H860" s="103" t="str">
        <f t="shared" si="747"/>
        <v>space</v>
      </c>
      <c r="I860" s="104" t="str">
        <f t="shared" si="748"/>
        <v/>
      </c>
      <c r="J860" s="104" t="str">
        <f>"(617) 555-1212"</f>
        <v>(617) 555-1212</v>
      </c>
      <c r="K860" s="104"/>
      <c r="L860" s="105"/>
      <c r="M860" s="104"/>
      <c r="N860" s="104"/>
      <c r="O860" s="104"/>
      <c r="P860" s="104"/>
      <c r="Q860" s="104"/>
      <c r="R860" s="104"/>
      <c r="S860" s="104"/>
      <c r="T860" s="107"/>
      <c r="U860" s="107"/>
    </row>
    <row r="861" ht="15.75" hidden="1" customHeight="1">
      <c r="A861" s="103"/>
      <c r="B861" s="104" t="str">
        <f>"FirstName"</f>
        <v>FirstName</v>
      </c>
      <c r="C861" s="104" t="str">
        <f>"yfs_person_info.first_name"</f>
        <v>yfs_person_info.first_name</v>
      </c>
      <c r="D861" s="104" t="str">
        <f>"UNKNOWN"</f>
        <v>UNKNOWN</v>
      </c>
      <c r="E861" s="105" t="str">
        <f>""</f>
        <v/>
      </c>
      <c r="F861" s="104" t="s">
        <v>720</v>
      </c>
      <c r="G861" s="103" t="str">
        <f t="shared" si="743"/>
        <v>O</v>
      </c>
      <c r="H861" s="103" t="str">
        <f t="shared" si="747"/>
        <v>space</v>
      </c>
      <c r="I861" s="104" t="str">
        <f t="shared" si="748"/>
        <v/>
      </c>
      <c r="J861" s="104" t="str">
        <f>"John"</f>
        <v>John</v>
      </c>
      <c r="K861" s="104"/>
      <c r="L861" s="105"/>
      <c r="M861" s="104"/>
      <c r="N861" s="104"/>
      <c r="O861" s="104"/>
      <c r="P861" s="104"/>
      <c r="Q861" s="104"/>
      <c r="R861" s="104"/>
      <c r="S861" s="104"/>
      <c r="T861" s="107"/>
      <c r="U861" s="107"/>
    </row>
    <row r="862" ht="15.75" hidden="1" customHeight="1">
      <c r="A862" s="103"/>
      <c r="B862" s="104" t="str">
        <f>"IsCommercialAddress"</f>
        <v>IsCommercialAddress</v>
      </c>
      <c r="C862" s="104" t="str">
        <f>"yfs_person_info.is_commercial_address"</f>
        <v>yfs_person_info.is_commercial_address</v>
      </c>
      <c r="D862" s="104" t="str">
        <f>"string"</f>
        <v>string</v>
      </c>
      <c r="E862" s="105" t="str">
        <f>"1"</f>
        <v>1</v>
      </c>
      <c r="F862" s="104" t="s">
        <v>722</v>
      </c>
      <c r="G862" s="103" t="str">
        <f t="shared" si="743"/>
        <v>O</v>
      </c>
      <c r="H862" s="103" t="str">
        <f>"null"</f>
        <v>null</v>
      </c>
      <c r="I862" s="104" t="str">
        <f t="shared" si="748"/>
        <v/>
      </c>
      <c r="J862" s="104" t="str">
        <f>"Y"</f>
        <v>Y</v>
      </c>
      <c r="K862" s="104"/>
      <c r="L862" s="105"/>
      <c r="M862" s="104"/>
      <c r="N862" s="104"/>
      <c r="O862" s="104"/>
      <c r="P862" s="104"/>
      <c r="Q862" s="104"/>
      <c r="R862" s="104"/>
      <c r="S862" s="104"/>
      <c r="T862" s="107"/>
      <c r="U862" s="107"/>
    </row>
    <row r="863" ht="15.75" hidden="1" customHeight="1">
      <c r="A863" s="103"/>
      <c r="B863" s="104" t="str">
        <f>"JobTitle"</f>
        <v>JobTitle</v>
      </c>
      <c r="C863" s="104" t="str">
        <f>"yfs_person_info.job_title"</f>
        <v>yfs_person_info.job_title</v>
      </c>
      <c r="D863" s="104" t="str">
        <f t="shared" ref="D863:D865" si="754">"UNKNOWN"</f>
        <v>UNKNOWN</v>
      </c>
      <c r="E863" s="105" t="str">
        <f t="shared" ref="E863:E865" si="755">""</f>
        <v/>
      </c>
      <c r="F863" s="104" t="s">
        <v>723</v>
      </c>
      <c r="G863" s="103" t="str">
        <f t="shared" si="743"/>
        <v>O</v>
      </c>
      <c r="H863" s="103" t="str">
        <f t="shared" ref="H863:H870" si="756">"space"</f>
        <v>space</v>
      </c>
      <c r="I863" s="104" t="str">
        <f t="shared" si="748"/>
        <v/>
      </c>
      <c r="J863" s="104" t="str">
        <f>"Procurement Manager"</f>
        <v>Procurement Manager</v>
      </c>
      <c r="K863" s="104"/>
      <c r="L863" s="105"/>
      <c r="M863" s="104"/>
      <c r="N863" s="104"/>
      <c r="O863" s="104"/>
      <c r="P863" s="104"/>
      <c r="Q863" s="104"/>
      <c r="R863" s="104"/>
      <c r="S863" s="104"/>
      <c r="T863" s="107"/>
      <c r="U863" s="107"/>
    </row>
    <row r="864" ht="15.75" hidden="1" customHeight="1">
      <c r="A864" s="103"/>
      <c r="B864" s="104" t="str">
        <f>"LastName"</f>
        <v>LastName</v>
      </c>
      <c r="C864" s="104" t="str">
        <f>"yfs_person_info.last_name"</f>
        <v>yfs_person_info.last_name</v>
      </c>
      <c r="D864" s="104" t="str">
        <f t="shared" si="754"/>
        <v>UNKNOWN</v>
      </c>
      <c r="E864" s="105" t="str">
        <f t="shared" si="755"/>
        <v/>
      </c>
      <c r="F864" s="104" t="s">
        <v>724</v>
      </c>
      <c r="G864" s="103" t="str">
        <f t="shared" si="743"/>
        <v>O</v>
      </c>
      <c r="H864" s="103" t="str">
        <f t="shared" si="756"/>
        <v>space</v>
      </c>
      <c r="I864" s="104" t="str">
        <f t="shared" si="748"/>
        <v/>
      </c>
      <c r="J864" s="104" t="str">
        <f>"Doe"</f>
        <v>Doe</v>
      </c>
      <c r="K864" s="104"/>
      <c r="L864" s="105"/>
      <c r="M864" s="104"/>
      <c r="N864" s="104"/>
      <c r="O864" s="104"/>
      <c r="P864" s="104"/>
      <c r="Q864" s="104"/>
      <c r="R864" s="104"/>
      <c r="S864" s="104"/>
      <c r="T864" s="107"/>
      <c r="U864" s="107"/>
    </row>
    <row r="865" ht="15.75" hidden="1" customHeight="1">
      <c r="A865" s="103"/>
      <c r="B865" s="104" t="str">
        <f>"MiddleName"</f>
        <v>MiddleName</v>
      </c>
      <c r="C865" s="104" t="str">
        <f>"yfs_person_info.middle_name"</f>
        <v>yfs_person_info.middle_name</v>
      </c>
      <c r="D865" s="104" t="str">
        <f t="shared" si="754"/>
        <v>UNKNOWN</v>
      </c>
      <c r="E865" s="105" t="str">
        <f t="shared" si="755"/>
        <v/>
      </c>
      <c r="F865" s="104" t="s">
        <v>726</v>
      </c>
      <c r="G865" s="103" t="str">
        <f t="shared" si="743"/>
        <v>O</v>
      </c>
      <c r="H865" s="103" t="str">
        <f t="shared" si="756"/>
        <v>space</v>
      </c>
      <c r="I865" s="104" t="str">
        <f t="shared" si="748"/>
        <v/>
      </c>
      <c r="J865" s="104" t="str">
        <f>"E"</f>
        <v>E</v>
      </c>
      <c r="K865" s="104"/>
      <c r="L865" s="105"/>
      <c r="M865" s="104"/>
      <c r="N865" s="104"/>
      <c r="O865" s="104"/>
      <c r="P865" s="104"/>
      <c r="Q865" s="104"/>
      <c r="R865" s="104"/>
      <c r="S865" s="104"/>
      <c r="T865" s="107"/>
      <c r="U865" s="107"/>
    </row>
    <row r="866" ht="15.75" hidden="1" customHeight="1">
      <c r="A866" s="103"/>
      <c r="B866" s="104" t="str">
        <f>"MobilePhone"</f>
        <v>MobilePhone</v>
      </c>
      <c r="C866" s="104" t="str">
        <f>"yfs_person_info.mobile_phone"</f>
        <v>yfs_person_info.mobile_phone</v>
      </c>
      <c r="D866" s="104" t="str">
        <f t="shared" ref="D866:D867" si="757">"string"</f>
        <v>string</v>
      </c>
      <c r="E866" s="105" t="str">
        <f t="shared" ref="E866:E867" si="758">"40"</f>
        <v>40</v>
      </c>
      <c r="F866" s="104" t="s">
        <v>730</v>
      </c>
      <c r="G866" s="103" t="str">
        <f t="shared" si="743"/>
        <v>O</v>
      </c>
      <c r="H866" s="103" t="str">
        <f t="shared" si="756"/>
        <v>space</v>
      </c>
      <c r="I866" s="104" t="str">
        <f t="shared" si="748"/>
        <v/>
      </c>
      <c r="J866" s="104" t="str">
        <f>"(978) 555-1212"</f>
        <v>(978) 555-1212</v>
      </c>
      <c r="K866" s="104"/>
      <c r="L866" s="105"/>
      <c r="M866" s="104"/>
      <c r="N866" s="104"/>
      <c r="O866" s="104"/>
      <c r="P866" s="104"/>
      <c r="Q866" s="104"/>
      <c r="R866" s="104"/>
      <c r="S866" s="104"/>
      <c r="T866" s="107"/>
      <c r="U866" s="107"/>
    </row>
    <row r="867" ht="15.75" hidden="1" customHeight="1">
      <c r="A867" s="103"/>
      <c r="B867" s="104" t="str">
        <f>"OtherPhone"</f>
        <v>OtherPhone</v>
      </c>
      <c r="C867" s="104" t="str">
        <f>"yfs_person_info.other_phone"</f>
        <v>yfs_person_info.other_phone</v>
      </c>
      <c r="D867" s="104" t="str">
        <f t="shared" si="757"/>
        <v>string</v>
      </c>
      <c r="E867" s="105" t="str">
        <f t="shared" si="758"/>
        <v>40</v>
      </c>
      <c r="F867" s="104" t="s">
        <v>728</v>
      </c>
      <c r="G867" s="103" t="str">
        <f t="shared" si="743"/>
        <v>O</v>
      </c>
      <c r="H867" s="103" t="str">
        <f t="shared" si="756"/>
        <v>space</v>
      </c>
      <c r="I867" s="104" t="str">
        <f t="shared" si="748"/>
        <v/>
      </c>
      <c r="J867" s="104" t="str">
        <f>"(781) 555-1212"</f>
        <v>(781) 555-1212</v>
      </c>
      <c r="K867" s="104"/>
      <c r="L867" s="105"/>
      <c r="M867" s="104"/>
      <c r="N867" s="104"/>
      <c r="O867" s="104"/>
      <c r="P867" s="104"/>
      <c r="Q867" s="104"/>
      <c r="R867" s="104"/>
      <c r="S867" s="104"/>
      <c r="T867" s="107"/>
      <c r="U867" s="107"/>
    </row>
    <row r="868" ht="15.75" hidden="1" customHeight="1">
      <c r="A868" s="103"/>
      <c r="B868" s="104" t="str">
        <f>"PersonID"</f>
        <v>PersonID</v>
      </c>
      <c r="C868" s="104" t="str">
        <f>"yfs_person_info.person_id"</f>
        <v>yfs_person_info.person_id</v>
      </c>
      <c r="D868" s="104" t="str">
        <f>"UNKNOWN"</f>
        <v>UNKNOWN</v>
      </c>
      <c r="E868" s="105" t="str">
        <f>""</f>
        <v/>
      </c>
      <c r="F868" s="104" t="s">
        <v>729</v>
      </c>
      <c r="G868" s="103" t="str">
        <f t="shared" si="743"/>
        <v>O</v>
      </c>
      <c r="H868" s="103" t="str">
        <f t="shared" si="756"/>
        <v>space</v>
      </c>
      <c r="I868" s="104" t="str">
        <f t="shared" si="748"/>
        <v/>
      </c>
      <c r="J868" s="104" t="str">
        <f>""</f>
        <v/>
      </c>
      <c r="K868" s="104"/>
      <c r="L868" s="105"/>
      <c r="M868" s="104"/>
      <c r="N868" s="104"/>
      <c r="O868" s="104"/>
      <c r="P868" s="104"/>
      <c r="Q868" s="104"/>
      <c r="R868" s="104"/>
      <c r="S868" s="104"/>
      <c r="T868" s="107"/>
      <c r="U868" s="107"/>
    </row>
    <row r="869" ht="15.75" hidden="1" customHeight="1">
      <c r="A869" s="103"/>
      <c r="B869" s="104" t="str">
        <f>"State"</f>
        <v>State</v>
      </c>
      <c r="C869" s="104" t="str">
        <f>"yfs_person_info.state"</f>
        <v>yfs_person_info.state</v>
      </c>
      <c r="D869" s="104" t="str">
        <f>"string"</f>
        <v>string</v>
      </c>
      <c r="E869" s="105" t="str">
        <f>"35"</f>
        <v>35</v>
      </c>
      <c r="F869" s="104" t="s">
        <v>731</v>
      </c>
      <c r="G869" s="103" t="str">
        <f t="shared" si="743"/>
        <v>O</v>
      </c>
      <c r="H869" s="103" t="str">
        <f t="shared" si="756"/>
        <v>space</v>
      </c>
      <c r="I869" s="104" t="str">
        <f t="shared" si="748"/>
        <v/>
      </c>
      <c r="J869" s="104" t="str">
        <f>"MA"</f>
        <v>MA</v>
      </c>
      <c r="K869" s="104"/>
      <c r="L869" s="105"/>
      <c r="M869" s="104"/>
      <c r="N869" s="104"/>
      <c r="O869" s="104"/>
      <c r="P869" s="104"/>
      <c r="Q869" s="104"/>
      <c r="R869" s="104"/>
      <c r="S869" s="104"/>
      <c r="T869" s="107"/>
      <c r="U869" s="107"/>
    </row>
    <row r="870" ht="15.75" hidden="1" customHeight="1">
      <c r="A870" s="103"/>
      <c r="B870" s="104" t="str">
        <f>"Suffix"</f>
        <v>Suffix</v>
      </c>
      <c r="C870" s="104" t="str">
        <f>"yfs_person_info.suffix"</f>
        <v>yfs_person_info.suffix</v>
      </c>
      <c r="D870" s="104" t="str">
        <f t="shared" ref="D870:D872" si="759">"UNKNOWN"</f>
        <v>UNKNOWN</v>
      </c>
      <c r="E870" s="105" t="str">
        <f t="shared" ref="E870:E872" si="760">""</f>
        <v/>
      </c>
      <c r="F870" s="104" t="s">
        <v>735</v>
      </c>
      <c r="G870" s="103" t="str">
        <f t="shared" si="743"/>
        <v>O</v>
      </c>
      <c r="H870" s="103" t="str">
        <f t="shared" si="756"/>
        <v>space</v>
      </c>
      <c r="I870" s="104" t="str">
        <f t="shared" si="748"/>
        <v/>
      </c>
      <c r="J870" s="104" t="str">
        <f t="shared" ref="J870:J871" si="761">""</f>
        <v/>
      </c>
      <c r="K870" s="104"/>
      <c r="L870" s="105"/>
      <c r="M870" s="104"/>
      <c r="N870" s="104"/>
      <c r="O870" s="104"/>
      <c r="P870" s="104"/>
      <c r="Q870" s="104"/>
      <c r="R870" s="104"/>
      <c r="S870" s="104"/>
      <c r="T870" s="107"/>
      <c r="U870" s="107"/>
    </row>
    <row r="871" ht="15.75" hidden="1" customHeight="1">
      <c r="A871" s="103"/>
      <c r="B871" s="104" t="str">
        <f>"TaxGeoCode"</f>
        <v>TaxGeoCode</v>
      </c>
      <c r="C871" s="104" t="str">
        <f>"yfs_person_info.tax_geo_code"</f>
        <v>yfs_person_info.tax_geo_code</v>
      </c>
      <c r="D871" s="104" t="str">
        <f t="shared" si="759"/>
        <v>UNKNOWN</v>
      </c>
      <c r="E871" s="105" t="str">
        <f t="shared" si="760"/>
        <v/>
      </c>
      <c r="F871" s="104" t="s">
        <v>738</v>
      </c>
      <c r="G871" s="103" t="str">
        <f t="shared" si="743"/>
        <v>O</v>
      </c>
      <c r="H871" s="103" t="str">
        <f>"null"</f>
        <v>null</v>
      </c>
      <c r="I871" s="104" t="str">
        <f t="shared" si="748"/>
        <v/>
      </c>
      <c r="J871" s="104" t="str">
        <f t="shared" si="761"/>
        <v/>
      </c>
      <c r="K871" s="104"/>
      <c r="L871" s="105"/>
      <c r="M871" s="104"/>
      <c r="N871" s="104"/>
      <c r="O871" s="104"/>
      <c r="P871" s="104"/>
      <c r="Q871" s="104"/>
      <c r="R871" s="104"/>
      <c r="S871" s="104"/>
      <c r="T871" s="107"/>
      <c r="U871" s="107"/>
    </row>
    <row r="872" ht="15.75" hidden="1" customHeight="1">
      <c r="A872" s="103"/>
      <c r="B872" s="104" t="str">
        <f>"Title"</f>
        <v>Title</v>
      </c>
      <c r="C872" s="104" t="str">
        <f>"yfs_person_info.title"</f>
        <v>yfs_person_info.title</v>
      </c>
      <c r="D872" s="104" t="str">
        <f t="shared" si="759"/>
        <v>UNKNOWN</v>
      </c>
      <c r="E872" s="105" t="str">
        <f t="shared" si="760"/>
        <v/>
      </c>
      <c r="F872" s="104" t="s">
        <v>739</v>
      </c>
      <c r="G872" s="103" t="str">
        <f t="shared" si="743"/>
        <v>O</v>
      </c>
      <c r="H872" s="103" t="str">
        <f t="shared" ref="H872:H873" si="762">"space"</f>
        <v>space</v>
      </c>
      <c r="I872" s="104" t="str">
        <f t="shared" si="748"/>
        <v/>
      </c>
      <c r="J872" s="104" t="str">
        <f>"Mr"</f>
        <v>Mr</v>
      </c>
      <c r="K872" s="104"/>
      <c r="L872" s="105"/>
      <c r="M872" s="104"/>
      <c r="N872" s="104"/>
      <c r="O872" s="104"/>
      <c r="P872" s="104"/>
      <c r="Q872" s="104"/>
      <c r="R872" s="104"/>
      <c r="S872" s="104"/>
      <c r="T872" s="107"/>
      <c r="U872" s="107"/>
    </row>
    <row r="873" ht="15.75" hidden="1" customHeight="1">
      <c r="A873" s="103"/>
      <c r="B873" s="104" t="str">
        <f>"ZipCode"</f>
        <v>ZipCode</v>
      </c>
      <c r="C873" s="104" t="str">
        <f>"yfs_person_info.zip_code"</f>
        <v>yfs_person_info.zip_code</v>
      </c>
      <c r="D873" s="104" t="str">
        <f>"string"</f>
        <v>string</v>
      </c>
      <c r="E873" s="105" t="str">
        <f>"35"</f>
        <v>35</v>
      </c>
      <c r="F873" s="104" t="s">
        <v>743</v>
      </c>
      <c r="G873" s="103" t="str">
        <f t="shared" si="743"/>
        <v>O</v>
      </c>
      <c r="H873" s="103" t="str">
        <f t="shared" si="762"/>
        <v>space</v>
      </c>
      <c r="I873" s="104" t="str">
        <f t="shared" si="748"/>
        <v/>
      </c>
      <c r="J873" s="104" t="str">
        <f>"02035-2531"</f>
        <v>02035-2531</v>
      </c>
      <c r="K873" s="104"/>
      <c r="L873" s="105"/>
      <c r="M873" s="104"/>
      <c r="N873" s="104"/>
      <c r="O873" s="104"/>
      <c r="P873" s="104"/>
      <c r="Q873" s="104"/>
      <c r="R873" s="104"/>
      <c r="S873" s="104"/>
      <c r="T873" s="107"/>
      <c r="U873" s="107"/>
    </row>
    <row r="874" ht="15.75" hidden="1" customHeight="1">
      <c r="A874" s="236" t="s">
        <v>92</v>
      </c>
      <c r="B874" s="170" t="str">
        <f>"/Order/PriceInfo/@"</f>
        <v>/Order/PriceInfo/@</v>
      </c>
      <c r="C874" s="170"/>
      <c r="D874" s="170"/>
      <c r="E874" s="170"/>
      <c r="F874" s="238"/>
      <c r="G874" s="196" t="str">
        <f t="shared" si="743"/>
        <v>O</v>
      </c>
      <c r="H874" s="170"/>
      <c r="I874" s="170"/>
      <c r="J874" s="170"/>
      <c r="K874" s="170"/>
      <c r="L874" s="239" t="s">
        <v>92</v>
      </c>
      <c r="M874" s="239"/>
      <c r="N874" s="239"/>
      <c r="O874" s="239"/>
      <c r="P874" s="239"/>
      <c r="Q874" s="239"/>
      <c r="R874" s="239"/>
      <c r="S874" s="239"/>
      <c r="T874" s="241"/>
      <c r="U874" s="241"/>
    </row>
    <row r="875" hidden="1">
      <c r="A875" s="117" t="s">
        <v>92</v>
      </c>
      <c r="B875" s="104" t="str">
        <f>"Currency"</f>
        <v>Currency</v>
      </c>
      <c r="C875" s="104" t="str">
        <f>"yfs_order_header.currency"</f>
        <v>yfs_order_header.currency</v>
      </c>
      <c r="D875" s="104" t="str">
        <f>"string"</f>
        <v>string</v>
      </c>
      <c r="E875" s="103" t="str">
        <f>"20"</f>
        <v>20</v>
      </c>
      <c r="F875" s="183" t="s">
        <v>1015</v>
      </c>
      <c r="G875" s="103" t="str">
        <f t="shared" si="743"/>
        <v>O</v>
      </c>
      <c r="H875" s="103" t="s">
        <v>1016</v>
      </c>
      <c r="I875" s="104" t="s">
        <v>1017</v>
      </c>
      <c r="J875" s="104" t="s">
        <v>1016</v>
      </c>
      <c r="K875" s="104"/>
      <c r="L875" s="224" t="s">
        <v>92</v>
      </c>
      <c r="M875" s="242" t="s">
        <v>1018</v>
      </c>
      <c r="N875" s="242"/>
      <c r="O875" s="242" t="s">
        <v>1018</v>
      </c>
      <c r="P875" s="242" t="s">
        <v>1018</v>
      </c>
      <c r="Q875" s="242" t="s">
        <v>1018</v>
      </c>
      <c r="R875" s="119"/>
      <c r="S875" s="119"/>
      <c r="T875" s="186"/>
      <c r="U875" s="186"/>
    </row>
    <row r="876" hidden="1">
      <c r="A876" s="306" t="s">
        <v>92</v>
      </c>
      <c r="B876" s="307" t="s">
        <v>1019</v>
      </c>
      <c r="C876" s="307"/>
      <c r="D876" s="307"/>
      <c r="E876" s="307"/>
      <c r="F876" s="308"/>
      <c r="G876" s="309" t="s">
        <v>77</v>
      </c>
      <c r="H876" s="309"/>
      <c r="I876" s="309"/>
      <c r="J876" s="309"/>
      <c r="K876" s="309"/>
      <c r="L876" s="310" t="s">
        <v>92</v>
      </c>
      <c r="M876" s="306" t="s">
        <v>125</v>
      </c>
      <c r="N876" s="306"/>
      <c r="O876" s="306" t="s">
        <v>125</v>
      </c>
      <c r="P876" s="306" t="s">
        <v>125</v>
      </c>
      <c r="Q876" s="306" t="s">
        <v>125</v>
      </c>
      <c r="R876" s="309"/>
      <c r="S876" s="309"/>
      <c r="T876" s="311"/>
      <c r="U876" s="311"/>
    </row>
    <row r="877" hidden="1">
      <c r="A877" s="312" t="s">
        <v>92</v>
      </c>
      <c r="B877" s="313" t="s">
        <v>1020</v>
      </c>
      <c r="C877" s="313" t="s">
        <v>1021</v>
      </c>
      <c r="D877" s="313" t="s">
        <v>472</v>
      </c>
      <c r="E877" s="314">
        <v>40.0</v>
      </c>
      <c r="F877" s="315" t="s">
        <v>1022</v>
      </c>
      <c r="G877" s="314" t="s">
        <v>77</v>
      </c>
      <c r="H877" s="103"/>
      <c r="I877" s="104"/>
      <c r="J877" s="104"/>
      <c r="K877" s="104"/>
      <c r="L877" s="316" t="s">
        <v>92</v>
      </c>
      <c r="M877" s="222" t="s">
        <v>125</v>
      </c>
      <c r="N877" s="222"/>
      <c r="O877" s="222" t="s">
        <v>125</v>
      </c>
      <c r="P877" s="222" t="s">
        <v>125</v>
      </c>
      <c r="Q877" s="222" t="s">
        <v>125</v>
      </c>
      <c r="R877" s="119"/>
      <c r="S877" s="119"/>
      <c r="T877" s="186"/>
      <c r="U877" s="186"/>
    </row>
    <row r="878" hidden="1">
      <c r="A878" s="312" t="s">
        <v>92</v>
      </c>
      <c r="B878" s="313" t="s">
        <v>1023</v>
      </c>
      <c r="C878" s="313" t="s">
        <v>1024</v>
      </c>
      <c r="D878" s="313" t="s">
        <v>477</v>
      </c>
      <c r="E878" s="317"/>
      <c r="F878" s="315" t="s">
        <v>1025</v>
      </c>
      <c r="G878" s="314" t="s">
        <v>77</v>
      </c>
      <c r="H878" s="103"/>
      <c r="I878" s="104"/>
      <c r="J878" s="104" t="s">
        <v>1026</v>
      </c>
      <c r="K878" s="104"/>
      <c r="L878" s="316" t="s">
        <v>92</v>
      </c>
      <c r="M878" s="242" t="s">
        <v>125</v>
      </c>
      <c r="N878" s="242"/>
      <c r="O878" s="242" t="s">
        <v>125</v>
      </c>
      <c r="P878" s="242" t="s">
        <v>125</v>
      </c>
      <c r="Q878" s="242" t="s">
        <v>125</v>
      </c>
      <c r="R878" s="119"/>
      <c r="S878" s="119"/>
      <c r="T878" s="186"/>
      <c r="U878" s="186"/>
    </row>
    <row r="879">
      <c r="A879" s="97" t="s">
        <v>66</v>
      </c>
      <c r="B879" s="96" t="s">
        <v>1027</v>
      </c>
      <c r="C879" s="96"/>
      <c r="D879" s="96"/>
      <c r="E879" s="97"/>
      <c r="F879" s="98"/>
      <c r="G879" s="99" t="s">
        <v>77</v>
      </c>
      <c r="H879" s="97"/>
      <c r="I879" s="96"/>
      <c r="J879" s="96"/>
      <c r="K879" s="96"/>
      <c r="L879" s="100" t="s">
        <v>66</v>
      </c>
      <c r="M879" s="99"/>
      <c r="N879" s="99"/>
      <c r="O879" s="99"/>
      <c r="P879" s="99"/>
      <c r="Q879" s="99"/>
      <c r="R879" s="99"/>
      <c r="S879" s="99"/>
      <c r="T879" s="99"/>
      <c r="U879" s="99"/>
    </row>
    <row r="880">
      <c r="A880" s="97" t="s">
        <v>66</v>
      </c>
      <c r="B880" s="96" t="s">
        <v>1028</v>
      </c>
      <c r="C880" s="96"/>
      <c r="D880" s="96"/>
      <c r="E880" s="97"/>
      <c r="F880" s="199" t="s">
        <v>803</v>
      </c>
      <c r="G880" s="99" t="s">
        <v>134</v>
      </c>
      <c r="H880" s="97"/>
      <c r="I880" s="96"/>
      <c r="J880" s="96"/>
      <c r="K880" s="96"/>
      <c r="L880" s="100" t="s">
        <v>66</v>
      </c>
      <c r="M880" s="99"/>
      <c r="N880" s="99"/>
      <c r="O880" s="99"/>
      <c r="P880" s="99"/>
      <c r="Q880" s="99"/>
      <c r="R880" s="99"/>
      <c r="S880" s="99"/>
      <c r="T880" s="99"/>
      <c r="U880" s="99"/>
    </row>
    <row r="881">
      <c r="A881" s="250" t="s">
        <v>66</v>
      </c>
      <c r="B881" s="109" t="s">
        <v>280</v>
      </c>
      <c r="C881" s="292" t="s">
        <v>804</v>
      </c>
      <c r="D881" s="109" t="s">
        <v>472</v>
      </c>
      <c r="E881" s="108">
        <v>40.0</v>
      </c>
      <c r="F881" s="152" t="s">
        <v>1029</v>
      </c>
      <c r="G881" s="108" t="s">
        <v>134</v>
      </c>
      <c r="H881" s="108"/>
      <c r="I881" s="109"/>
      <c r="J881" s="109"/>
      <c r="K881" s="109"/>
      <c r="L881" s="112" t="s">
        <v>66</v>
      </c>
      <c r="M881" s="113" t="s">
        <v>1030</v>
      </c>
      <c r="N881" s="113" t="s">
        <v>1031</v>
      </c>
      <c r="O881" s="113" t="s">
        <v>1032</v>
      </c>
      <c r="P881" s="113" t="s">
        <v>1033</v>
      </c>
      <c r="Q881" s="113" t="s">
        <v>1033</v>
      </c>
      <c r="R881" s="113"/>
      <c r="S881" s="113"/>
      <c r="T881" s="164" t="s">
        <v>1034</v>
      </c>
      <c r="U881" s="113"/>
    </row>
    <row r="882" ht="381.75" customHeight="1">
      <c r="A882" s="293" t="s">
        <v>66</v>
      </c>
      <c r="B882" s="292" t="s">
        <v>13</v>
      </c>
      <c r="C882" s="292" t="s">
        <v>809</v>
      </c>
      <c r="D882" s="292" t="s">
        <v>472</v>
      </c>
      <c r="E882" s="108">
        <v>1000.0</v>
      </c>
      <c r="F882" s="318" t="s">
        <v>1035</v>
      </c>
      <c r="G882" s="293" t="s">
        <v>134</v>
      </c>
      <c r="H882" s="108"/>
      <c r="I882" s="109"/>
      <c r="J882" s="109"/>
      <c r="K882" s="109"/>
      <c r="L882" s="319" t="s">
        <v>66</v>
      </c>
      <c r="M882" s="164" t="s">
        <v>1036</v>
      </c>
      <c r="N882" s="164" t="s">
        <v>1036</v>
      </c>
      <c r="O882" s="235" t="s">
        <v>1036</v>
      </c>
      <c r="P882" s="235" t="s">
        <v>1036</v>
      </c>
      <c r="Q882" s="235" t="s">
        <v>1036</v>
      </c>
      <c r="R882" s="164" t="s">
        <v>1037</v>
      </c>
      <c r="S882" s="164"/>
      <c r="T882" s="164"/>
      <c r="U882" s="164"/>
    </row>
    <row r="883" ht="15.75" hidden="1" customHeight="1">
      <c r="A883" s="117" t="s">
        <v>92</v>
      </c>
      <c r="B883" s="193" t="str">
        <f>"EnterpriseCurrency"</f>
        <v>EnterpriseCurrency</v>
      </c>
      <c r="C883" s="104" t="str">
        <f>"yfs_order_header.enterprise_currency"</f>
        <v>yfs_order_header.enterprise_currency</v>
      </c>
      <c r="D883" s="104" t="str">
        <f>"string"</f>
        <v>string</v>
      </c>
      <c r="E883" s="105" t="str">
        <f>"20"</f>
        <v>20</v>
      </c>
      <c r="F883" s="104" t="s">
        <v>1038</v>
      </c>
      <c r="G883" s="103" t="str">
        <f t="shared" ref="G883:G888" si="763">"O"</f>
        <v>O</v>
      </c>
      <c r="H883" s="103" t="str">
        <f>"space"</f>
        <v>space</v>
      </c>
      <c r="I883" s="104" t="str">
        <f t="shared" ref="I883:I885" si="764">""</f>
        <v/>
      </c>
      <c r="J883" s="104" t="str">
        <f>"USD"</f>
        <v>USD</v>
      </c>
      <c r="K883" s="104"/>
      <c r="L883" s="105"/>
      <c r="M883" s="104"/>
      <c r="N883" s="104"/>
      <c r="O883" s="104"/>
      <c r="P883" s="104"/>
      <c r="Q883" s="104"/>
      <c r="R883" s="104"/>
      <c r="S883" s="104"/>
      <c r="T883" s="107"/>
      <c r="U883" s="107"/>
    </row>
    <row r="884" ht="15.75" hidden="1" customHeight="1">
      <c r="A884" s="103"/>
      <c r="B884" s="104" t="str">
        <f>"ReportingConversionDate"</f>
        <v>ReportingConversionDate</v>
      </c>
      <c r="C884" s="104" t="str">
        <f>"yfs_order_header.reporting_conversion_date"</f>
        <v>yfs_order_header.reporting_conversion_date</v>
      </c>
      <c r="D884" s="104" t="str">
        <f>"dateTime"</f>
        <v>dateTime</v>
      </c>
      <c r="E884" s="105" t="str">
        <f>"25"</f>
        <v>25</v>
      </c>
      <c r="F884" s="104" t="s">
        <v>1039</v>
      </c>
      <c r="G884" s="103" t="str">
        <f t="shared" si="763"/>
        <v>O</v>
      </c>
      <c r="H884" s="103" t="str">
        <f>"sysdate "</f>
        <v>sysdate </v>
      </c>
      <c r="I884" s="104" t="str">
        <f t="shared" si="764"/>
        <v/>
      </c>
      <c r="J884" s="104" t="str">
        <f t="shared" ref="J884:J885" si="765">""</f>
        <v/>
      </c>
      <c r="K884" s="104"/>
      <c r="L884" s="105"/>
      <c r="M884" s="104"/>
      <c r="N884" s="104"/>
      <c r="O884" s="104"/>
      <c r="P884" s="104"/>
      <c r="Q884" s="104"/>
      <c r="R884" s="104"/>
      <c r="S884" s="104"/>
      <c r="T884" s="107"/>
      <c r="U884" s="107"/>
    </row>
    <row r="885" ht="15.75" hidden="1" customHeight="1">
      <c r="A885" s="103"/>
      <c r="B885" s="104" t="str">
        <f>"ReportingConversionRate"</f>
        <v>ReportingConversionRate</v>
      </c>
      <c r="C885" s="104" t="str">
        <f>"yfs_order_header.reporting_conversion_rate"</f>
        <v>yfs_order_header.reporting_conversion_rate</v>
      </c>
      <c r="D885" s="104" t="str">
        <f>"decimal"</f>
        <v>decimal</v>
      </c>
      <c r="E885" s="105" t="str">
        <f>"28,16"</f>
        <v>28,16</v>
      </c>
      <c r="F885" s="104" t="s">
        <v>1040</v>
      </c>
      <c r="G885" s="103" t="str">
        <f t="shared" si="763"/>
        <v>O</v>
      </c>
      <c r="H885" s="103" t="str">
        <f>"0 "</f>
        <v>0 </v>
      </c>
      <c r="I885" s="104" t="str">
        <f t="shared" si="764"/>
        <v/>
      </c>
      <c r="J885" s="104" t="str">
        <f t="shared" si="765"/>
        <v/>
      </c>
      <c r="K885" s="104"/>
      <c r="L885" s="105"/>
      <c r="M885" s="104"/>
      <c r="N885" s="104"/>
      <c r="O885" s="104"/>
      <c r="P885" s="104"/>
      <c r="Q885" s="104"/>
      <c r="R885" s="104"/>
      <c r="S885" s="104"/>
      <c r="T885" s="107"/>
      <c r="U885" s="107"/>
    </row>
    <row r="886" ht="15.75" hidden="1" customHeight="1">
      <c r="A886" s="236" t="s">
        <v>92</v>
      </c>
      <c r="B886" s="170" t="str">
        <f>"/Order/HeaderCharges"</f>
        <v>/Order/HeaderCharges</v>
      </c>
      <c r="C886" s="170"/>
      <c r="D886" s="170"/>
      <c r="E886" s="170"/>
      <c r="F886" s="287"/>
      <c r="G886" s="196" t="str">
        <f t="shared" si="763"/>
        <v>O</v>
      </c>
      <c r="H886" s="170"/>
      <c r="I886" s="170"/>
      <c r="J886" s="170"/>
      <c r="K886" s="170"/>
      <c r="L886" s="170"/>
      <c r="M886" s="170"/>
      <c r="N886" s="170"/>
      <c r="O886" s="170"/>
      <c r="P886" s="170"/>
      <c r="Q886" s="170"/>
      <c r="R886" s="170"/>
      <c r="S886" s="170"/>
      <c r="T886" s="197"/>
      <c r="U886" s="197"/>
    </row>
    <row r="887" ht="15.75" hidden="1" customHeight="1">
      <c r="A887" s="236" t="s">
        <v>92</v>
      </c>
      <c r="B887" s="170" t="str">
        <f>"/Order/HeaderCharges/HeaderCharge/@"</f>
        <v>/Order/HeaderCharges/HeaderCharge/@</v>
      </c>
      <c r="C887" s="170"/>
      <c r="D887" s="170"/>
      <c r="E887" s="170"/>
      <c r="F887" s="287"/>
      <c r="G887" s="196" t="str">
        <f t="shared" si="763"/>
        <v>O</v>
      </c>
      <c r="H887" s="170"/>
      <c r="I887" s="170"/>
      <c r="J887" s="170"/>
      <c r="K887" s="170"/>
      <c r="L887" s="170"/>
      <c r="M887" s="170"/>
      <c r="N887" s="170"/>
      <c r="O887" s="170"/>
      <c r="P887" s="170"/>
      <c r="Q887" s="170"/>
      <c r="R887" s="170"/>
      <c r="S887" s="170"/>
      <c r="T887" s="197"/>
      <c r="U887" s="197"/>
    </row>
    <row r="888" ht="15.75" hidden="1" customHeight="1">
      <c r="A888" s="117" t="s">
        <v>92</v>
      </c>
      <c r="B888" s="104" t="str">
        <f>"ChargeAmount"</f>
        <v>ChargeAmount</v>
      </c>
      <c r="C888" s="104" t="str">
        <f>"yfs_header_charges.charge"</f>
        <v>yfs_header_charges.charge</v>
      </c>
      <c r="D888" s="104" t="str">
        <f>"UNKNOWN"</f>
        <v>UNKNOWN</v>
      </c>
      <c r="E888" s="105" t="str">
        <f>""</f>
        <v/>
      </c>
      <c r="F888" s="118" t="s">
        <v>1041</v>
      </c>
      <c r="G888" s="103" t="str">
        <f t="shared" si="763"/>
        <v>O</v>
      </c>
      <c r="H888" s="103" t="str">
        <f>"0 "</f>
        <v>0 </v>
      </c>
      <c r="I888" s="104" t="str">
        <f t="shared" ref="I888:J888" si="766">""</f>
        <v/>
      </c>
      <c r="J888" s="104" t="str">
        <f t="shared" si="766"/>
        <v/>
      </c>
      <c r="K888" s="104"/>
      <c r="L888" s="105"/>
      <c r="M888" s="104"/>
      <c r="N888" s="104"/>
      <c r="O888" s="104"/>
      <c r="P888" s="104"/>
      <c r="Q888" s="104"/>
      <c r="R888" s="104"/>
      <c r="S888" s="104"/>
      <c r="T888" s="107"/>
      <c r="U888" s="107"/>
    </row>
    <row r="889" ht="15.75" hidden="1" customHeight="1">
      <c r="A889" s="117" t="s">
        <v>92</v>
      </c>
      <c r="B889" s="104" t="str">
        <f>"ChargeCategory"</f>
        <v>ChargeCategory</v>
      </c>
      <c r="C889" s="104" t="str">
        <f>"yfs_header_charges.charge_category"</f>
        <v>yfs_header_charges.charge_category</v>
      </c>
      <c r="D889" s="104" t="str">
        <f t="shared" ref="D889:D890" si="768">"string"</f>
        <v>string</v>
      </c>
      <c r="E889" s="105" t="str">
        <f>"20"</f>
        <v>20</v>
      </c>
      <c r="F889" s="118" t="s">
        <v>1042</v>
      </c>
      <c r="G889" s="103" t="str">
        <f>"M"</f>
        <v>M</v>
      </c>
      <c r="H889" s="103" t="str">
        <f t="shared" ref="H889:H890" si="769">"space"</f>
        <v>space</v>
      </c>
      <c r="I889" s="104" t="str">
        <f t="shared" ref="I889:J889" si="767">""</f>
        <v/>
      </c>
      <c r="J889" s="104" t="str">
        <f t="shared" si="767"/>
        <v/>
      </c>
      <c r="K889" s="104"/>
      <c r="L889" s="105"/>
      <c r="M889" s="320"/>
      <c r="N889" s="320"/>
      <c r="O889" s="320"/>
      <c r="P889" s="320"/>
      <c r="Q889" s="320"/>
      <c r="R889" s="320"/>
      <c r="S889" s="320"/>
      <c r="T889" s="320"/>
      <c r="U889" s="320"/>
    </row>
    <row r="890" ht="15.75" hidden="1" customHeight="1">
      <c r="A890" s="117" t="s">
        <v>92</v>
      </c>
      <c r="B890" s="104" t="str">
        <f>"ChargeName"</f>
        <v>ChargeName</v>
      </c>
      <c r="C890" s="104" t="str">
        <f>"yfs_header_charges.charge_name"</f>
        <v>yfs_header_charges.charge_name</v>
      </c>
      <c r="D890" s="104" t="str">
        <f t="shared" si="768"/>
        <v>string</v>
      </c>
      <c r="E890" s="105" t="str">
        <f>"40"</f>
        <v>40</v>
      </c>
      <c r="F890" s="118" t="s">
        <v>1043</v>
      </c>
      <c r="G890" s="103" t="str">
        <f t="shared" ref="G890:G900" si="771">"O"</f>
        <v>O</v>
      </c>
      <c r="H890" s="103" t="str">
        <f t="shared" si="769"/>
        <v>space</v>
      </c>
      <c r="I890" s="104" t="str">
        <f t="shared" ref="I890:J890" si="770">""</f>
        <v/>
      </c>
      <c r="J890" s="104" t="str">
        <f t="shared" si="770"/>
        <v/>
      </c>
      <c r="K890" s="104"/>
      <c r="L890" s="105"/>
      <c r="M890" s="320"/>
      <c r="N890" s="320"/>
      <c r="O890" s="320"/>
      <c r="P890" s="320"/>
      <c r="Q890" s="320"/>
      <c r="R890" s="320"/>
      <c r="S890" s="320"/>
      <c r="T890" s="320"/>
      <c r="U890" s="320"/>
    </row>
    <row r="891" ht="15.75" hidden="1" customHeight="1">
      <c r="A891" s="103"/>
      <c r="B891" s="104" t="str">
        <f>"IsManual"</f>
        <v>IsManual</v>
      </c>
      <c r="C891" s="104" t="str">
        <f>"yfs_header_charges.is_manual"</f>
        <v>yfs_header_charges.is_manual</v>
      </c>
      <c r="D891" s="104" t="str">
        <f>"UNKNOWN"</f>
        <v>UNKNOWN</v>
      </c>
      <c r="E891" s="105" t="str">
        <f>""</f>
        <v/>
      </c>
      <c r="F891" s="104" t="s">
        <v>1044</v>
      </c>
      <c r="G891" s="103" t="str">
        <f t="shared" si="771"/>
        <v>O</v>
      </c>
      <c r="H891" s="103" t="str">
        <f>"null"</f>
        <v>null</v>
      </c>
      <c r="I891" s="104" t="str">
        <f t="shared" ref="I891:I892" si="772">""</f>
        <v/>
      </c>
      <c r="J891" s="104" t="s">
        <v>92</v>
      </c>
      <c r="K891" s="104"/>
      <c r="L891" s="105"/>
      <c r="M891" s="320"/>
      <c r="N891" s="320"/>
      <c r="O891" s="320"/>
      <c r="P891" s="320"/>
      <c r="Q891" s="320"/>
      <c r="R891" s="320"/>
      <c r="S891" s="320"/>
      <c r="T891" s="320"/>
      <c r="U891" s="320"/>
    </row>
    <row r="892" ht="15.75" hidden="1" customHeight="1">
      <c r="A892" s="103" t="s">
        <v>92</v>
      </c>
      <c r="B892" s="104" t="str">
        <f>"Reference"</f>
        <v>Reference</v>
      </c>
      <c r="C892" s="104" t="str">
        <f>"yfs_header_charges.reference"</f>
        <v>yfs_header_charges.reference</v>
      </c>
      <c r="D892" s="104" t="str">
        <f>"string"</f>
        <v>string</v>
      </c>
      <c r="E892" s="105" t="str">
        <f>"50"</f>
        <v>50</v>
      </c>
      <c r="F892" s="118" t="s">
        <v>1045</v>
      </c>
      <c r="G892" s="103" t="str">
        <f t="shared" si="771"/>
        <v>O</v>
      </c>
      <c r="H892" s="103" t="str">
        <f>"space"</f>
        <v>space</v>
      </c>
      <c r="I892" s="104" t="str">
        <f t="shared" si="772"/>
        <v/>
      </c>
      <c r="J892" s="104" t="str">
        <f>""</f>
        <v/>
      </c>
      <c r="K892" s="104"/>
      <c r="L892" s="105"/>
      <c r="M892" s="104"/>
      <c r="N892" s="104"/>
      <c r="O892" s="104"/>
      <c r="P892" s="104"/>
      <c r="Q892" s="104"/>
      <c r="R892" s="104"/>
      <c r="S892" s="104"/>
      <c r="T892" s="107"/>
      <c r="U892" s="107"/>
    </row>
    <row r="893" ht="15.75" hidden="1" customHeight="1">
      <c r="A893" s="236" t="s">
        <v>92</v>
      </c>
      <c r="B893" s="170" t="str">
        <f>"/Order/HeaderTaxes"</f>
        <v>/Order/HeaderTaxes</v>
      </c>
      <c r="C893" s="170"/>
      <c r="D893" s="170"/>
      <c r="E893" s="170"/>
      <c r="F893" s="287"/>
      <c r="G893" s="196" t="str">
        <f t="shared" si="771"/>
        <v>O</v>
      </c>
      <c r="H893" s="170"/>
      <c r="I893" s="170"/>
      <c r="J893" s="170"/>
      <c r="K893" s="170"/>
      <c r="L893" s="170"/>
      <c r="M893" s="170"/>
      <c r="N893" s="170"/>
      <c r="O893" s="170"/>
      <c r="P893" s="170"/>
      <c r="Q893" s="170"/>
      <c r="R893" s="170"/>
      <c r="S893" s="170"/>
      <c r="T893" s="197"/>
      <c r="U893" s="197"/>
    </row>
    <row r="894" ht="15.75" hidden="1" customHeight="1">
      <c r="A894" s="236" t="s">
        <v>92</v>
      </c>
      <c r="B894" s="170" t="str">
        <f>"/Order/HeaderTaxes/HeaderTax/@"</f>
        <v>/Order/HeaderTaxes/HeaderTax/@</v>
      </c>
      <c r="C894" s="170"/>
      <c r="D894" s="170"/>
      <c r="E894" s="170"/>
      <c r="F894" s="287"/>
      <c r="G894" s="196" t="str">
        <f t="shared" si="771"/>
        <v>O</v>
      </c>
      <c r="H894" s="170"/>
      <c r="I894" s="170"/>
      <c r="J894" s="170"/>
      <c r="K894" s="170"/>
      <c r="L894" s="170"/>
      <c r="M894" s="170"/>
      <c r="N894" s="170"/>
      <c r="O894" s="170"/>
      <c r="P894" s="170"/>
      <c r="Q894" s="170"/>
      <c r="R894" s="170"/>
      <c r="S894" s="170"/>
      <c r="T894" s="197"/>
      <c r="U894" s="197"/>
    </row>
    <row r="895" ht="15.75" hidden="1" customHeight="1">
      <c r="A895" s="117" t="s">
        <v>92</v>
      </c>
      <c r="B895" s="104" t="str">
        <f>"ChargeCategory"</f>
        <v>ChargeCategory</v>
      </c>
      <c r="C895" s="104" t="str">
        <f>"yfs_tax_breakup.charge_category"</f>
        <v>yfs_tax_breakup.charge_category</v>
      </c>
      <c r="D895" s="104" t="str">
        <f t="shared" ref="D895:D899" si="773">"string"</f>
        <v>string</v>
      </c>
      <c r="E895" s="105" t="str">
        <f>"20"</f>
        <v>20</v>
      </c>
      <c r="F895" s="118" t="s">
        <v>1046</v>
      </c>
      <c r="G895" s="103" t="str">
        <f t="shared" si="771"/>
        <v>O</v>
      </c>
      <c r="H895" s="103" t="str">
        <f t="shared" ref="H895:H899" si="774">"space"</f>
        <v>space</v>
      </c>
      <c r="I895" s="104" t="str">
        <f t="shared" ref="I895:I903" si="775">""</f>
        <v/>
      </c>
      <c r="J895" s="104" t="str">
        <f>"Sales Tax"</f>
        <v>Sales Tax</v>
      </c>
      <c r="K895" s="104"/>
      <c r="L895" s="105"/>
      <c r="M895" s="104"/>
      <c r="N895" s="104"/>
      <c r="O895" s="104"/>
      <c r="P895" s="104"/>
      <c r="Q895" s="104"/>
      <c r="R895" s="104"/>
      <c r="S895" s="104"/>
      <c r="T895" s="107"/>
      <c r="U895" s="107"/>
    </row>
    <row r="896" ht="15.75" hidden="1" customHeight="1">
      <c r="A896" s="117" t="s">
        <v>92</v>
      </c>
      <c r="B896" s="104" t="str">
        <f>"ChargeName"</f>
        <v>ChargeName</v>
      </c>
      <c r="C896" s="104" t="str">
        <f>"yfs_tax_breakup.charge_name"</f>
        <v>yfs_tax_breakup.charge_name</v>
      </c>
      <c r="D896" s="104" t="str">
        <f t="shared" si="773"/>
        <v>string</v>
      </c>
      <c r="E896" s="105" t="str">
        <f>"40"</f>
        <v>40</v>
      </c>
      <c r="F896" s="118" t="s">
        <v>824</v>
      </c>
      <c r="G896" s="103" t="str">
        <f t="shared" si="771"/>
        <v>O</v>
      </c>
      <c r="H896" s="103" t="str">
        <f t="shared" si="774"/>
        <v>space</v>
      </c>
      <c r="I896" s="104" t="str">
        <f t="shared" si="775"/>
        <v/>
      </c>
      <c r="J896" s="104" t="str">
        <f>"Release 1"</f>
        <v>Release 1</v>
      </c>
      <c r="K896" s="104"/>
      <c r="L896" s="105"/>
      <c r="M896" s="320"/>
      <c r="N896" s="320"/>
      <c r="O896" s="320"/>
      <c r="P896" s="320"/>
      <c r="Q896" s="320"/>
      <c r="R896" s="320"/>
      <c r="S896" s="320"/>
      <c r="T896" s="320"/>
      <c r="U896" s="320"/>
    </row>
    <row r="897" ht="15.75" hidden="1" customHeight="1">
      <c r="A897" s="103"/>
      <c r="B897" s="104" t="str">
        <f>"Reference1"</f>
        <v>Reference1</v>
      </c>
      <c r="C897" s="104" t="str">
        <f>"yfs_tax_breakup.reference1"</f>
        <v>yfs_tax_breakup.reference1</v>
      </c>
      <c r="D897" s="104" t="str">
        <f t="shared" si="773"/>
        <v>string</v>
      </c>
      <c r="E897" s="105" t="str">
        <f t="shared" ref="E897:E899" si="776">"100"</f>
        <v>100</v>
      </c>
      <c r="F897" s="118" t="s">
        <v>825</v>
      </c>
      <c r="G897" s="103" t="str">
        <f t="shared" si="771"/>
        <v>O</v>
      </c>
      <c r="H897" s="103" t="str">
        <f t="shared" si="774"/>
        <v>space</v>
      </c>
      <c r="I897" s="104" t="str">
        <f t="shared" si="775"/>
        <v/>
      </c>
      <c r="J897" s="104" t="str">
        <f t="shared" ref="J897:J899" si="777">""</f>
        <v/>
      </c>
      <c r="K897" s="104"/>
      <c r="L897" s="105"/>
      <c r="M897" s="104"/>
      <c r="N897" s="104"/>
      <c r="O897" s="104"/>
      <c r="P897" s="104"/>
      <c r="Q897" s="104"/>
      <c r="R897" s="104"/>
      <c r="S897" s="104"/>
      <c r="T897" s="107"/>
      <c r="U897" s="107"/>
    </row>
    <row r="898" ht="15.75" hidden="1" customHeight="1">
      <c r="A898" s="103"/>
      <c r="B898" s="104" t="str">
        <f>"Reference2"</f>
        <v>Reference2</v>
      </c>
      <c r="C898" s="104" t="str">
        <f>"yfs_tax_breakup.reference2"</f>
        <v>yfs_tax_breakup.reference2</v>
      </c>
      <c r="D898" s="104" t="str">
        <f t="shared" si="773"/>
        <v>string</v>
      </c>
      <c r="E898" s="105" t="str">
        <f t="shared" si="776"/>
        <v>100</v>
      </c>
      <c r="F898" s="104" t="s">
        <v>825</v>
      </c>
      <c r="G898" s="103" t="str">
        <f t="shared" si="771"/>
        <v>O</v>
      </c>
      <c r="H898" s="103" t="str">
        <f t="shared" si="774"/>
        <v>space</v>
      </c>
      <c r="I898" s="104" t="str">
        <f t="shared" si="775"/>
        <v/>
      </c>
      <c r="J898" s="104" t="str">
        <f t="shared" si="777"/>
        <v/>
      </c>
      <c r="K898" s="104"/>
      <c r="L898" s="105"/>
      <c r="M898" s="104"/>
      <c r="N898" s="104"/>
      <c r="O898" s="104"/>
      <c r="P898" s="104"/>
      <c r="Q898" s="104"/>
      <c r="R898" s="104"/>
      <c r="S898" s="104"/>
      <c r="T898" s="107"/>
      <c r="U898" s="107"/>
    </row>
    <row r="899" ht="15.75" hidden="1" customHeight="1">
      <c r="A899" s="103"/>
      <c r="B899" s="104" t="str">
        <f>"Reference3"</f>
        <v>Reference3</v>
      </c>
      <c r="C899" s="104" t="str">
        <f>"yfs_tax_breakup.reference3"</f>
        <v>yfs_tax_breakup.reference3</v>
      </c>
      <c r="D899" s="104" t="str">
        <f t="shared" si="773"/>
        <v>string</v>
      </c>
      <c r="E899" s="105" t="str">
        <f t="shared" si="776"/>
        <v>100</v>
      </c>
      <c r="F899" s="104" t="s">
        <v>825</v>
      </c>
      <c r="G899" s="103" t="str">
        <f t="shared" si="771"/>
        <v>O</v>
      </c>
      <c r="H899" s="103" t="str">
        <f t="shared" si="774"/>
        <v>space</v>
      </c>
      <c r="I899" s="104" t="str">
        <f t="shared" si="775"/>
        <v/>
      </c>
      <c r="J899" s="104" t="str">
        <f t="shared" si="777"/>
        <v/>
      </c>
      <c r="K899" s="104"/>
      <c r="L899" s="105"/>
      <c r="M899" s="104"/>
      <c r="N899" s="104"/>
      <c r="O899" s="104"/>
      <c r="P899" s="104"/>
      <c r="Q899" s="104"/>
      <c r="R899" s="104"/>
      <c r="S899" s="104"/>
      <c r="T899" s="107"/>
      <c r="U899" s="107"/>
    </row>
    <row r="900" ht="15.75" hidden="1" customHeight="1">
      <c r="A900" s="117" t="s">
        <v>92</v>
      </c>
      <c r="B900" s="104" t="str">
        <f>"Tax"</f>
        <v>Tax</v>
      </c>
      <c r="C900" s="104" t="str">
        <f>"yfs_tax_breakup.tax"</f>
        <v>yfs_tax_breakup.tax</v>
      </c>
      <c r="D900" s="104" t="str">
        <f>"UNKNOWN"</f>
        <v>UNKNOWN</v>
      </c>
      <c r="E900" s="105" t="str">
        <f>""</f>
        <v/>
      </c>
      <c r="F900" s="118" t="s">
        <v>1047</v>
      </c>
      <c r="G900" s="103" t="str">
        <f t="shared" si="771"/>
        <v>O</v>
      </c>
      <c r="H900" s="103" t="str">
        <f>"0 "</f>
        <v>0 </v>
      </c>
      <c r="I900" s="104" t="str">
        <f t="shared" si="775"/>
        <v/>
      </c>
      <c r="J900" s="104" t="str">
        <f>"35.44"</f>
        <v>35.44</v>
      </c>
      <c r="K900" s="104"/>
      <c r="L900" s="105"/>
      <c r="M900" s="104"/>
      <c r="N900" s="104"/>
      <c r="O900" s="104"/>
      <c r="P900" s="104"/>
      <c r="Q900" s="104"/>
      <c r="R900" s="104"/>
      <c r="S900" s="104"/>
      <c r="T900" s="107"/>
      <c r="U900" s="107"/>
    </row>
    <row r="901" ht="15.75" hidden="1" customHeight="1">
      <c r="A901" s="117" t="s">
        <v>92</v>
      </c>
      <c r="B901" s="104" t="str">
        <f>"TaxName"</f>
        <v>TaxName</v>
      </c>
      <c r="C901" s="104" t="str">
        <f>"yfs_tax_breakup.tax_name"</f>
        <v>yfs_tax_breakup.tax_name</v>
      </c>
      <c r="D901" s="104" t="str">
        <f>"string"</f>
        <v>string</v>
      </c>
      <c r="E901" s="105" t="str">
        <f>"40"</f>
        <v>40</v>
      </c>
      <c r="F901" s="118" t="s">
        <v>1048</v>
      </c>
      <c r="G901" s="103" t="str">
        <f>"M"</f>
        <v>M</v>
      </c>
      <c r="H901" s="103" t="str">
        <f>"space"</f>
        <v>space</v>
      </c>
      <c r="I901" s="104" t="str">
        <f t="shared" si="775"/>
        <v/>
      </c>
      <c r="J901" s="104"/>
      <c r="K901" s="104"/>
      <c r="L901" s="105"/>
      <c r="M901" s="320"/>
      <c r="N901" s="320"/>
      <c r="O901" s="320"/>
      <c r="P901" s="320"/>
      <c r="Q901" s="320"/>
      <c r="R901" s="320"/>
      <c r="S901" s="320"/>
      <c r="T901" s="320"/>
      <c r="U901" s="320"/>
    </row>
    <row r="902" ht="15.75" hidden="1" customHeight="1">
      <c r="A902" s="103"/>
      <c r="B902" s="104" t="str">
        <f>"TaxPercentage"</f>
        <v>TaxPercentage</v>
      </c>
      <c r="C902" s="104" t="str">
        <f>"yfs_tax_breakup.tax_percentage"</f>
        <v>yfs_tax_breakup.tax_percentage</v>
      </c>
      <c r="D902" s="104" t="str">
        <f>"decimal"</f>
        <v>decimal</v>
      </c>
      <c r="E902" s="105" t="str">
        <f>"8,5"</f>
        <v>8,5</v>
      </c>
      <c r="F902" s="118" t="s">
        <v>830</v>
      </c>
      <c r="G902" s="103" t="str">
        <f t="shared" ref="G902:G905" si="778">"O"</f>
        <v>O</v>
      </c>
      <c r="H902" s="103" t="str">
        <f>"0 "</f>
        <v>0 </v>
      </c>
      <c r="I902" s="104" t="str">
        <f t="shared" si="775"/>
        <v/>
      </c>
      <c r="J902" s="104" t="str">
        <f>"8.25"</f>
        <v>8.25</v>
      </c>
      <c r="K902" s="104"/>
      <c r="L902" s="105"/>
      <c r="M902" s="104"/>
      <c r="N902" s="104"/>
      <c r="O902" s="104"/>
      <c r="P902" s="104"/>
      <c r="Q902" s="104"/>
      <c r="R902" s="104"/>
      <c r="S902" s="104"/>
      <c r="T902" s="107"/>
      <c r="U902" s="107"/>
    </row>
    <row r="903" ht="15.75" hidden="1" customHeight="1">
      <c r="A903" s="117" t="s">
        <v>92</v>
      </c>
      <c r="B903" s="104" t="str">
        <f>"TaxableFlag"</f>
        <v>TaxableFlag</v>
      </c>
      <c r="C903" s="104" t="str">
        <f>"yfs_tax_breakup.taxable_flag"</f>
        <v>yfs_tax_breakup.taxable_flag</v>
      </c>
      <c r="D903" s="104" t="str">
        <f>"string"</f>
        <v>string</v>
      </c>
      <c r="E903" s="105" t="str">
        <f>"1"</f>
        <v>1</v>
      </c>
      <c r="F903" s="118" t="s">
        <v>831</v>
      </c>
      <c r="G903" s="103" t="str">
        <f t="shared" si="778"/>
        <v>O</v>
      </c>
      <c r="H903" s="103" t="str">
        <f>"N "</f>
        <v>N </v>
      </c>
      <c r="I903" s="104" t="str">
        <f t="shared" si="775"/>
        <v/>
      </c>
      <c r="J903" s="104" t="str">
        <f>"Y"</f>
        <v>Y</v>
      </c>
      <c r="K903" s="104"/>
      <c r="L903" s="105"/>
      <c r="M903" s="320"/>
      <c r="N903" s="320"/>
      <c r="O903" s="320"/>
      <c r="P903" s="320"/>
      <c r="Q903" s="320"/>
      <c r="R903" s="320"/>
      <c r="S903" s="320"/>
      <c r="T903" s="320"/>
      <c r="U903" s="320"/>
    </row>
    <row r="904" ht="15.75" hidden="1" customHeight="1">
      <c r="A904" s="196"/>
      <c r="B904" s="170" t="str">
        <f>"/Order/References"</f>
        <v>/Order/References</v>
      </c>
      <c r="C904" s="170"/>
      <c r="D904" s="170"/>
      <c r="E904" s="170"/>
      <c r="F904" s="170"/>
      <c r="G904" s="196" t="str">
        <f t="shared" si="778"/>
        <v>O</v>
      </c>
      <c r="H904" s="170"/>
      <c r="I904" s="170"/>
      <c r="J904" s="170"/>
      <c r="K904" s="170"/>
      <c r="L904" s="170"/>
      <c r="M904" s="170"/>
      <c r="N904" s="170"/>
      <c r="O904" s="170"/>
      <c r="P904" s="170"/>
      <c r="Q904" s="170"/>
      <c r="R904" s="170"/>
      <c r="S904" s="170"/>
      <c r="T904" s="197"/>
      <c r="U904" s="197"/>
    </row>
    <row r="905" ht="15.75" hidden="1" customHeight="1">
      <c r="A905" s="196"/>
      <c r="B905" s="170" t="str">
        <f>"/Order/References/Reference/@"</f>
        <v>/Order/References/Reference/@</v>
      </c>
      <c r="C905" s="170"/>
      <c r="D905" s="170"/>
      <c r="E905" s="170"/>
      <c r="F905" s="170"/>
      <c r="G905" s="196" t="str">
        <f t="shared" si="778"/>
        <v>O</v>
      </c>
      <c r="H905" s="170"/>
      <c r="I905" s="170"/>
      <c r="J905" s="170"/>
      <c r="K905" s="170"/>
      <c r="L905" s="170"/>
      <c r="M905" s="170"/>
      <c r="N905" s="170"/>
      <c r="O905" s="170"/>
      <c r="P905" s="170"/>
      <c r="Q905" s="170"/>
      <c r="R905" s="170"/>
      <c r="S905" s="170"/>
      <c r="T905" s="197"/>
      <c r="U905" s="197"/>
    </row>
    <row r="906" ht="15.75" hidden="1" customHeight="1">
      <c r="A906" s="103"/>
      <c r="B906" s="104" t="str">
        <f>"Name"</f>
        <v>Name</v>
      </c>
      <c r="C906" s="104" t="str">
        <f t="shared" ref="C906:C907" si="780">""</f>
        <v/>
      </c>
      <c r="D906" s="104" t="str">
        <f t="shared" ref="D906:D907" si="781">"string"</f>
        <v>string</v>
      </c>
      <c r="E906" s="105" t="str">
        <f>"40"</f>
        <v>40</v>
      </c>
      <c r="F906" s="104" t="s">
        <v>83</v>
      </c>
      <c r="G906" s="103" t="str">
        <f>"M"</f>
        <v>M</v>
      </c>
      <c r="H906" s="103" t="str">
        <f t="shared" ref="H906:J906" si="779">""</f>
        <v/>
      </c>
      <c r="I906" s="104" t="str">
        <f t="shared" si="779"/>
        <v/>
      </c>
      <c r="J906" s="104" t="str">
        <f t="shared" si="779"/>
        <v/>
      </c>
      <c r="K906" s="104"/>
      <c r="L906" s="105"/>
      <c r="M906" s="104"/>
      <c r="N906" s="104"/>
      <c r="O906" s="104"/>
      <c r="P906" s="104"/>
      <c r="Q906" s="104"/>
      <c r="R906" s="104"/>
      <c r="S906" s="104"/>
      <c r="T906" s="107"/>
      <c r="U906" s="107"/>
    </row>
    <row r="907" ht="15.75" hidden="1" customHeight="1">
      <c r="A907" s="103"/>
      <c r="B907" s="104" t="str">
        <f>"Value"</f>
        <v>Value</v>
      </c>
      <c r="C907" s="104" t="str">
        <f t="shared" si="780"/>
        <v/>
      </c>
      <c r="D907" s="104" t="str">
        <f t="shared" si="781"/>
        <v>string</v>
      </c>
      <c r="E907" s="105" t="str">
        <f>"254"</f>
        <v>254</v>
      </c>
      <c r="F907" s="104" t="s">
        <v>1049</v>
      </c>
      <c r="G907" s="103" t="str">
        <f t="shared" ref="G907:G941" si="783">"O"</f>
        <v>O</v>
      </c>
      <c r="H907" s="103" t="str">
        <f t="shared" ref="H907:J907" si="782">""</f>
        <v/>
      </c>
      <c r="I907" s="104" t="str">
        <f t="shared" si="782"/>
        <v/>
      </c>
      <c r="J907" s="104" t="str">
        <f t="shared" si="782"/>
        <v/>
      </c>
      <c r="K907" s="104"/>
      <c r="L907" s="105"/>
      <c r="M907" s="104"/>
      <c r="N907" s="104"/>
      <c r="O907" s="104"/>
      <c r="P907" s="104"/>
      <c r="Q907" s="104"/>
      <c r="R907" s="104"/>
      <c r="S907" s="104"/>
      <c r="T907" s="107"/>
      <c r="U907" s="107"/>
    </row>
    <row r="908" ht="15.75" hidden="1" customHeight="1">
      <c r="A908" s="196" t="s">
        <v>92</v>
      </c>
      <c r="B908" s="170" t="str">
        <f>"/Order/PaymentMethods"</f>
        <v>/Order/PaymentMethods</v>
      </c>
      <c r="C908" s="170"/>
      <c r="D908" s="170"/>
      <c r="E908" s="170"/>
      <c r="F908" s="287"/>
      <c r="G908" s="196" t="str">
        <f t="shared" si="783"/>
        <v>O</v>
      </c>
      <c r="H908" s="170"/>
      <c r="I908" s="170"/>
      <c r="J908" s="170"/>
      <c r="K908" s="170"/>
      <c r="L908" s="170"/>
      <c r="M908" s="170"/>
      <c r="N908" s="170"/>
      <c r="O908" s="170"/>
      <c r="P908" s="170"/>
      <c r="Q908" s="170"/>
      <c r="R908" s="170"/>
      <c r="S908" s="170"/>
      <c r="T908" s="197"/>
      <c r="U908" s="197"/>
    </row>
    <row r="909" ht="15.75" hidden="1" customHeight="1">
      <c r="A909" s="196" t="s">
        <v>92</v>
      </c>
      <c r="B909" s="170" t="str">
        <f>"/Order/PaymentMethods/PaymentMethod/@"</f>
        <v>/Order/PaymentMethods/PaymentMethod/@</v>
      </c>
      <c r="C909" s="170"/>
      <c r="D909" s="170"/>
      <c r="E909" s="170"/>
      <c r="F909" s="287"/>
      <c r="G909" s="196" t="str">
        <f t="shared" si="783"/>
        <v>O</v>
      </c>
      <c r="H909" s="170"/>
      <c r="I909" s="170"/>
      <c r="J909" s="170"/>
      <c r="K909" s="170"/>
      <c r="L909" s="170"/>
      <c r="M909" s="170"/>
      <c r="N909" s="170"/>
      <c r="O909" s="170"/>
      <c r="P909" s="170"/>
      <c r="Q909" s="170"/>
      <c r="R909" s="170"/>
      <c r="S909" s="170"/>
      <c r="T909" s="197"/>
      <c r="U909" s="197"/>
    </row>
    <row r="910" ht="15.75" hidden="1" customHeight="1">
      <c r="A910" s="103"/>
      <c r="B910" s="104" t="str">
        <f>"BillToKey"</f>
        <v>BillToKey</v>
      </c>
      <c r="C910" s="104" t="str">
        <f>"yfs_payment.bill_to_key"</f>
        <v>yfs_payment.bill_to_key</v>
      </c>
      <c r="D910" s="104" t="str">
        <f>"string"</f>
        <v>string</v>
      </c>
      <c r="E910" s="105" t="str">
        <f>"24"</f>
        <v>24</v>
      </c>
      <c r="F910" s="104" t="s">
        <v>1050</v>
      </c>
      <c r="G910" s="103" t="str">
        <f t="shared" si="783"/>
        <v>O</v>
      </c>
      <c r="H910" s="103" t="str">
        <f>"space"</f>
        <v>space</v>
      </c>
      <c r="I910" s="104" t="str">
        <f>""</f>
        <v/>
      </c>
      <c r="J910" s="104" t="str">
        <f>"2010050314595409542"</f>
        <v>2010050314595409542</v>
      </c>
      <c r="K910" s="104"/>
      <c r="L910" s="105"/>
      <c r="M910" s="104"/>
      <c r="N910" s="104"/>
      <c r="O910" s="104"/>
      <c r="P910" s="104"/>
      <c r="Q910" s="104"/>
      <c r="R910" s="104"/>
      <c r="S910" s="104"/>
      <c r="T910" s="107"/>
      <c r="U910" s="107"/>
    </row>
    <row r="911" ht="15.75" hidden="1" customHeight="1">
      <c r="A911" s="103"/>
      <c r="B911" s="104" t="str">
        <f>"CashBackAmount"</f>
        <v>CashBackAmount</v>
      </c>
      <c r="C911" s="104" t="str">
        <f>"yfs_payment.cash_back_amount"</f>
        <v>yfs_payment.cash_back_amount</v>
      </c>
      <c r="D911" s="104" t="str">
        <f>"UNKNOWN"</f>
        <v>UNKNOWN</v>
      </c>
      <c r="E911" s="105" t="str">
        <f>""</f>
        <v/>
      </c>
      <c r="F911" s="104" t="s">
        <v>1051</v>
      </c>
      <c r="G911" s="103" t="str">
        <f t="shared" si="783"/>
        <v>O</v>
      </c>
      <c r="H911" s="103" t="str">
        <f t="shared" ref="H911:J911" si="784">""</f>
        <v/>
      </c>
      <c r="I911" s="104" t="str">
        <f t="shared" si="784"/>
        <v/>
      </c>
      <c r="J911" s="104" t="str">
        <f t="shared" si="784"/>
        <v/>
      </c>
      <c r="K911" s="104"/>
      <c r="L911" s="105"/>
      <c r="M911" s="104"/>
      <c r="N911" s="104"/>
      <c r="O911" s="104"/>
      <c r="P911" s="104"/>
      <c r="Q911" s="104"/>
      <c r="R911" s="104"/>
      <c r="S911" s="104"/>
      <c r="T911" s="107"/>
      <c r="U911" s="107"/>
    </row>
    <row r="912" ht="15.75" hidden="1" customHeight="1">
      <c r="A912" s="103"/>
      <c r="B912" s="104" t="str">
        <f>"ChargeSequence"</f>
        <v>ChargeSequence</v>
      </c>
      <c r="C912" s="104" t="str">
        <f>"yfs_payment.charge_sequence"</f>
        <v>yfs_payment.charge_sequence</v>
      </c>
      <c r="D912" s="104" t="str">
        <f>"nonNegativeInteger"</f>
        <v>nonNegativeInteger</v>
      </c>
      <c r="E912" s="105" t="str">
        <f>"5"</f>
        <v>5</v>
      </c>
      <c r="F912" s="104" t="s">
        <v>1052</v>
      </c>
      <c r="G912" s="103" t="str">
        <f t="shared" si="783"/>
        <v>O</v>
      </c>
      <c r="H912" s="103" t="str">
        <f>"0 "</f>
        <v>0 </v>
      </c>
      <c r="I912" s="104" t="str">
        <f t="shared" ref="I912:I920" si="785">""</f>
        <v/>
      </c>
      <c r="J912" s="104" t="str">
        <f>"1"</f>
        <v>1</v>
      </c>
      <c r="K912" s="104"/>
      <c r="L912" s="105"/>
      <c r="M912" s="104"/>
      <c r="N912" s="104"/>
      <c r="O912" s="104"/>
      <c r="P912" s="104"/>
      <c r="Q912" s="104"/>
      <c r="R912" s="104"/>
      <c r="S912" s="104"/>
      <c r="T912" s="107"/>
      <c r="U912" s="107"/>
    </row>
    <row r="913" ht="15.75" hidden="1" customHeight="1">
      <c r="A913" s="103"/>
      <c r="B913" s="104" t="str">
        <f>"CheckNo"</f>
        <v>CheckNo</v>
      </c>
      <c r="C913" s="104" t="str">
        <f>"yfs_payment.cheque_no"</f>
        <v>yfs_payment.cheque_no</v>
      </c>
      <c r="D913" s="104" t="str">
        <f t="shared" ref="D913:D929" si="786">"string"</f>
        <v>string</v>
      </c>
      <c r="E913" s="105" t="str">
        <f t="shared" ref="E913:E914" si="787">"100"</f>
        <v>100</v>
      </c>
      <c r="F913" s="104" t="s">
        <v>1053</v>
      </c>
      <c r="G913" s="103" t="str">
        <f t="shared" si="783"/>
        <v>O</v>
      </c>
      <c r="H913" s="103" t="str">
        <f t="shared" ref="H913:H920" si="788">"space"</f>
        <v>space</v>
      </c>
      <c r="I913" s="104" t="str">
        <f t="shared" si="785"/>
        <v/>
      </c>
      <c r="J913" s="104" t="str">
        <f t="shared" ref="J913:J915" si="789">""</f>
        <v/>
      </c>
      <c r="K913" s="104"/>
      <c r="L913" s="105"/>
      <c r="M913" s="104"/>
      <c r="N913" s="104"/>
      <c r="O913" s="104"/>
      <c r="P913" s="104"/>
      <c r="Q913" s="104"/>
      <c r="R913" s="104"/>
      <c r="S913" s="104"/>
      <c r="T913" s="107"/>
      <c r="U913" s="107"/>
    </row>
    <row r="914" ht="15.75" hidden="1" customHeight="1">
      <c r="A914" s="103"/>
      <c r="B914" s="104" t="str">
        <f>"CheckReference"</f>
        <v>CheckReference</v>
      </c>
      <c r="C914" s="104" t="str">
        <f>"yfs_payment.cheque_reference"</f>
        <v>yfs_payment.cheque_reference</v>
      </c>
      <c r="D914" s="104" t="str">
        <f t="shared" si="786"/>
        <v>string</v>
      </c>
      <c r="E914" s="105" t="str">
        <f t="shared" si="787"/>
        <v>100</v>
      </c>
      <c r="F914" s="104" t="s">
        <v>1054</v>
      </c>
      <c r="G914" s="103" t="str">
        <f t="shared" si="783"/>
        <v>O</v>
      </c>
      <c r="H914" s="103" t="str">
        <f t="shared" si="788"/>
        <v>space</v>
      </c>
      <c r="I914" s="104" t="str">
        <f t="shared" si="785"/>
        <v/>
      </c>
      <c r="J914" s="104" t="str">
        <f t="shared" si="789"/>
        <v/>
      </c>
      <c r="K914" s="104"/>
      <c r="L914" s="105"/>
      <c r="M914" s="104"/>
      <c r="N914" s="104"/>
      <c r="O914" s="104"/>
      <c r="P914" s="104"/>
      <c r="Q914" s="104"/>
      <c r="R914" s="104"/>
      <c r="S914" s="104"/>
      <c r="T914" s="107"/>
      <c r="U914" s="107"/>
    </row>
    <row r="915" ht="15.75" hidden="1" customHeight="1">
      <c r="A915" s="103" t="s">
        <v>92</v>
      </c>
      <c r="B915" s="104" t="str">
        <f>"CreditCardExpDate"</f>
        <v>CreditCardExpDate</v>
      </c>
      <c r="C915" s="104" t="str">
        <f>"yfs_payment.credit_card_exp_date"</f>
        <v>yfs_payment.credit_card_exp_date</v>
      </c>
      <c r="D915" s="104" t="str">
        <f t="shared" si="786"/>
        <v>string</v>
      </c>
      <c r="E915" s="105" t="str">
        <f>"30"</f>
        <v>30</v>
      </c>
      <c r="F915" s="118" t="s">
        <v>1055</v>
      </c>
      <c r="G915" s="103" t="str">
        <f t="shared" si="783"/>
        <v>O</v>
      </c>
      <c r="H915" s="103" t="str">
        <f t="shared" si="788"/>
        <v>space</v>
      </c>
      <c r="I915" s="104" t="str">
        <f t="shared" si="785"/>
        <v/>
      </c>
      <c r="J915" s="104" t="str">
        <f t="shared" si="789"/>
        <v/>
      </c>
      <c r="K915" s="104"/>
      <c r="L915" s="105"/>
      <c r="M915" s="104"/>
      <c r="N915" s="104"/>
      <c r="O915" s="104"/>
      <c r="P915" s="104"/>
      <c r="Q915" s="104"/>
      <c r="R915" s="104"/>
      <c r="S915" s="104"/>
      <c r="T915" s="107"/>
      <c r="U915" s="107"/>
    </row>
    <row r="916" ht="15.75" hidden="1" customHeight="1">
      <c r="A916" s="103" t="s">
        <v>92</v>
      </c>
      <c r="B916" s="104" t="str">
        <f>"CreditCardName"</f>
        <v>CreditCardName</v>
      </c>
      <c r="C916" s="104" t="str">
        <f>"yfs_payment.credit_card_name"</f>
        <v>yfs_payment.credit_card_name</v>
      </c>
      <c r="D916" s="104" t="str">
        <f t="shared" si="786"/>
        <v>string</v>
      </c>
      <c r="E916" s="105" t="str">
        <f>"300"</f>
        <v>300</v>
      </c>
      <c r="F916" s="118" t="s">
        <v>1056</v>
      </c>
      <c r="G916" s="103" t="str">
        <f t="shared" si="783"/>
        <v>O</v>
      </c>
      <c r="H916" s="103" t="str">
        <f t="shared" si="788"/>
        <v>space</v>
      </c>
      <c r="I916" s="104" t="str">
        <f t="shared" si="785"/>
        <v/>
      </c>
      <c r="J916" s="104" t="str">
        <f>"VISA"</f>
        <v>VISA</v>
      </c>
      <c r="K916" s="104"/>
      <c r="L916" s="105"/>
      <c r="M916" s="104"/>
      <c r="N916" s="104"/>
      <c r="O916" s="104"/>
      <c r="P916" s="104"/>
      <c r="Q916" s="104"/>
      <c r="R916" s="104"/>
      <c r="S916" s="104"/>
      <c r="T916" s="107"/>
      <c r="U916" s="107"/>
    </row>
    <row r="917" ht="15.75" hidden="1" customHeight="1">
      <c r="A917" s="103" t="s">
        <v>92</v>
      </c>
      <c r="B917" s="104" t="str">
        <f>"CreditCardNo"</f>
        <v>CreditCardNo</v>
      </c>
      <c r="C917" s="104" t="str">
        <f>"yfs_payment.credit_card_no"</f>
        <v>yfs_payment.credit_card_no</v>
      </c>
      <c r="D917" s="104" t="str">
        <f t="shared" si="786"/>
        <v>string</v>
      </c>
      <c r="E917" s="105" t="str">
        <f>"1000"</f>
        <v>1000</v>
      </c>
      <c r="F917" s="118" t="s">
        <v>1057</v>
      </c>
      <c r="G917" s="103" t="str">
        <f t="shared" si="783"/>
        <v>O</v>
      </c>
      <c r="H917" s="103" t="str">
        <f t="shared" si="788"/>
        <v>space</v>
      </c>
      <c r="I917" s="104" t="str">
        <f t="shared" si="785"/>
        <v/>
      </c>
      <c r="J917" s="104" t="str">
        <f>"4444555566667777"</f>
        <v>4444555566667777</v>
      </c>
      <c r="K917" s="104"/>
      <c r="L917" s="105"/>
      <c r="M917" s="297"/>
      <c r="N917" s="297"/>
      <c r="O917" s="297"/>
      <c r="P917" s="297"/>
      <c r="Q917" s="297"/>
      <c r="R917" s="297"/>
      <c r="S917" s="297"/>
      <c r="T917" s="298"/>
      <c r="U917" s="298"/>
    </row>
    <row r="918" ht="15.75" hidden="1" customHeight="1">
      <c r="A918" s="103" t="s">
        <v>92</v>
      </c>
      <c r="B918" s="104" t="str">
        <f>"CreditCardType"</f>
        <v>CreditCardType</v>
      </c>
      <c r="C918" s="104" t="str">
        <f>"yfs_payment.credit_card_type"</f>
        <v>yfs_payment.credit_card_type</v>
      </c>
      <c r="D918" s="104" t="str">
        <f t="shared" si="786"/>
        <v>string</v>
      </c>
      <c r="E918" s="105" t="str">
        <f>"32"</f>
        <v>32</v>
      </c>
      <c r="F918" s="118" t="s">
        <v>1058</v>
      </c>
      <c r="G918" s="103" t="str">
        <f t="shared" si="783"/>
        <v>O</v>
      </c>
      <c r="H918" s="103" t="str">
        <f t="shared" si="788"/>
        <v>space</v>
      </c>
      <c r="I918" s="104" t="str">
        <f t="shared" si="785"/>
        <v/>
      </c>
      <c r="J918" s="104" t="str">
        <f>"VISA"</f>
        <v>VISA</v>
      </c>
      <c r="K918" s="104"/>
      <c r="L918" s="105"/>
      <c r="M918" s="104"/>
      <c r="N918" s="104"/>
      <c r="O918" s="104"/>
      <c r="P918" s="104"/>
      <c r="Q918" s="104"/>
      <c r="R918" s="104"/>
      <c r="S918" s="104"/>
      <c r="T918" s="107"/>
      <c r="U918" s="107"/>
    </row>
    <row r="919" ht="15.75" hidden="1" customHeight="1">
      <c r="A919" s="103"/>
      <c r="B919" s="104" t="str">
        <f>"CustomerAccountNo"</f>
        <v>CustomerAccountNo</v>
      </c>
      <c r="C919" s="104" t="str">
        <f>"yfs_payment.customer_account_no"</f>
        <v>yfs_payment.customer_account_no</v>
      </c>
      <c r="D919" s="104" t="str">
        <f t="shared" si="786"/>
        <v>string</v>
      </c>
      <c r="E919" s="105" t="str">
        <f>"40"</f>
        <v>40</v>
      </c>
      <c r="F919" s="118" t="s">
        <v>1059</v>
      </c>
      <c r="G919" s="103" t="str">
        <f t="shared" si="783"/>
        <v>O</v>
      </c>
      <c r="H919" s="103" t="str">
        <f t="shared" si="788"/>
        <v>space</v>
      </c>
      <c r="I919" s="104" t="str">
        <f t="shared" si="785"/>
        <v/>
      </c>
      <c r="J919" s="104" t="str">
        <f>""</f>
        <v/>
      </c>
      <c r="K919" s="104"/>
      <c r="L919" s="105"/>
      <c r="M919" s="320"/>
      <c r="N919" s="320"/>
      <c r="O919" s="320"/>
      <c r="P919" s="320"/>
      <c r="Q919" s="320"/>
      <c r="R919" s="320"/>
      <c r="S919" s="320"/>
      <c r="T919" s="320"/>
      <c r="U919" s="320"/>
    </row>
    <row r="920" ht="15.75" hidden="1" customHeight="1">
      <c r="A920" s="103"/>
      <c r="B920" s="104" t="str">
        <f>"CustomerPONo"</f>
        <v>CustomerPONo</v>
      </c>
      <c r="C920" s="104" t="str">
        <f>"yfs_payment.customer_po_no"</f>
        <v>yfs_payment.customer_po_no</v>
      </c>
      <c r="D920" s="104" t="str">
        <f t="shared" si="786"/>
        <v>string</v>
      </c>
      <c r="E920" s="105" t="str">
        <f>"100"</f>
        <v>100</v>
      </c>
      <c r="F920" s="104" t="s">
        <v>1060</v>
      </c>
      <c r="G920" s="103" t="str">
        <f t="shared" si="783"/>
        <v>O</v>
      </c>
      <c r="H920" s="103" t="str">
        <f t="shared" si="788"/>
        <v>space</v>
      </c>
      <c r="I920" s="104" t="str">
        <f t="shared" si="785"/>
        <v/>
      </c>
      <c r="J920" s="104" t="str">
        <f>"123456789"</f>
        <v>123456789</v>
      </c>
      <c r="K920" s="104"/>
      <c r="L920" s="105"/>
      <c r="M920" s="104"/>
      <c r="N920" s="104"/>
      <c r="O920" s="104"/>
      <c r="P920" s="104"/>
      <c r="Q920" s="104"/>
      <c r="R920" s="104"/>
      <c r="S920" s="104"/>
      <c r="T920" s="107"/>
      <c r="U920" s="107"/>
    </row>
    <row r="921" ht="15.75" hidden="1" customHeight="1">
      <c r="A921" s="103"/>
      <c r="B921" s="104" t="str">
        <f>"DebitCardNo"</f>
        <v>DebitCardNo</v>
      </c>
      <c r="C921" s="104" t="str">
        <f>"yfs_payment.debit_card_no"</f>
        <v>yfs_payment.debit_card_no</v>
      </c>
      <c r="D921" s="104" t="str">
        <f t="shared" si="786"/>
        <v>string</v>
      </c>
      <c r="E921" s="105" t="str">
        <f>"1000"</f>
        <v>1000</v>
      </c>
      <c r="F921" s="118" t="s">
        <v>1061</v>
      </c>
      <c r="G921" s="103" t="str">
        <f t="shared" si="783"/>
        <v>O</v>
      </c>
      <c r="H921" s="103" t="str">
        <f t="shared" ref="H921:J921" si="790">""</f>
        <v/>
      </c>
      <c r="I921" s="104" t="str">
        <f t="shared" si="790"/>
        <v/>
      </c>
      <c r="J921" s="104" t="str">
        <f t="shared" si="790"/>
        <v/>
      </c>
      <c r="K921" s="104"/>
      <c r="L921" s="105"/>
      <c r="M921" s="104"/>
      <c r="N921" s="104"/>
      <c r="O921" s="104"/>
      <c r="P921" s="104"/>
      <c r="Q921" s="104"/>
      <c r="R921" s="104"/>
      <c r="S921" s="104"/>
      <c r="T921" s="107"/>
      <c r="U921" s="107"/>
    </row>
    <row r="922" ht="15.75" hidden="1" customHeight="1">
      <c r="A922" s="103" t="s">
        <v>92</v>
      </c>
      <c r="B922" s="104" t="str">
        <f>"DisplayCreditCardNo"</f>
        <v>DisplayCreditCardNo</v>
      </c>
      <c r="C922" s="104" t="str">
        <f>"yfs_payment.display_credit_card_no"</f>
        <v>yfs_payment.display_credit_card_no</v>
      </c>
      <c r="D922" s="104" t="str">
        <f t="shared" si="786"/>
        <v>string</v>
      </c>
      <c r="E922" s="105" t="str">
        <f t="shared" ref="E922:E926" si="791">"4"</f>
        <v>4</v>
      </c>
      <c r="F922" s="104" t="s">
        <v>1062</v>
      </c>
      <c r="G922" s="103" t="str">
        <f t="shared" si="783"/>
        <v>O</v>
      </c>
      <c r="H922" s="103" t="str">
        <f t="shared" ref="H922:H923" si="792">"space"</f>
        <v>space</v>
      </c>
      <c r="I922" s="104" t="str">
        <f t="shared" ref="I922:I923" si="793">""</f>
        <v/>
      </c>
      <c r="J922" s="104" t="str">
        <f>"***777"</f>
        <v>***777</v>
      </c>
      <c r="K922" s="104"/>
      <c r="L922" s="105"/>
      <c r="M922" s="104"/>
      <c r="N922" s="104"/>
      <c r="O922" s="104"/>
      <c r="P922" s="104"/>
      <c r="Q922" s="104"/>
      <c r="R922" s="104"/>
      <c r="S922" s="104"/>
      <c r="T922" s="107"/>
      <c r="U922" s="107"/>
    </row>
    <row r="923" ht="15.75" hidden="1" customHeight="1">
      <c r="A923" s="103"/>
      <c r="B923" s="104" t="str">
        <f>"DisplayCustomerAccountNo"</f>
        <v>DisplayCustomerAccountNo</v>
      </c>
      <c r="C923" s="104" t="str">
        <f>"yfs_payment.display_cust_acct_no"</f>
        <v>yfs_payment.display_cust_acct_no</v>
      </c>
      <c r="D923" s="104" t="str">
        <f t="shared" si="786"/>
        <v>string</v>
      </c>
      <c r="E923" s="105" t="str">
        <f t="shared" si="791"/>
        <v>4</v>
      </c>
      <c r="F923" s="104" t="s">
        <v>1063</v>
      </c>
      <c r="G923" s="103" t="str">
        <f t="shared" si="783"/>
        <v>O</v>
      </c>
      <c r="H923" s="103" t="str">
        <f t="shared" si="792"/>
        <v>space</v>
      </c>
      <c r="I923" s="104" t="str">
        <f t="shared" si="793"/>
        <v/>
      </c>
      <c r="J923" s="104" t="str">
        <f>""</f>
        <v/>
      </c>
      <c r="K923" s="104"/>
      <c r="L923" s="105"/>
      <c r="M923" s="104"/>
      <c r="N923" s="104"/>
      <c r="O923" s="104"/>
      <c r="P923" s="104"/>
      <c r="Q923" s="104"/>
      <c r="R923" s="104"/>
      <c r="S923" s="104"/>
      <c r="T923" s="107"/>
      <c r="U923" s="107"/>
    </row>
    <row r="924" ht="15.75" hidden="1" customHeight="1">
      <c r="A924" s="103"/>
      <c r="B924" s="104" t="str">
        <f>"DisplayDebitCardNo"</f>
        <v>DisplayDebitCardNo</v>
      </c>
      <c r="C924" s="104" t="str">
        <f>"yfs_payment.display_debit_card_no"</f>
        <v>yfs_payment.display_debit_card_no</v>
      </c>
      <c r="D924" s="104" t="str">
        <f t="shared" si="786"/>
        <v>string</v>
      </c>
      <c r="E924" s="105" t="str">
        <f t="shared" si="791"/>
        <v>4</v>
      </c>
      <c r="F924" s="104" t="s">
        <v>1064</v>
      </c>
      <c r="G924" s="103" t="str">
        <f t="shared" si="783"/>
        <v>O</v>
      </c>
      <c r="H924" s="103" t="str">
        <f t="shared" ref="H924:J924" si="794">""</f>
        <v/>
      </c>
      <c r="I924" s="104" t="str">
        <f t="shared" si="794"/>
        <v/>
      </c>
      <c r="J924" s="104" t="str">
        <f t="shared" si="794"/>
        <v/>
      </c>
      <c r="K924" s="104"/>
      <c r="L924" s="105"/>
      <c r="M924" s="104"/>
      <c r="N924" s="104"/>
      <c r="O924" s="104"/>
      <c r="P924" s="104"/>
      <c r="Q924" s="104"/>
      <c r="R924" s="104"/>
      <c r="S924" s="104"/>
      <c r="T924" s="107"/>
      <c r="U924" s="107"/>
    </row>
    <row r="925" ht="15.75" hidden="1" customHeight="1">
      <c r="A925" s="103" t="s">
        <v>92</v>
      </c>
      <c r="B925" s="104" t="str">
        <f>"DisplayPaymentReference1"</f>
        <v>DisplayPaymentReference1</v>
      </c>
      <c r="C925" s="104" t="str">
        <f>"yfs_payment.display_payment_ref1"</f>
        <v>yfs_payment.display_payment_ref1</v>
      </c>
      <c r="D925" s="104" t="str">
        <f t="shared" si="786"/>
        <v>string</v>
      </c>
      <c r="E925" s="105" t="str">
        <f t="shared" si="791"/>
        <v>4</v>
      </c>
      <c r="F925" s="104" t="s">
        <v>1065</v>
      </c>
      <c r="G925" s="103" t="str">
        <f t="shared" si="783"/>
        <v>O</v>
      </c>
      <c r="H925" s="103" t="str">
        <f t="shared" ref="H925:H926" si="796">"space"</f>
        <v>space</v>
      </c>
      <c r="I925" s="104" t="str">
        <f t="shared" ref="I925:J925" si="795">""</f>
        <v/>
      </c>
      <c r="J925" s="104" t="str">
        <f t="shared" si="795"/>
        <v/>
      </c>
      <c r="K925" s="104"/>
      <c r="L925" s="105"/>
      <c r="M925" s="104"/>
      <c r="N925" s="104"/>
      <c r="O925" s="104"/>
      <c r="P925" s="104"/>
      <c r="Q925" s="104"/>
      <c r="R925" s="104"/>
      <c r="S925" s="104"/>
      <c r="T925" s="107"/>
      <c r="U925" s="107"/>
    </row>
    <row r="926" ht="15.75" hidden="1" customHeight="1">
      <c r="A926" s="103" t="s">
        <v>92</v>
      </c>
      <c r="B926" s="104" t="str">
        <f>"DisplaySvcNo"</f>
        <v>DisplaySvcNo</v>
      </c>
      <c r="C926" s="104" t="str">
        <f>"yfs_payment.display_svc_no"</f>
        <v>yfs_payment.display_svc_no</v>
      </c>
      <c r="D926" s="104" t="str">
        <f t="shared" si="786"/>
        <v>string</v>
      </c>
      <c r="E926" s="105" t="str">
        <f t="shared" si="791"/>
        <v>4</v>
      </c>
      <c r="F926" s="104" t="s">
        <v>1066</v>
      </c>
      <c r="G926" s="103" t="str">
        <f t="shared" si="783"/>
        <v>O</v>
      </c>
      <c r="H926" s="103" t="str">
        <f t="shared" si="796"/>
        <v>space</v>
      </c>
      <c r="I926" s="104" t="str">
        <f>""</f>
        <v/>
      </c>
      <c r="J926" s="104" t="str">
        <f>"***3245"</f>
        <v>***3245</v>
      </c>
      <c r="K926" s="104"/>
      <c r="L926" s="105"/>
      <c r="M926" s="104"/>
      <c r="N926" s="104"/>
      <c r="O926" s="104"/>
      <c r="P926" s="104"/>
      <c r="Q926" s="104"/>
      <c r="R926" s="104"/>
      <c r="S926" s="104"/>
      <c r="T926" s="107"/>
      <c r="U926" s="107"/>
    </row>
    <row r="927" ht="15.75" hidden="1" customHeight="1">
      <c r="A927" s="103"/>
      <c r="B927" s="104" t="str">
        <f>"EntryType"</f>
        <v>EntryType</v>
      </c>
      <c r="C927" s="104" t="str">
        <f>""</f>
        <v/>
      </c>
      <c r="D927" s="104" t="str">
        <f t="shared" si="786"/>
        <v>string</v>
      </c>
      <c r="E927" s="105" t="str">
        <f>"100"</f>
        <v>100</v>
      </c>
      <c r="F927" s="104" t="s">
        <v>1067</v>
      </c>
      <c r="G927" s="103" t="str">
        <f t="shared" si="783"/>
        <v>O</v>
      </c>
      <c r="H927" s="103" t="str">
        <f t="shared" ref="H927:J927" si="797">""</f>
        <v/>
      </c>
      <c r="I927" s="104" t="str">
        <f t="shared" si="797"/>
        <v/>
      </c>
      <c r="J927" s="104" t="str">
        <f t="shared" si="797"/>
        <v/>
      </c>
      <c r="K927" s="104"/>
      <c r="L927" s="105"/>
      <c r="M927" s="104"/>
      <c r="N927" s="104"/>
      <c r="O927" s="104"/>
      <c r="P927" s="104"/>
      <c r="Q927" s="104"/>
      <c r="R927" s="104"/>
      <c r="S927" s="104"/>
      <c r="T927" s="107"/>
      <c r="U927" s="107"/>
    </row>
    <row r="928" ht="15.75" hidden="1" customHeight="1">
      <c r="A928" s="103" t="s">
        <v>92</v>
      </c>
      <c r="B928" s="104" t="str">
        <f>"FirstName"</f>
        <v>FirstName</v>
      </c>
      <c r="C928" s="104" t="str">
        <f>"yfs_payment.first_name"</f>
        <v>yfs_payment.first_name</v>
      </c>
      <c r="D928" s="104" t="str">
        <f t="shared" si="786"/>
        <v>string</v>
      </c>
      <c r="E928" s="105" t="str">
        <f t="shared" ref="E928:E929" si="798">"300"</f>
        <v>300</v>
      </c>
      <c r="F928" s="118" t="s">
        <v>1068</v>
      </c>
      <c r="G928" s="103" t="str">
        <f t="shared" si="783"/>
        <v>O</v>
      </c>
      <c r="H928" s="103" t="str">
        <f t="shared" ref="H928:H929" si="799">"null"</f>
        <v>null</v>
      </c>
      <c r="I928" s="104" t="str">
        <f t="shared" ref="I928:I935" si="800">""</f>
        <v/>
      </c>
      <c r="J928" s="104" t="str">
        <f>"John"</f>
        <v>John</v>
      </c>
      <c r="K928" s="104"/>
      <c r="L928" s="105"/>
      <c r="M928" s="104"/>
      <c r="N928" s="104"/>
      <c r="O928" s="104"/>
      <c r="P928" s="104"/>
      <c r="Q928" s="104"/>
      <c r="R928" s="104"/>
      <c r="S928" s="104"/>
      <c r="T928" s="107"/>
      <c r="U928" s="107"/>
    </row>
    <row r="929" ht="15.75" hidden="1" customHeight="1">
      <c r="A929" s="103" t="s">
        <v>92</v>
      </c>
      <c r="B929" s="104" t="str">
        <f>"LastName"</f>
        <v>LastName</v>
      </c>
      <c r="C929" s="104" t="str">
        <f>"yfs_payment.last_name"</f>
        <v>yfs_payment.last_name</v>
      </c>
      <c r="D929" s="104" t="str">
        <f t="shared" si="786"/>
        <v>string</v>
      </c>
      <c r="E929" s="105" t="str">
        <f t="shared" si="798"/>
        <v>300</v>
      </c>
      <c r="F929" s="118" t="s">
        <v>1069</v>
      </c>
      <c r="G929" s="103" t="str">
        <f t="shared" si="783"/>
        <v>O</v>
      </c>
      <c r="H929" s="103" t="str">
        <f t="shared" si="799"/>
        <v>null</v>
      </c>
      <c r="I929" s="104" t="str">
        <f t="shared" si="800"/>
        <v/>
      </c>
      <c r="J929" s="104" t="str">
        <f>"Doe"</f>
        <v>Doe</v>
      </c>
      <c r="K929" s="104"/>
      <c r="L929" s="105"/>
      <c r="M929" s="104"/>
      <c r="N929" s="104"/>
      <c r="O929" s="104"/>
      <c r="P929" s="104"/>
      <c r="Q929" s="104"/>
      <c r="R929" s="104"/>
      <c r="S929" s="104"/>
      <c r="T929" s="107"/>
      <c r="U929" s="107"/>
    </row>
    <row r="930" ht="15.75" hidden="1" customHeight="1">
      <c r="A930" s="103"/>
      <c r="B930" s="104" t="str">
        <f>"MaxChargeLimit"</f>
        <v>MaxChargeLimit</v>
      </c>
      <c r="C930" s="104" t="str">
        <f>"yfs_payment.max_charge_limit"</f>
        <v>yfs_payment.max_charge_limit</v>
      </c>
      <c r="D930" s="104" t="str">
        <f>"decimal"</f>
        <v>decimal</v>
      </c>
      <c r="E930" s="105" t="str">
        <f>"15,2"</f>
        <v>15,2</v>
      </c>
      <c r="F930" s="118" t="s">
        <v>1070</v>
      </c>
      <c r="G930" s="103" t="str">
        <f t="shared" si="783"/>
        <v>O</v>
      </c>
      <c r="H930" s="103" t="str">
        <f>"0 "</f>
        <v>0 </v>
      </c>
      <c r="I930" s="104" t="str">
        <f t="shared" si="800"/>
        <v/>
      </c>
      <c r="J930" s="104" t="str">
        <f>""</f>
        <v/>
      </c>
      <c r="K930" s="104"/>
      <c r="L930" s="105"/>
      <c r="M930" s="104"/>
      <c r="N930" s="104"/>
      <c r="O930" s="104"/>
      <c r="P930" s="104"/>
      <c r="Q930" s="104"/>
      <c r="R930" s="104"/>
      <c r="S930" s="104"/>
      <c r="T930" s="107"/>
      <c r="U930" s="107"/>
    </row>
    <row r="931" ht="15.75" hidden="1" customHeight="1">
      <c r="A931" s="103"/>
      <c r="B931" s="104" t="str">
        <f>"MiddleName"</f>
        <v>MiddleName</v>
      </c>
      <c r="C931" s="104" t="str">
        <f>"yfs_payment.middle_name"</f>
        <v>yfs_payment.middle_name</v>
      </c>
      <c r="D931" s="104" t="str">
        <f t="shared" ref="D931:D942" si="801">"string"</f>
        <v>string</v>
      </c>
      <c r="E931" s="105" t="str">
        <f>"300"</f>
        <v>300</v>
      </c>
      <c r="F931" s="104" t="s">
        <v>1071</v>
      </c>
      <c r="G931" s="103" t="str">
        <f t="shared" si="783"/>
        <v>O</v>
      </c>
      <c r="H931" s="103" t="str">
        <f>"null"</f>
        <v>null</v>
      </c>
      <c r="I931" s="104" t="str">
        <f t="shared" si="800"/>
        <v/>
      </c>
      <c r="J931" s="104" t="str">
        <f>"E"</f>
        <v>E</v>
      </c>
      <c r="K931" s="104"/>
      <c r="L931" s="105"/>
      <c r="M931" s="104"/>
      <c r="N931" s="104"/>
      <c r="O931" s="104"/>
      <c r="P931" s="104"/>
      <c r="Q931" s="104"/>
      <c r="R931" s="104"/>
      <c r="S931" s="104"/>
      <c r="T931" s="107"/>
      <c r="U931" s="107"/>
    </row>
    <row r="932" ht="15.75" hidden="1" customHeight="1">
      <c r="A932" s="103"/>
      <c r="B932" s="104" t="str">
        <f>"PaymentKey"</f>
        <v>PaymentKey</v>
      </c>
      <c r="C932" s="104" t="str">
        <f>"yfs_payment.payment_key"</f>
        <v>yfs_payment.payment_key</v>
      </c>
      <c r="D932" s="104" t="str">
        <f t="shared" si="801"/>
        <v>string</v>
      </c>
      <c r="E932" s="105" t="str">
        <f>"24"</f>
        <v>24</v>
      </c>
      <c r="F932" s="104" t="s">
        <v>1072</v>
      </c>
      <c r="G932" s="103" t="str">
        <f t="shared" si="783"/>
        <v>O</v>
      </c>
      <c r="H932" s="103" t="str">
        <f t="shared" ref="H932:H935" si="802">"space"</f>
        <v>space</v>
      </c>
      <c r="I932" s="104" t="str">
        <f t="shared" si="800"/>
        <v/>
      </c>
      <c r="J932" s="104" t="str">
        <f>"2010050314595404167"</f>
        <v>2010050314595404167</v>
      </c>
      <c r="K932" s="104"/>
      <c r="L932" s="105"/>
      <c r="M932" s="104"/>
      <c r="N932" s="104"/>
      <c r="O932" s="104"/>
      <c r="P932" s="104"/>
      <c r="Q932" s="104"/>
      <c r="R932" s="104"/>
      <c r="S932" s="104"/>
      <c r="T932" s="107"/>
      <c r="U932" s="107"/>
    </row>
    <row r="933" ht="15.75" hidden="1" customHeight="1">
      <c r="A933" s="103" t="s">
        <v>92</v>
      </c>
      <c r="B933" s="104" t="str">
        <f>"PaymentReference1"</f>
        <v>PaymentReference1</v>
      </c>
      <c r="C933" s="104" t="str">
        <f>"yfs_payment.payment_reference1"</f>
        <v>yfs_payment.payment_reference1</v>
      </c>
      <c r="D933" s="104" t="str">
        <f t="shared" si="801"/>
        <v>string</v>
      </c>
      <c r="E933" s="105" t="str">
        <f t="shared" ref="E933:E941" si="803">"100"</f>
        <v>100</v>
      </c>
      <c r="F933" s="118" t="s">
        <v>1073</v>
      </c>
      <c r="G933" s="103" t="str">
        <f t="shared" si="783"/>
        <v>O</v>
      </c>
      <c r="H933" s="103" t="str">
        <f t="shared" si="802"/>
        <v>space</v>
      </c>
      <c r="I933" s="104" t="str">
        <f t="shared" si="800"/>
        <v/>
      </c>
      <c r="J933" s="104" t="str">
        <f t="shared" ref="J933:J935" si="804">""</f>
        <v/>
      </c>
      <c r="K933" s="104"/>
      <c r="L933" s="105"/>
      <c r="M933" s="297"/>
      <c r="N933" s="297"/>
      <c r="O933" s="297"/>
      <c r="P933" s="297"/>
      <c r="Q933" s="297"/>
      <c r="R933" s="297"/>
      <c r="S933" s="297"/>
      <c r="T933" s="298"/>
      <c r="U933" s="298"/>
    </row>
    <row r="934" ht="15.75" hidden="1" customHeight="1">
      <c r="A934" s="103" t="s">
        <v>92</v>
      </c>
      <c r="B934" s="104" t="str">
        <f>"PaymentReference2"</f>
        <v>PaymentReference2</v>
      </c>
      <c r="C934" s="104" t="str">
        <f>"yfs_payment.payment_reference2"</f>
        <v>yfs_payment.payment_reference2</v>
      </c>
      <c r="D934" s="104" t="str">
        <f t="shared" si="801"/>
        <v>string</v>
      </c>
      <c r="E934" s="105" t="str">
        <f t="shared" si="803"/>
        <v>100</v>
      </c>
      <c r="F934" s="118" t="s">
        <v>1074</v>
      </c>
      <c r="G934" s="103" t="str">
        <f t="shared" si="783"/>
        <v>O</v>
      </c>
      <c r="H934" s="103" t="str">
        <f t="shared" si="802"/>
        <v>space</v>
      </c>
      <c r="I934" s="104" t="str">
        <f t="shared" si="800"/>
        <v/>
      </c>
      <c r="J934" s="104" t="str">
        <f t="shared" si="804"/>
        <v/>
      </c>
      <c r="K934" s="104"/>
      <c r="L934" s="105"/>
      <c r="M934" s="104"/>
      <c r="N934" s="104"/>
      <c r="O934" s="104"/>
      <c r="P934" s="104"/>
      <c r="Q934" s="104"/>
      <c r="R934" s="104"/>
      <c r="S934" s="104"/>
      <c r="T934" s="107"/>
      <c r="U934" s="107"/>
    </row>
    <row r="935" ht="15.75" hidden="1" customHeight="1">
      <c r="A935" s="103" t="s">
        <v>92</v>
      </c>
      <c r="B935" s="104" t="str">
        <f>"PaymentReference3"</f>
        <v>PaymentReference3</v>
      </c>
      <c r="C935" s="104" t="str">
        <f>"yfs_payment.payment_reference3"</f>
        <v>yfs_payment.payment_reference3</v>
      </c>
      <c r="D935" s="104" t="str">
        <f t="shared" si="801"/>
        <v>string</v>
      </c>
      <c r="E935" s="105" t="str">
        <f t="shared" si="803"/>
        <v>100</v>
      </c>
      <c r="F935" s="118" t="s">
        <v>1075</v>
      </c>
      <c r="G935" s="103" t="str">
        <f t="shared" si="783"/>
        <v>O</v>
      </c>
      <c r="H935" s="103" t="str">
        <f t="shared" si="802"/>
        <v>space</v>
      </c>
      <c r="I935" s="104" t="str">
        <f t="shared" si="800"/>
        <v/>
      </c>
      <c r="J935" s="104" t="str">
        <f t="shared" si="804"/>
        <v/>
      </c>
      <c r="K935" s="104"/>
      <c r="L935" s="105"/>
      <c r="M935" s="104"/>
      <c r="N935" s="104"/>
      <c r="O935" s="104"/>
      <c r="P935" s="104"/>
      <c r="Q935" s="104"/>
      <c r="R935" s="104"/>
      <c r="S935" s="104"/>
      <c r="T935" s="107"/>
      <c r="U935" s="107"/>
    </row>
    <row r="936" ht="15.75" hidden="1" customHeight="1">
      <c r="A936" s="103" t="s">
        <v>92</v>
      </c>
      <c r="B936" s="104" t="str">
        <f>"PaymentReference4"</f>
        <v>PaymentReference4</v>
      </c>
      <c r="C936" s="104" t="str">
        <f>"yfs_payment.payment_reference4"</f>
        <v>yfs_payment.payment_reference4</v>
      </c>
      <c r="D936" s="104" t="str">
        <f t="shared" si="801"/>
        <v>string</v>
      </c>
      <c r="E936" s="105" t="str">
        <f t="shared" si="803"/>
        <v>100</v>
      </c>
      <c r="F936" s="118" t="s">
        <v>1076</v>
      </c>
      <c r="G936" s="103" t="str">
        <f t="shared" si="783"/>
        <v>O</v>
      </c>
      <c r="H936" s="103" t="str">
        <f t="shared" ref="H936:J936" si="805">""</f>
        <v/>
      </c>
      <c r="I936" s="104" t="str">
        <f t="shared" si="805"/>
        <v/>
      </c>
      <c r="J936" s="104" t="str">
        <f t="shared" si="805"/>
        <v/>
      </c>
      <c r="K936" s="321"/>
      <c r="L936" s="105"/>
      <c r="M936" s="104"/>
      <c r="N936" s="104"/>
      <c r="O936" s="104"/>
      <c r="P936" s="104"/>
      <c r="Q936" s="104"/>
      <c r="R936" s="104"/>
      <c r="S936" s="104"/>
      <c r="T936" s="107"/>
      <c r="U936" s="107"/>
    </row>
    <row r="937" ht="15.75" hidden="1" customHeight="1">
      <c r="A937" s="103" t="s">
        <v>92</v>
      </c>
      <c r="B937" s="104" t="str">
        <f>"PaymentReference5"</f>
        <v>PaymentReference5</v>
      </c>
      <c r="C937" s="104" t="str">
        <f>"yfs_payment.payment_reference5"</f>
        <v>yfs_payment.payment_reference5</v>
      </c>
      <c r="D937" s="104" t="str">
        <f t="shared" si="801"/>
        <v>string</v>
      </c>
      <c r="E937" s="105" t="str">
        <f t="shared" si="803"/>
        <v>100</v>
      </c>
      <c r="F937" s="104" t="s">
        <v>1077</v>
      </c>
      <c r="G937" s="103" t="str">
        <f t="shared" si="783"/>
        <v>O</v>
      </c>
      <c r="H937" s="103" t="str">
        <f t="shared" ref="H937:J937" si="806">""</f>
        <v/>
      </c>
      <c r="I937" s="104" t="str">
        <f t="shared" si="806"/>
        <v/>
      </c>
      <c r="J937" s="104" t="str">
        <f t="shared" si="806"/>
        <v/>
      </c>
      <c r="K937" s="321"/>
      <c r="L937" s="105"/>
      <c r="M937" s="104"/>
      <c r="N937" s="104"/>
      <c r="O937" s="104"/>
      <c r="P937" s="104"/>
      <c r="Q937" s="104"/>
      <c r="R937" s="104"/>
      <c r="S937" s="104"/>
      <c r="T937" s="107"/>
      <c r="U937" s="107"/>
    </row>
    <row r="938" ht="15.75" hidden="1" customHeight="1">
      <c r="A938" s="103" t="s">
        <v>92</v>
      </c>
      <c r="B938" s="104" t="str">
        <f>"PaymentReference6"</f>
        <v>PaymentReference6</v>
      </c>
      <c r="C938" s="104" t="str">
        <f>"yfs_payment.payment_reference6"</f>
        <v>yfs_payment.payment_reference6</v>
      </c>
      <c r="D938" s="104" t="str">
        <f t="shared" si="801"/>
        <v>string</v>
      </c>
      <c r="E938" s="105" t="str">
        <f t="shared" si="803"/>
        <v>100</v>
      </c>
      <c r="F938" s="104" t="s">
        <v>1078</v>
      </c>
      <c r="G938" s="103" t="str">
        <f t="shared" si="783"/>
        <v>O</v>
      </c>
      <c r="H938" s="103" t="str">
        <f t="shared" ref="H938:J938" si="807">""</f>
        <v/>
      </c>
      <c r="I938" s="104" t="str">
        <f t="shared" si="807"/>
        <v/>
      </c>
      <c r="J938" s="104" t="str">
        <f t="shared" si="807"/>
        <v/>
      </c>
      <c r="K938" s="321"/>
      <c r="L938" s="105"/>
      <c r="M938" s="104"/>
      <c r="N938" s="104"/>
      <c r="O938" s="104"/>
      <c r="P938" s="104"/>
      <c r="Q938" s="104"/>
      <c r="R938" s="104"/>
      <c r="S938" s="104"/>
      <c r="T938" s="107"/>
      <c r="U938" s="107"/>
    </row>
    <row r="939" ht="15.75" hidden="1" customHeight="1">
      <c r="A939" s="103" t="s">
        <v>92</v>
      </c>
      <c r="B939" s="104" t="str">
        <f>"PaymentReference7"</f>
        <v>PaymentReference7</v>
      </c>
      <c r="C939" s="104" t="str">
        <f>"yfs_payment.payment_reference7"</f>
        <v>yfs_payment.payment_reference7</v>
      </c>
      <c r="D939" s="104" t="str">
        <f t="shared" si="801"/>
        <v>string</v>
      </c>
      <c r="E939" s="105" t="str">
        <f t="shared" si="803"/>
        <v>100</v>
      </c>
      <c r="F939" s="104" t="s">
        <v>1079</v>
      </c>
      <c r="G939" s="103" t="str">
        <f t="shared" si="783"/>
        <v>O</v>
      </c>
      <c r="H939" s="103" t="str">
        <f t="shared" ref="H939:J939" si="808">""</f>
        <v/>
      </c>
      <c r="I939" s="104" t="str">
        <f t="shared" si="808"/>
        <v/>
      </c>
      <c r="J939" s="104" t="str">
        <f t="shared" si="808"/>
        <v/>
      </c>
      <c r="K939" s="321"/>
      <c r="L939" s="105"/>
      <c r="M939" s="104"/>
      <c r="N939" s="104"/>
      <c r="O939" s="104"/>
      <c r="P939" s="104"/>
      <c r="Q939" s="104"/>
      <c r="R939" s="104"/>
      <c r="S939" s="104"/>
      <c r="T939" s="107"/>
      <c r="U939" s="107"/>
    </row>
    <row r="940" ht="15.75" hidden="1" customHeight="1">
      <c r="A940" s="103"/>
      <c r="B940" s="104" t="str">
        <f>"PaymentReference8"</f>
        <v>PaymentReference8</v>
      </c>
      <c r="C940" s="104" t="str">
        <f>"yfs_payment.payment_reference8"</f>
        <v>yfs_payment.payment_reference8</v>
      </c>
      <c r="D940" s="104" t="str">
        <f t="shared" si="801"/>
        <v>string</v>
      </c>
      <c r="E940" s="105" t="str">
        <f t="shared" si="803"/>
        <v>100</v>
      </c>
      <c r="F940" s="104" t="s">
        <v>1080</v>
      </c>
      <c r="G940" s="103" t="str">
        <f t="shared" si="783"/>
        <v>O</v>
      </c>
      <c r="H940" s="103" t="str">
        <f t="shared" ref="H940:J940" si="809">""</f>
        <v/>
      </c>
      <c r="I940" s="104" t="str">
        <f t="shared" si="809"/>
        <v/>
      </c>
      <c r="J940" s="104" t="str">
        <f t="shared" si="809"/>
        <v/>
      </c>
      <c r="K940" s="104"/>
      <c r="L940" s="105"/>
      <c r="M940" s="104"/>
      <c r="N940" s="104"/>
      <c r="O940" s="104"/>
      <c r="P940" s="104"/>
      <c r="Q940" s="104"/>
      <c r="R940" s="104"/>
      <c r="S940" s="104"/>
      <c r="T940" s="107"/>
      <c r="U940" s="107"/>
    </row>
    <row r="941" ht="15.75" hidden="1" customHeight="1">
      <c r="A941" s="103"/>
      <c r="B941" s="104" t="str">
        <f>"PaymentReference9"</f>
        <v>PaymentReference9</v>
      </c>
      <c r="C941" s="104" t="str">
        <f>"yfs_payment.payment_reference9"</f>
        <v>yfs_payment.payment_reference9</v>
      </c>
      <c r="D941" s="104" t="str">
        <f t="shared" si="801"/>
        <v>string</v>
      </c>
      <c r="E941" s="105" t="str">
        <f t="shared" si="803"/>
        <v>100</v>
      </c>
      <c r="F941" s="104" t="s">
        <v>1081</v>
      </c>
      <c r="G941" s="103" t="str">
        <f t="shared" si="783"/>
        <v>O</v>
      </c>
      <c r="H941" s="103" t="str">
        <f t="shared" ref="H941:J941" si="810">""</f>
        <v/>
      </c>
      <c r="I941" s="104" t="str">
        <f t="shared" si="810"/>
        <v/>
      </c>
      <c r="J941" s="104" t="str">
        <f t="shared" si="810"/>
        <v/>
      </c>
      <c r="K941" s="104"/>
      <c r="L941" s="105"/>
      <c r="M941" s="104"/>
      <c r="N941" s="104"/>
      <c r="O941" s="104"/>
      <c r="P941" s="104"/>
      <c r="Q941" s="104"/>
      <c r="R941" s="104"/>
      <c r="S941" s="104"/>
      <c r="T941" s="107"/>
      <c r="U941" s="107"/>
    </row>
    <row r="942" ht="15.75" hidden="1" customHeight="1">
      <c r="A942" s="103" t="s">
        <v>92</v>
      </c>
      <c r="B942" s="104" t="str">
        <f>"PaymentType"</f>
        <v>PaymentType</v>
      </c>
      <c r="C942" s="104" t="str">
        <f>"yfs_payment.payment_type"</f>
        <v>yfs_payment.payment_type</v>
      </c>
      <c r="D942" s="104" t="str">
        <f t="shared" si="801"/>
        <v>string</v>
      </c>
      <c r="E942" s="105" t="str">
        <f>"20"</f>
        <v>20</v>
      </c>
      <c r="F942" s="118" t="s">
        <v>1082</v>
      </c>
      <c r="G942" s="103" t="str">
        <f>"M"</f>
        <v>M</v>
      </c>
      <c r="H942" s="103" t="str">
        <f>"space"</f>
        <v>space</v>
      </c>
      <c r="I942" s="104" t="str">
        <f>""</f>
        <v/>
      </c>
      <c r="J942" s="104" t="str">
        <f>"CREDIT_CARD/ GIFT_CARD/PAYPAL"</f>
        <v>CREDIT_CARD/ GIFT_CARD/PAYPAL</v>
      </c>
      <c r="K942" s="104"/>
      <c r="L942" s="105"/>
      <c r="M942" s="104"/>
      <c r="N942" s="104"/>
      <c r="O942" s="104"/>
      <c r="P942" s="104"/>
      <c r="Q942" s="104"/>
      <c r="R942" s="104"/>
      <c r="S942" s="104"/>
      <c r="T942" s="107"/>
      <c r="U942" s="107"/>
    </row>
    <row r="943" ht="15.75" hidden="1" customHeight="1">
      <c r="A943" s="103"/>
      <c r="B943" s="104" t="str">
        <f>"PlannedRefundAmount"</f>
        <v>PlannedRefundAmount</v>
      </c>
      <c r="C943" s="104" t="str">
        <f>"yfs_payment.planned_refund_amount"</f>
        <v>yfs_payment.planned_refund_amount</v>
      </c>
      <c r="D943" s="104" t="str">
        <f>"UNKNOWN"</f>
        <v>UNKNOWN</v>
      </c>
      <c r="E943" s="105" t="str">
        <f>""</f>
        <v/>
      </c>
      <c r="F943" s="104" t="s">
        <v>1083</v>
      </c>
      <c r="G943" s="103" t="str">
        <f t="shared" ref="G943:G964" si="812">"O"</f>
        <v>O</v>
      </c>
      <c r="H943" s="103" t="str">
        <f t="shared" ref="H943:J943" si="811">""</f>
        <v/>
      </c>
      <c r="I943" s="104" t="str">
        <f t="shared" si="811"/>
        <v/>
      </c>
      <c r="J943" s="104" t="str">
        <f t="shared" si="811"/>
        <v/>
      </c>
      <c r="K943" s="104"/>
      <c r="L943" s="105"/>
      <c r="M943" s="104"/>
      <c r="N943" s="104"/>
      <c r="O943" s="104"/>
      <c r="P943" s="104"/>
      <c r="Q943" s="104"/>
      <c r="R943" s="104"/>
      <c r="S943" s="104"/>
      <c r="T943" s="107"/>
      <c r="U943" s="107"/>
    </row>
    <row r="944" ht="15.75" hidden="1" customHeight="1">
      <c r="A944" s="103"/>
      <c r="B944" s="104" t="str">
        <f>"ReducePendingAsyncronousAmounts"</f>
        <v>ReducePendingAsyncronousAmounts</v>
      </c>
      <c r="C944" s="104" t="str">
        <f>""</f>
        <v/>
      </c>
      <c r="D944" s="104" t="str">
        <f t="shared" ref="D944:D946" si="814">"string"</f>
        <v>string</v>
      </c>
      <c r="E944" s="105" t="str">
        <f t="shared" ref="E944:E945" si="815">"1"</f>
        <v>1</v>
      </c>
      <c r="F944" s="104" t="s">
        <v>1084</v>
      </c>
      <c r="G944" s="103" t="str">
        <f t="shared" si="812"/>
        <v>O</v>
      </c>
      <c r="H944" s="103" t="str">
        <f t="shared" ref="H944:J944" si="813">""</f>
        <v/>
      </c>
      <c r="I944" s="104" t="str">
        <f t="shared" si="813"/>
        <v/>
      </c>
      <c r="J944" s="104" t="str">
        <f t="shared" si="813"/>
        <v/>
      </c>
      <c r="K944" s="104"/>
      <c r="L944" s="105"/>
      <c r="M944" s="104"/>
      <c r="N944" s="104"/>
      <c r="O944" s="104"/>
      <c r="P944" s="104"/>
      <c r="Q944" s="104"/>
      <c r="R944" s="104"/>
      <c r="S944" s="104"/>
      <c r="T944" s="107"/>
      <c r="U944" s="107"/>
    </row>
    <row r="945" ht="15.75" hidden="1" customHeight="1">
      <c r="A945" s="103"/>
      <c r="B945" s="104" t="str">
        <f>"SuspendAnyMoreCharges"</f>
        <v>SuspendAnyMoreCharges</v>
      </c>
      <c r="C945" s="104" t="str">
        <f>"yfs_payment.suspend_any_more_charges"</f>
        <v>yfs_payment.suspend_any_more_charges</v>
      </c>
      <c r="D945" s="104" t="str">
        <f t="shared" si="814"/>
        <v>string</v>
      </c>
      <c r="E945" s="105" t="str">
        <f t="shared" si="815"/>
        <v>1</v>
      </c>
      <c r="F945" s="104" t="s">
        <v>1085</v>
      </c>
      <c r="G945" s="103" t="str">
        <f t="shared" si="812"/>
        <v>O</v>
      </c>
      <c r="H945" s="103" t="str">
        <f t="shared" ref="H945:H946" si="817">"space"</f>
        <v>space</v>
      </c>
      <c r="I945" s="104" t="str">
        <f t="shared" ref="I945:J945" si="816">""</f>
        <v/>
      </c>
      <c r="J945" s="104" t="str">
        <f t="shared" si="816"/>
        <v/>
      </c>
      <c r="K945" s="104"/>
      <c r="L945" s="105"/>
      <c r="M945" s="104"/>
      <c r="N945" s="104"/>
      <c r="O945" s="104"/>
      <c r="P945" s="104"/>
      <c r="Q945" s="104"/>
      <c r="R945" s="104"/>
      <c r="S945" s="104"/>
      <c r="T945" s="107"/>
      <c r="U945" s="107"/>
    </row>
    <row r="946" ht="15.75" hidden="1" customHeight="1">
      <c r="A946" s="103" t="s">
        <v>92</v>
      </c>
      <c r="B946" s="104" t="str">
        <f>"SvcNo"</f>
        <v>SvcNo</v>
      </c>
      <c r="C946" s="104" t="str">
        <f>"yfs_payment.svc_no"</f>
        <v>yfs_payment.svc_no</v>
      </c>
      <c r="D946" s="104" t="str">
        <f t="shared" si="814"/>
        <v>string</v>
      </c>
      <c r="E946" s="105" t="str">
        <f>"1000"</f>
        <v>1000</v>
      </c>
      <c r="F946" s="118" t="s">
        <v>1086</v>
      </c>
      <c r="G946" s="103" t="str">
        <f t="shared" si="812"/>
        <v>O</v>
      </c>
      <c r="H946" s="103" t="str">
        <f t="shared" si="817"/>
        <v>space</v>
      </c>
      <c r="I946" s="104" t="str">
        <f t="shared" ref="I946:I951" si="818">""</f>
        <v/>
      </c>
      <c r="J946" s="104" t="str">
        <f>"3727884233823245"</f>
        <v>3727884233823245</v>
      </c>
      <c r="K946" s="104"/>
      <c r="L946" s="105"/>
      <c r="M946" s="297"/>
      <c r="N946" s="297"/>
      <c r="O946" s="297"/>
      <c r="P946" s="297"/>
      <c r="Q946" s="297"/>
      <c r="R946" s="297"/>
      <c r="S946" s="297"/>
      <c r="T946" s="298"/>
      <c r="U946" s="298"/>
    </row>
    <row r="947" ht="15.75" hidden="1" customHeight="1">
      <c r="A947" s="103"/>
      <c r="B947" s="104" t="str">
        <f>"TotalAltRefundedAmount"</f>
        <v>TotalAltRefundedAmount</v>
      </c>
      <c r="C947" s="104" t="str">
        <f>"yfs_payment.total_alt_refunded_amount"</f>
        <v>yfs_payment.total_alt_refunded_amount</v>
      </c>
      <c r="D947" s="104" t="str">
        <f t="shared" ref="D947:D950" si="819">"decimal"</f>
        <v>decimal</v>
      </c>
      <c r="E947" s="105" t="str">
        <f t="shared" ref="E947:E950" si="820">"15,2"</f>
        <v>15,2</v>
      </c>
      <c r="F947" s="104" t="s">
        <v>1087</v>
      </c>
      <c r="G947" s="103" t="str">
        <f t="shared" si="812"/>
        <v>O</v>
      </c>
      <c r="H947" s="103" t="str">
        <f t="shared" ref="H947:H950" si="821">"0 "</f>
        <v>0 </v>
      </c>
      <c r="I947" s="104" t="str">
        <f t="shared" si="818"/>
        <v/>
      </c>
      <c r="J947" s="104" t="str">
        <f>""</f>
        <v/>
      </c>
      <c r="K947" s="104"/>
      <c r="L947" s="105"/>
      <c r="M947" s="104"/>
      <c r="N947" s="104"/>
      <c r="O947" s="104"/>
      <c r="P947" s="104"/>
      <c r="Q947" s="104"/>
      <c r="R947" s="104"/>
      <c r="S947" s="104"/>
      <c r="T947" s="107"/>
      <c r="U947" s="107"/>
    </row>
    <row r="948" ht="15.75" hidden="1" customHeight="1">
      <c r="A948" s="103"/>
      <c r="B948" s="104" t="str">
        <f>"TotalAuthorized"</f>
        <v>TotalAuthorized</v>
      </c>
      <c r="C948" s="104" t="str">
        <f>"yfs_payment.total_authorized"</f>
        <v>yfs_payment.total_authorized</v>
      </c>
      <c r="D948" s="104" t="str">
        <f t="shared" si="819"/>
        <v>decimal</v>
      </c>
      <c r="E948" s="105" t="str">
        <f t="shared" si="820"/>
        <v>15,2</v>
      </c>
      <c r="F948" s="118" t="s">
        <v>1088</v>
      </c>
      <c r="G948" s="103" t="str">
        <f t="shared" si="812"/>
        <v>O</v>
      </c>
      <c r="H948" s="103" t="str">
        <f t="shared" si="821"/>
        <v>0 </v>
      </c>
      <c r="I948" s="104" t="str">
        <f t="shared" si="818"/>
        <v/>
      </c>
      <c r="J948" s="104" t="str">
        <f t="shared" ref="J948:J949" si="822">"87.44"</f>
        <v>87.44</v>
      </c>
      <c r="K948" s="104"/>
      <c r="L948" s="105"/>
      <c r="M948" s="297"/>
      <c r="N948" s="297"/>
      <c r="O948" s="297"/>
      <c r="P948" s="297"/>
      <c r="Q948" s="297"/>
      <c r="R948" s="297"/>
      <c r="S948" s="297"/>
      <c r="T948" s="298"/>
      <c r="U948" s="298"/>
    </row>
    <row r="949" ht="15.75" hidden="1" customHeight="1">
      <c r="A949" s="103"/>
      <c r="B949" s="104" t="str">
        <f>"TotalCharged"</f>
        <v>TotalCharged</v>
      </c>
      <c r="C949" s="104" t="str">
        <f>"yfs_payment.total_charged"</f>
        <v>yfs_payment.total_charged</v>
      </c>
      <c r="D949" s="104" t="str">
        <f t="shared" si="819"/>
        <v>decimal</v>
      </c>
      <c r="E949" s="105" t="str">
        <f t="shared" si="820"/>
        <v>15,2</v>
      </c>
      <c r="F949" s="118" t="s">
        <v>1089</v>
      </c>
      <c r="G949" s="103" t="str">
        <f t="shared" si="812"/>
        <v>O</v>
      </c>
      <c r="H949" s="103" t="str">
        <f t="shared" si="821"/>
        <v>0 </v>
      </c>
      <c r="I949" s="104" t="str">
        <f t="shared" si="818"/>
        <v/>
      </c>
      <c r="J949" s="104" t="str">
        <f t="shared" si="822"/>
        <v>87.44</v>
      </c>
      <c r="K949" s="104"/>
      <c r="L949" s="105"/>
      <c r="M949" s="104"/>
      <c r="N949" s="104"/>
      <c r="O949" s="104"/>
      <c r="P949" s="104"/>
      <c r="Q949" s="104"/>
      <c r="R949" s="104"/>
      <c r="S949" s="104"/>
      <c r="T949" s="107"/>
      <c r="U949" s="107"/>
    </row>
    <row r="950" ht="15.75" hidden="1" customHeight="1">
      <c r="A950" s="103"/>
      <c r="B950" s="104" t="str">
        <f>"TotalRefundedAmount"</f>
        <v>TotalRefundedAmount</v>
      </c>
      <c r="C950" s="104" t="str">
        <f>"yfs_payment.total_refunded_amount"</f>
        <v>yfs_payment.total_refunded_amount</v>
      </c>
      <c r="D950" s="104" t="str">
        <f t="shared" si="819"/>
        <v>decimal</v>
      </c>
      <c r="E950" s="105" t="str">
        <f t="shared" si="820"/>
        <v>15,2</v>
      </c>
      <c r="F950" s="118" t="s">
        <v>1090</v>
      </c>
      <c r="G950" s="103" t="str">
        <f t="shared" si="812"/>
        <v>O</v>
      </c>
      <c r="H950" s="103" t="str">
        <f t="shared" si="821"/>
        <v>0 </v>
      </c>
      <c r="I950" s="104" t="str">
        <f t="shared" si="818"/>
        <v/>
      </c>
      <c r="J950" s="104" t="str">
        <f>"0.00"</f>
        <v>0.00</v>
      </c>
      <c r="K950" s="104"/>
      <c r="L950" s="105"/>
      <c r="M950" s="104"/>
      <c r="N950" s="104"/>
      <c r="O950" s="104"/>
      <c r="P950" s="104"/>
      <c r="Q950" s="104"/>
      <c r="R950" s="104"/>
      <c r="S950" s="104"/>
      <c r="T950" s="107"/>
      <c r="U950" s="107"/>
    </row>
    <row r="951" ht="15.75" hidden="1" customHeight="1">
      <c r="A951" s="103" t="s">
        <v>92</v>
      </c>
      <c r="B951" s="193" t="str">
        <f>"UnlimitedCharges"</f>
        <v>UnlimitedCharges</v>
      </c>
      <c r="C951" s="104" t="str">
        <f>"yfs_payment.unlimited_charges"</f>
        <v>yfs_payment.unlimited_charges</v>
      </c>
      <c r="D951" s="104" t="str">
        <f>"string"</f>
        <v>string</v>
      </c>
      <c r="E951" s="105" t="str">
        <f>"1"</f>
        <v>1</v>
      </c>
      <c r="F951" s="104" t="s">
        <v>1091</v>
      </c>
      <c r="G951" s="103" t="str">
        <f t="shared" si="812"/>
        <v>O</v>
      </c>
      <c r="H951" s="103" t="str">
        <f>"space"</f>
        <v>space</v>
      </c>
      <c r="I951" s="104" t="str">
        <f t="shared" si="818"/>
        <v/>
      </c>
      <c r="J951" s="104" t="str">
        <f>"N"</f>
        <v>N</v>
      </c>
      <c r="K951" s="104" t="s">
        <v>1092</v>
      </c>
      <c r="L951" s="105"/>
      <c r="M951" s="104"/>
      <c r="N951" s="104"/>
      <c r="O951" s="104"/>
      <c r="P951" s="104"/>
      <c r="Q951" s="104"/>
      <c r="R951" s="104"/>
      <c r="S951" s="104"/>
      <c r="T951" s="107"/>
      <c r="U951" s="107"/>
    </row>
    <row r="952" ht="15.75" hidden="1" customHeight="1">
      <c r="A952" s="196"/>
      <c r="B952" s="170" t="str">
        <f>"/Order/PaymentMethods/PaymentMethod/PaymentDetails/@"</f>
        <v>/Order/PaymentMethods/PaymentMethod/PaymentDetails/@</v>
      </c>
      <c r="C952" s="170"/>
      <c r="D952" s="170"/>
      <c r="E952" s="170"/>
      <c r="F952" s="287"/>
      <c r="G952" s="196" t="str">
        <f t="shared" si="812"/>
        <v>O</v>
      </c>
      <c r="H952" s="170"/>
      <c r="I952" s="170"/>
      <c r="J952" s="170"/>
      <c r="K952" s="170"/>
      <c r="L952" s="170"/>
      <c r="M952" s="170"/>
      <c r="N952" s="170"/>
      <c r="O952" s="170"/>
      <c r="P952" s="170"/>
      <c r="Q952" s="170"/>
      <c r="R952" s="170"/>
      <c r="S952" s="170"/>
      <c r="T952" s="197"/>
      <c r="U952" s="197"/>
    </row>
    <row r="953" ht="15.75" hidden="1" customHeight="1">
      <c r="A953" s="103"/>
      <c r="B953" s="104" t="str">
        <f>"AuditTransactionId"</f>
        <v>AuditTransactionId</v>
      </c>
      <c r="C953" s="104" t="str">
        <f>"yfs_charge_transaction.audit_transaction_id"</f>
        <v>yfs_charge_transaction.audit_transaction_id</v>
      </c>
      <c r="D953" s="104" t="str">
        <f t="shared" ref="D953:D958" si="824">"string"</f>
        <v>string</v>
      </c>
      <c r="E953" s="105" t="str">
        <f>"40"</f>
        <v>40</v>
      </c>
      <c r="F953" s="104" t="s">
        <v>1093</v>
      </c>
      <c r="G953" s="103" t="str">
        <f t="shared" si="812"/>
        <v>O</v>
      </c>
      <c r="H953" s="103" t="str">
        <f t="shared" ref="H953:H958" si="825">"space"</f>
        <v>space</v>
      </c>
      <c r="I953" s="104" t="str">
        <f t="shared" ref="I953:J953" si="823">""</f>
        <v/>
      </c>
      <c r="J953" s="104" t="str">
        <f t="shared" si="823"/>
        <v/>
      </c>
      <c r="K953" s="104"/>
      <c r="L953" s="105"/>
      <c r="M953" s="104"/>
      <c r="N953" s="104"/>
      <c r="O953" s="104"/>
      <c r="P953" s="104"/>
      <c r="Q953" s="104"/>
      <c r="R953" s="104"/>
      <c r="S953" s="104"/>
      <c r="T953" s="107"/>
      <c r="U953" s="107"/>
    </row>
    <row r="954" ht="15.75" hidden="1" customHeight="1">
      <c r="A954" s="103" t="s">
        <v>92</v>
      </c>
      <c r="B954" s="104" t="str">
        <f>"AuthAvs"</f>
        <v>AuthAvs</v>
      </c>
      <c r="C954" s="104" t="str">
        <f>"yfs_credit_card_transaction.auth_avs"</f>
        <v>yfs_credit_card_transaction.auth_avs</v>
      </c>
      <c r="D954" s="104" t="str">
        <f t="shared" si="824"/>
        <v>string</v>
      </c>
      <c r="E954" s="105" t="str">
        <f t="shared" ref="E954:E957" si="827">"20"</f>
        <v>20</v>
      </c>
      <c r="F954" s="104" t="s">
        <v>1094</v>
      </c>
      <c r="G954" s="103" t="str">
        <f t="shared" si="812"/>
        <v>O</v>
      </c>
      <c r="H954" s="103" t="str">
        <f t="shared" si="825"/>
        <v>space</v>
      </c>
      <c r="I954" s="104" t="str">
        <f t="shared" ref="I954:J954" si="826">""</f>
        <v/>
      </c>
      <c r="J954" s="104" t="str">
        <f t="shared" si="826"/>
        <v/>
      </c>
      <c r="K954" s="104"/>
      <c r="L954" s="105"/>
      <c r="M954" s="104"/>
      <c r="N954" s="104"/>
      <c r="O954" s="104"/>
      <c r="P954" s="104"/>
      <c r="Q954" s="104"/>
      <c r="R954" s="104"/>
      <c r="S954" s="104"/>
      <c r="T954" s="107"/>
      <c r="U954" s="107"/>
    </row>
    <row r="955" ht="15.75" hidden="1" customHeight="1">
      <c r="A955" s="103" t="s">
        <v>92</v>
      </c>
      <c r="B955" s="104" t="str">
        <f>"AuthCode"</f>
        <v>AuthCode</v>
      </c>
      <c r="C955" s="104" t="str">
        <f>"yfs_credit_card_transaction.auth_code"</f>
        <v>yfs_credit_card_transaction.auth_code</v>
      </c>
      <c r="D955" s="104" t="str">
        <f t="shared" si="824"/>
        <v>string</v>
      </c>
      <c r="E955" s="105" t="str">
        <f t="shared" si="827"/>
        <v>20</v>
      </c>
      <c r="F955" s="118" t="s">
        <v>1095</v>
      </c>
      <c r="G955" s="103" t="str">
        <f t="shared" si="812"/>
        <v>O</v>
      </c>
      <c r="H955" s="103" t="str">
        <f t="shared" si="825"/>
        <v>space</v>
      </c>
      <c r="I955" s="104" t="str">
        <f t="shared" ref="I955:I962" si="828">""</f>
        <v/>
      </c>
      <c r="J955" s="104" t="str">
        <f>"5584"</f>
        <v>5584</v>
      </c>
      <c r="K955" s="104"/>
      <c r="L955" s="105"/>
      <c r="M955" s="297"/>
      <c r="N955" s="297"/>
      <c r="O955" s="297"/>
      <c r="P955" s="297"/>
      <c r="Q955" s="297"/>
      <c r="R955" s="297"/>
      <c r="S955" s="297"/>
      <c r="T955" s="298"/>
      <c r="U955" s="298"/>
    </row>
    <row r="956" ht="15.75" hidden="1" customHeight="1">
      <c r="A956" s="103"/>
      <c r="B956" s="104" t="str">
        <f>"AuthReturnCode"</f>
        <v>AuthReturnCode</v>
      </c>
      <c r="C956" s="104" t="str">
        <f>"yfs_credit_card_transaction.auth_return_code"</f>
        <v>yfs_credit_card_transaction.auth_return_code</v>
      </c>
      <c r="D956" s="104" t="str">
        <f t="shared" si="824"/>
        <v>string</v>
      </c>
      <c r="E956" s="105" t="str">
        <f t="shared" si="827"/>
        <v>20</v>
      </c>
      <c r="F956" s="104" t="s">
        <v>1096</v>
      </c>
      <c r="G956" s="103" t="str">
        <f t="shared" si="812"/>
        <v>O</v>
      </c>
      <c r="H956" s="103" t="str">
        <f t="shared" si="825"/>
        <v>space</v>
      </c>
      <c r="I956" s="104" t="str">
        <f t="shared" si="828"/>
        <v/>
      </c>
      <c r="J956" s="104" t="str">
        <f>""</f>
        <v/>
      </c>
      <c r="K956" s="104"/>
      <c r="L956" s="105"/>
      <c r="M956" s="104"/>
      <c r="N956" s="104"/>
      <c r="O956" s="104"/>
      <c r="P956" s="104"/>
      <c r="Q956" s="104"/>
      <c r="R956" s="104"/>
      <c r="S956" s="104"/>
      <c r="T956" s="107"/>
      <c r="U956" s="107"/>
    </row>
    <row r="957" ht="15.75" hidden="1" customHeight="1">
      <c r="A957" s="103"/>
      <c r="B957" s="104" t="str">
        <f>"AuthReturnFlag"</f>
        <v>AuthReturnFlag</v>
      </c>
      <c r="C957" s="104" t="str">
        <f>"yfs_credit_card_transaction.auth_return_flag"</f>
        <v>yfs_credit_card_transaction.auth_return_flag</v>
      </c>
      <c r="D957" s="104" t="str">
        <f t="shared" si="824"/>
        <v>string</v>
      </c>
      <c r="E957" s="105" t="str">
        <f t="shared" si="827"/>
        <v>20</v>
      </c>
      <c r="F957" s="104" t="s">
        <v>1097</v>
      </c>
      <c r="G957" s="103" t="str">
        <f t="shared" si="812"/>
        <v>O</v>
      </c>
      <c r="H957" s="103" t="str">
        <f t="shared" si="825"/>
        <v>space</v>
      </c>
      <c r="I957" s="104" t="str">
        <f t="shared" si="828"/>
        <v/>
      </c>
      <c r="J957" s="104" t="str">
        <f>"Y"</f>
        <v>Y</v>
      </c>
      <c r="K957" s="104"/>
      <c r="L957" s="105"/>
      <c r="M957" s="104"/>
      <c r="N957" s="104"/>
      <c r="O957" s="104"/>
      <c r="P957" s="104"/>
      <c r="Q957" s="104"/>
      <c r="R957" s="104"/>
      <c r="S957" s="104"/>
      <c r="T957" s="107"/>
      <c r="U957" s="107"/>
    </row>
    <row r="958" ht="15.75" hidden="1" customHeight="1">
      <c r="A958" s="103"/>
      <c r="B958" s="104" t="str">
        <f>"AuthReturnMessage"</f>
        <v>AuthReturnMessage</v>
      </c>
      <c r="C958" s="104" t="str">
        <f>"yfs_credit_card_transaction.auth_return_message"</f>
        <v>yfs_credit_card_transaction.auth_return_message</v>
      </c>
      <c r="D958" s="104" t="str">
        <f t="shared" si="824"/>
        <v>string</v>
      </c>
      <c r="E958" s="105" t="str">
        <f>"255"</f>
        <v>255</v>
      </c>
      <c r="F958" s="104" t="s">
        <v>1098</v>
      </c>
      <c r="G958" s="103" t="str">
        <f t="shared" si="812"/>
        <v>O</v>
      </c>
      <c r="H958" s="103" t="str">
        <f t="shared" si="825"/>
        <v>space</v>
      </c>
      <c r="I958" s="104" t="str">
        <f t="shared" si="828"/>
        <v/>
      </c>
      <c r="J958" s="104" t="str">
        <f t="shared" ref="J958:J959" si="829">""</f>
        <v/>
      </c>
      <c r="K958" s="104"/>
      <c r="L958" s="105"/>
      <c r="M958" s="104"/>
      <c r="N958" s="104"/>
      <c r="O958" s="104"/>
      <c r="P958" s="104"/>
      <c r="Q958" s="104"/>
      <c r="R958" s="104"/>
      <c r="S958" s="104"/>
      <c r="T958" s="107"/>
      <c r="U958" s="107"/>
    </row>
    <row r="959" ht="15.75" hidden="1" customHeight="1">
      <c r="A959" s="103"/>
      <c r="B959" s="104" t="str">
        <f>"AuthTime"</f>
        <v>AuthTime</v>
      </c>
      <c r="C959" s="104" t="str">
        <f>"yfs_credit_card_transaction.auth_time"</f>
        <v>yfs_credit_card_transaction.auth_time</v>
      </c>
      <c r="D959" s="104" t="str">
        <f t="shared" ref="D959:D960" si="830">"dateTime"</f>
        <v>dateTime</v>
      </c>
      <c r="E959" s="105" t="str">
        <f t="shared" ref="E959:E960" si="831">"25"</f>
        <v>25</v>
      </c>
      <c r="F959" s="104" t="s">
        <v>1099</v>
      </c>
      <c r="G959" s="103" t="str">
        <f t="shared" si="812"/>
        <v>O</v>
      </c>
      <c r="H959" s="103" t="str">
        <f t="shared" ref="H959:H960" si="832">"sysdate"</f>
        <v>sysdate</v>
      </c>
      <c r="I959" s="104" t="str">
        <f t="shared" si="828"/>
        <v/>
      </c>
      <c r="J959" s="104" t="str">
        <f t="shared" si="829"/>
        <v/>
      </c>
      <c r="K959" s="104"/>
      <c r="L959" s="105"/>
      <c r="M959" s="104"/>
      <c r="N959" s="104"/>
      <c r="O959" s="104"/>
      <c r="P959" s="104"/>
      <c r="Q959" s="104"/>
      <c r="R959" s="104"/>
      <c r="S959" s="104"/>
      <c r="T959" s="107"/>
      <c r="U959" s="107"/>
    </row>
    <row r="960" ht="15.75" hidden="1" customHeight="1">
      <c r="A960" s="103"/>
      <c r="B960" s="104" t="str">
        <f>"AuthorizationExpirationDate"</f>
        <v>AuthorizationExpirationDate</v>
      </c>
      <c r="C960" s="104" t="str">
        <f>"yfs_charge_transaction.authorization_expiration_date"</f>
        <v>yfs_charge_transaction.authorization_expiration_date</v>
      </c>
      <c r="D960" s="104" t="str">
        <f t="shared" si="830"/>
        <v>dateTime</v>
      </c>
      <c r="E960" s="105" t="str">
        <f t="shared" si="831"/>
        <v>25</v>
      </c>
      <c r="F960" s="104" t="s">
        <v>1100</v>
      </c>
      <c r="G960" s="103" t="str">
        <f t="shared" si="812"/>
        <v>O</v>
      </c>
      <c r="H960" s="103" t="str">
        <f t="shared" si="832"/>
        <v>sysdate</v>
      </c>
      <c r="I960" s="104" t="str">
        <f t="shared" si="828"/>
        <v/>
      </c>
      <c r="J960" s="104" t="str">
        <f>"2010-08-18T11:18:41-04:00"</f>
        <v>2010-08-18T11:18:41-04:00</v>
      </c>
      <c r="K960" s="104"/>
      <c r="L960" s="105"/>
      <c r="M960" s="104"/>
      <c r="N960" s="104"/>
      <c r="O960" s="104"/>
      <c r="P960" s="104"/>
      <c r="Q960" s="104"/>
      <c r="R960" s="104"/>
      <c r="S960" s="104"/>
      <c r="T960" s="107"/>
      <c r="U960" s="107"/>
    </row>
    <row r="961" ht="15.75" hidden="1" customHeight="1">
      <c r="A961" s="103"/>
      <c r="B961" s="104" t="str">
        <f>"AuthorizationID"</f>
        <v>AuthorizationID</v>
      </c>
      <c r="C961" s="104" t="str">
        <f>"yfs_charge_transaction.authorization_id"</f>
        <v>yfs_charge_transaction.authorization_id</v>
      </c>
      <c r="D961" s="104" t="str">
        <f t="shared" ref="D961:D962" si="833">"string"</f>
        <v>string</v>
      </c>
      <c r="E961" s="105" t="str">
        <f>"255"</f>
        <v>255</v>
      </c>
      <c r="F961" s="104" t="s">
        <v>1101</v>
      </c>
      <c r="G961" s="103" t="str">
        <f t="shared" si="812"/>
        <v>O</v>
      </c>
      <c r="H961" s="103" t="str">
        <f t="shared" ref="H961:H962" si="834">"space"</f>
        <v>space</v>
      </c>
      <c r="I961" s="104" t="str">
        <f t="shared" si="828"/>
        <v/>
      </c>
      <c r="J961" s="104" t="str">
        <f>"88182931233"</f>
        <v>88182931233</v>
      </c>
      <c r="K961" s="104"/>
      <c r="L961" s="105"/>
      <c r="M961" s="104"/>
      <c r="N961" s="104"/>
      <c r="O961" s="104"/>
      <c r="P961" s="104"/>
      <c r="Q961" s="104"/>
      <c r="R961" s="104"/>
      <c r="S961" s="104"/>
      <c r="T961" s="107"/>
      <c r="U961" s="107"/>
    </row>
    <row r="962" ht="15.75" hidden="1" customHeight="1">
      <c r="A962" s="103" t="s">
        <v>92</v>
      </c>
      <c r="B962" s="104" t="str">
        <f>"CVVAuthCode"</f>
        <v>CVVAuthCode</v>
      </c>
      <c r="C962" s="104" t="str">
        <f>"yfs_credit_card_transaction.cvv_auth_code"</f>
        <v>yfs_credit_card_transaction.cvv_auth_code</v>
      </c>
      <c r="D962" s="104" t="str">
        <f t="shared" si="833"/>
        <v>string</v>
      </c>
      <c r="E962" s="105" t="str">
        <f>"20"</f>
        <v>20</v>
      </c>
      <c r="F962" s="104" t="s">
        <v>1102</v>
      </c>
      <c r="G962" s="103" t="str">
        <f t="shared" si="812"/>
        <v>O</v>
      </c>
      <c r="H962" s="103" t="str">
        <f t="shared" si="834"/>
        <v>space</v>
      </c>
      <c r="I962" s="104" t="str">
        <f t="shared" si="828"/>
        <v/>
      </c>
      <c r="J962" s="104" t="str">
        <f>""</f>
        <v/>
      </c>
      <c r="K962" s="104"/>
      <c r="L962" s="105"/>
      <c r="M962" s="104"/>
      <c r="N962" s="104"/>
      <c r="O962" s="104"/>
      <c r="P962" s="104"/>
      <c r="Q962" s="104"/>
      <c r="R962" s="104"/>
      <c r="S962" s="104"/>
      <c r="T962" s="107"/>
      <c r="U962" s="107"/>
    </row>
    <row r="963" ht="15.75" hidden="1" customHeight="1">
      <c r="A963" s="103"/>
      <c r="B963" s="104" t="str">
        <f>"CallForAuthorizationStatus"</f>
        <v>CallForAuthorizationStatus</v>
      </c>
      <c r="C963" s="104" t="str">
        <f>"yfs_charge_transaction.call_for_auth_status"</f>
        <v>yfs_charge_transaction.call_for_auth_status</v>
      </c>
      <c r="D963" s="104" t="str">
        <f t="shared" ref="D963:D964" si="836">"UNKNOWN"</f>
        <v>UNKNOWN</v>
      </c>
      <c r="E963" s="105" t="str">
        <f t="shared" ref="E963:E964" si="837">""</f>
        <v/>
      </c>
      <c r="F963" s="104" t="s">
        <v>1103</v>
      </c>
      <c r="G963" s="103" t="str">
        <f t="shared" si="812"/>
        <v>O</v>
      </c>
      <c r="H963" s="103" t="str">
        <f t="shared" ref="H963:J963" si="835">""</f>
        <v/>
      </c>
      <c r="I963" s="104" t="str">
        <f t="shared" si="835"/>
        <v/>
      </c>
      <c r="J963" s="104" t="str">
        <f t="shared" si="835"/>
        <v/>
      </c>
      <c r="K963" s="104"/>
      <c r="L963" s="105"/>
      <c r="M963" s="104"/>
      <c r="N963" s="104"/>
      <c r="O963" s="104"/>
      <c r="P963" s="104"/>
      <c r="Q963" s="104"/>
      <c r="R963" s="104"/>
      <c r="S963" s="104"/>
      <c r="T963" s="107"/>
      <c r="U963" s="107"/>
    </row>
    <row r="964" ht="15.75" hidden="1" customHeight="1">
      <c r="A964" s="103"/>
      <c r="B964" s="104" t="str">
        <f>"CashBackAmount"</f>
        <v>CashBackAmount</v>
      </c>
      <c r="C964" s="104" t="str">
        <f>"yfs_charge_transaction.cash_back_amount"</f>
        <v>yfs_charge_transaction.cash_back_amount</v>
      </c>
      <c r="D964" s="104" t="str">
        <f t="shared" si="836"/>
        <v>UNKNOWN</v>
      </c>
      <c r="E964" s="105" t="str">
        <f t="shared" si="837"/>
        <v/>
      </c>
      <c r="F964" s="104" t="s">
        <v>1104</v>
      </c>
      <c r="G964" s="103" t="str">
        <f t="shared" si="812"/>
        <v>O</v>
      </c>
      <c r="H964" s="103" t="str">
        <f t="shared" ref="H964:J964" si="838">""</f>
        <v/>
      </c>
      <c r="I964" s="104" t="str">
        <f t="shared" si="838"/>
        <v/>
      </c>
      <c r="J964" s="104" t="str">
        <f t="shared" si="838"/>
        <v/>
      </c>
      <c r="K964" s="104"/>
      <c r="L964" s="105"/>
      <c r="M964" s="104"/>
      <c r="N964" s="104"/>
      <c r="O964" s="104"/>
      <c r="P964" s="104"/>
      <c r="Q964" s="104"/>
      <c r="R964" s="104"/>
      <c r="S964" s="104"/>
      <c r="T964" s="107"/>
      <c r="U964" s="107"/>
    </row>
    <row r="965" ht="15.75" hidden="1" customHeight="1">
      <c r="A965" s="103"/>
      <c r="B965" s="104" t="str">
        <f>"ChargeType"</f>
        <v>ChargeType</v>
      </c>
      <c r="C965" s="104" t="str">
        <f>"yfs_charge_transaction.charge_type"</f>
        <v>yfs_charge_transaction.charge_type</v>
      </c>
      <c r="D965" s="104" t="str">
        <f>"string"</f>
        <v>string</v>
      </c>
      <c r="E965" s="105" t="str">
        <f>"20"</f>
        <v>20</v>
      </c>
      <c r="F965" s="104" t="s">
        <v>1105</v>
      </c>
      <c r="G965" s="103" t="str">
        <f>"M"</f>
        <v>M</v>
      </c>
      <c r="H965" s="103" t="str">
        <f>"space"</f>
        <v>space</v>
      </c>
      <c r="I965" s="104" t="str">
        <f t="shared" ref="I965:I967" si="839">""</f>
        <v/>
      </c>
      <c r="J965" s="104" t="str">
        <f>"AUTHORIZATION"</f>
        <v>AUTHORIZATION</v>
      </c>
      <c r="K965" s="104"/>
      <c r="L965" s="105"/>
      <c r="M965" s="104"/>
      <c r="N965" s="104"/>
      <c r="O965" s="104"/>
      <c r="P965" s="104"/>
      <c r="Q965" s="104"/>
      <c r="R965" s="104"/>
      <c r="S965" s="104"/>
      <c r="T965" s="107"/>
      <c r="U965" s="107"/>
    </row>
    <row r="966" ht="15.75" hidden="1" customHeight="1">
      <c r="A966" s="103"/>
      <c r="B966" s="104" t="str">
        <f>"CollectionDate"</f>
        <v>CollectionDate</v>
      </c>
      <c r="C966" s="104" t="str">
        <f>"yfs_charge_transaction.collection_date"</f>
        <v>yfs_charge_transaction.collection_date</v>
      </c>
      <c r="D966" s="104" t="str">
        <f>"dateTime"</f>
        <v>dateTime</v>
      </c>
      <c r="E966" s="105" t="str">
        <f>"25"</f>
        <v>25</v>
      </c>
      <c r="F966" s="104" t="s">
        <v>1106</v>
      </c>
      <c r="G966" s="103" t="str">
        <f t="shared" ref="G966:G999" si="840">"O"</f>
        <v>O</v>
      </c>
      <c r="H966" s="103" t="str">
        <f>"sysdate"</f>
        <v>sysdate</v>
      </c>
      <c r="I966" s="104" t="str">
        <f t="shared" si="839"/>
        <v/>
      </c>
      <c r="J966" s="104" t="str">
        <f t="shared" ref="J966:J967" si="841">""</f>
        <v/>
      </c>
      <c r="K966" s="104"/>
      <c r="L966" s="105"/>
      <c r="M966" s="104"/>
      <c r="N966" s="104"/>
      <c r="O966" s="104"/>
      <c r="P966" s="104"/>
      <c r="Q966" s="104"/>
      <c r="R966" s="104"/>
      <c r="S966" s="104"/>
      <c r="T966" s="107"/>
      <c r="U966" s="107"/>
    </row>
    <row r="967" ht="15.75" hidden="1" customHeight="1">
      <c r="A967" s="103"/>
      <c r="B967" s="104" t="str">
        <f>"HoldAgainstBook"</f>
        <v>HoldAgainstBook</v>
      </c>
      <c r="C967" s="104" t="str">
        <f>"yfs_charge_transaction.hold_against_book"</f>
        <v>yfs_charge_transaction.hold_against_book</v>
      </c>
      <c r="D967" s="104" t="str">
        <f t="shared" ref="D967:D973" si="842">"string"</f>
        <v>string</v>
      </c>
      <c r="E967" s="105" t="str">
        <f t="shared" ref="E967:E968" si="843">"1"</f>
        <v>1</v>
      </c>
      <c r="F967" s="104" t="s">
        <v>1107</v>
      </c>
      <c r="G967" s="103" t="str">
        <f t="shared" si="840"/>
        <v>O</v>
      </c>
      <c r="H967" s="103" t="str">
        <f>"space"</f>
        <v>space</v>
      </c>
      <c r="I967" s="104" t="str">
        <f t="shared" si="839"/>
        <v/>
      </c>
      <c r="J967" s="104" t="str">
        <f t="shared" si="841"/>
        <v/>
      </c>
      <c r="K967" s="104"/>
      <c r="L967" s="105"/>
      <c r="M967" s="104"/>
      <c r="N967" s="104"/>
      <c r="O967" s="104"/>
      <c r="P967" s="104"/>
      <c r="Q967" s="104"/>
      <c r="R967" s="104"/>
      <c r="S967" s="104"/>
      <c r="T967" s="107"/>
      <c r="U967" s="107"/>
    </row>
    <row r="968" ht="15.75" hidden="1" customHeight="1">
      <c r="A968" s="103"/>
      <c r="B968" s="104" t="str">
        <f>"InPerson"</f>
        <v>InPerson</v>
      </c>
      <c r="C968" s="104" t="str">
        <f>"yfs_charge_transaction.in_person"</f>
        <v>yfs_charge_transaction.in_person</v>
      </c>
      <c r="D968" s="104" t="str">
        <f t="shared" si="842"/>
        <v>string</v>
      </c>
      <c r="E968" s="105" t="str">
        <f t="shared" si="843"/>
        <v>1</v>
      </c>
      <c r="F968" s="104" t="s">
        <v>1108</v>
      </c>
      <c r="G968" s="103" t="str">
        <f t="shared" si="840"/>
        <v>O</v>
      </c>
      <c r="H968" s="103" t="str">
        <f t="shared" ref="H968:J968" si="844">""</f>
        <v/>
      </c>
      <c r="I968" s="104" t="str">
        <f t="shared" si="844"/>
        <v/>
      </c>
      <c r="J968" s="104" t="str">
        <f t="shared" si="844"/>
        <v/>
      </c>
      <c r="K968" s="104"/>
      <c r="L968" s="105"/>
      <c r="M968" s="104"/>
      <c r="N968" s="104"/>
      <c r="O968" s="104"/>
      <c r="P968" s="104"/>
      <c r="Q968" s="104"/>
      <c r="R968" s="104"/>
      <c r="S968" s="104"/>
      <c r="T968" s="107"/>
      <c r="U968" s="107"/>
    </row>
    <row r="969" ht="15.75" hidden="1" customHeight="1">
      <c r="A969" s="103"/>
      <c r="B969" s="104" t="str">
        <f>"InternalReturnCode"</f>
        <v>InternalReturnCode</v>
      </c>
      <c r="C969" s="104" t="str">
        <f>"yfs_credit_card_transaction.internal_return_code"</f>
        <v>yfs_credit_card_transaction.internal_return_code</v>
      </c>
      <c r="D969" s="104" t="str">
        <f t="shared" si="842"/>
        <v>string</v>
      </c>
      <c r="E969" s="105" t="str">
        <f t="shared" ref="E969:E970" si="846">"20"</f>
        <v>20</v>
      </c>
      <c r="F969" s="104" t="s">
        <v>1109</v>
      </c>
      <c r="G969" s="103" t="str">
        <f t="shared" si="840"/>
        <v>O</v>
      </c>
      <c r="H969" s="103" t="str">
        <f t="shared" ref="H969:H971" si="847">"space"</f>
        <v>space</v>
      </c>
      <c r="I969" s="104" t="str">
        <f t="shared" ref="I969:J969" si="845">""</f>
        <v/>
      </c>
      <c r="J969" s="104" t="str">
        <f t="shared" si="845"/>
        <v/>
      </c>
      <c r="K969" s="104"/>
      <c r="L969" s="105"/>
      <c r="M969" s="104"/>
      <c r="N969" s="104"/>
      <c r="O969" s="104"/>
      <c r="P969" s="104"/>
      <c r="Q969" s="104"/>
      <c r="R969" s="104"/>
      <c r="S969" s="104"/>
      <c r="T969" s="107"/>
      <c r="U969" s="107"/>
    </row>
    <row r="970" ht="15.75" hidden="1" customHeight="1">
      <c r="A970" s="103"/>
      <c r="B970" s="104" t="str">
        <f>"InternalReturnFlag"</f>
        <v>InternalReturnFlag</v>
      </c>
      <c r="C970" s="104" t="str">
        <f>"yfs_credit_card_transaction.internal_return_flag"</f>
        <v>yfs_credit_card_transaction.internal_return_flag</v>
      </c>
      <c r="D970" s="104" t="str">
        <f t="shared" si="842"/>
        <v>string</v>
      </c>
      <c r="E970" s="105" t="str">
        <f t="shared" si="846"/>
        <v>20</v>
      </c>
      <c r="F970" s="104" t="s">
        <v>1110</v>
      </c>
      <c r="G970" s="103" t="str">
        <f t="shared" si="840"/>
        <v>O</v>
      </c>
      <c r="H970" s="103" t="str">
        <f t="shared" si="847"/>
        <v>space</v>
      </c>
      <c r="I970" s="104" t="str">
        <f t="shared" ref="I970:I971" si="848">""</f>
        <v/>
      </c>
      <c r="J970" s="104" t="str">
        <f>"Y"</f>
        <v>Y</v>
      </c>
      <c r="K970" s="104"/>
      <c r="L970" s="105"/>
      <c r="M970" s="104"/>
      <c r="N970" s="104"/>
      <c r="O970" s="104"/>
      <c r="P970" s="104"/>
      <c r="Q970" s="104"/>
      <c r="R970" s="104"/>
      <c r="S970" s="104"/>
      <c r="T970" s="107"/>
      <c r="U970" s="107"/>
    </row>
    <row r="971" ht="15.75" hidden="1" customHeight="1">
      <c r="A971" s="103"/>
      <c r="B971" s="104" t="str">
        <f>"InternalReturnMessage"</f>
        <v>InternalReturnMessage</v>
      </c>
      <c r="C971" s="104" t="str">
        <f>"yfs_credit_card_transaction.internal_return_message"</f>
        <v>yfs_credit_card_transaction.internal_return_message</v>
      </c>
      <c r="D971" s="104" t="str">
        <f t="shared" si="842"/>
        <v>string</v>
      </c>
      <c r="E971" s="105" t="str">
        <f>"255"</f>
        <v>255</v>
      </c>
      <c r="F971" s="104" t="s">
        <v>1111</v>
      </c>
      <c r="G971" s="103" t="str">
        <f t="shared" si="840"/>
        <v>O</v>
      </c>
      <c r="H971" s="103" t="str">
        <f t="shared" si="847"/>
        <v>space</v>
      </c>
      <c r="I971" s="104" t="str">
        <f t="shared" si="848"/>
        <v/>
      </c>
      <c r="J971" s="104" t="str">
        <f>""</f>
        <v/>
      </c>
      <c r="K971" s="104"/>
      <c r="L971" s="105"/>
      <c r="M971" s="104"/>
      <c r="N971" s="104"/>
      <c r="O971" s="104"/>
      <c r="P971" s="104"/>
      <c r="Q971" s="104"/>
      <c r="R971" s="104"/>
      <c r="S971" s="104"/>
      <c r="T971" s="107"/>
      <c r="U971" s="107"/>
    </row>
    <row r="972" ht="15.75" hidden="1" customHeight="1">
      <c r="A972" s="103"/>
      <c r="B972" s="104" t="str">
        <f>"OfflineStatus"</f>
        <v>OfflineStatus</v>
      </c>
      <c r="C972" s="104" t="str">
        <f>"yfs_charge_transaction.offline_status"</f>
        <v>yfs_charge_transaction.offline_status</v>
      </c>
      <c r="D972" s="104" t="str">
        <f t="shared" si="842"/>
        <v>string</v>
      </c>
      <c r="E972" s="105" t="str">
        <f>"1"</f>
        <v>1</v>
      </c>
      <c r="F972" s="104" t="s">
        <v>1112</v>
      </c>
      <c r="G972" s="103" t="str">
        <f t="shared" si="840"/>
        <v>O</v>
      </c>
      <c r="H972" s="103" t="str">
        <f t="shared" ref="H972:J972" si="849">""</f>
        <v/>
      </c>
      <c r="I972" s="104" t="str">
        <f t="shared" si="849"/>
        <v/>
      </c>
      <c r="J972" s="104" t="str">
        <f t="shared" si="849"/>
        <v/>
      </c>
      <c r="K972" s="104"/>
      <c r="L972" s="105"/>
      <c r="M972" s="104"/>
      <c r="N972" s="104"/>
      <c r="O972" s="104"/>
      <c r="P972" s="104"/>
      <c r="Q972" s="104"/>
      <c r="R972" s="104"/>
      <c r="S972" s="104"/>
      <c r="T972" s="107"/>
      <c r="U972" s="107"/>
    </row>
    <row r="973" ht="15.75" hidden="1" customHeight="1">
      <c r="A973" s="103"/>
      <c r="B973" s="104" t="str">
        <f>"PaymentEntryType"</f>
        <v>PaymentEntryType</v>
      </c>
      <c r="C973" s="104" t="str">
        <f>"yfs_charge_transaction.payment_entry_type"</f>
        <v>yfs_charge_transaction.payment_entry_type</v>
      </c>
      <c r="D973" s="104" t="str">
        <f t="shared" si="842"/>
        <v>string</v>
      </c>
      <c r="E973" s="105" t="str">
        <f>"100"</f>
        <v>100</v>
      </c>
      <c r="F973" s="104" t="s">
        <v>1113</v>
      </c>
      <c r="G973" s="103" t="str">
        <f t="shared" si="840"/>
        <v>O</v>
      </c>
      <c r="H973" s="103" t="str">
        <f t="shared" ref="H973:J973" si="850">""</f>
        <v/>
      </c>
      <c r="I973" s="104" t="str">
        <f t="shared" si="850"/>
        <v/>
      </c>
      <c r="J973" s="104" t="str">
        <f t="shared" si="850"/>
        <v/>
      </c>
      <c r="K973" s="104"/>
      <c r="L973" s="105"/>
      <c r="M973" s="104"/>
      <c r="N973" s="104"/>
      <c r="O973" s="104"/>
      <c r="P973" s="104"/>
      <c r="Q973" s="104"/>
      <c r="R973" s="104"/>
      <c r="S973" s="104"/>
      <c r="T973" s="107"/>
      <c r="U973" s="107"/>
    </row>
    <row r="974" ht="15.75" hidden="1" customHeight="1">
      <c r="A974" s="103"/>
      <c r="B974" s="104" t="str">
        <f>"ProcessedAmount"</f>
        <v>ProcessedAmount</v>
      </c>
      <c r="C974" s="104" t="str">
        <f>""</f>
        <v/>
      </c>
      <c r="D974" s="104" t="str">
        <f>"UNKNOWN"</f>
        <v>UNKNOWN</v>
      </c>
      <c r="E974" s="105" t="str">
        <f>""</f>
        <v/>
      </c>
      <c r="F974" s="118" t="s">
        <v>1114</v>
      </c>
      <c r="G974" s="103" t="str">
        <f t="shared" si="840"/>
        <v>O</v>
      </c>
      <c r="H974" s="103" t="str">
        <f t="shared" ref="H974:J974" si="851">""</f>
        <v/>
      </c>
      <c r="I974" s="104" t="str">
        <f t="shared" si="851"/>
        <v/>
      </c>
      <c r="J974" s="104" t="str">
        <f t="shared" si="851"/>
        <v/>
      </c>
      <c r="K974" s="104"/>
      <c r="L974" s="105"/>
      <c r="M974" s="104"/>
      <c r="N974" s="104"/>
      <c r="O974" s="104"/>
      <c r="P974" s="104"/>
      <c r="Q974" s="104"/>
      <c r="R974" s="104"/>
      <c r="S974" s="104"/>
      <c r="T974" s="107"/>
      <c r="U974" s="107"/>
    </row>
    <row r="975" ht="15.75" hidden="1" customHeight="1">
      <c r="A975" s="103"/>
      <c r="B975" s="104" t="str">
        <f>"Reference1"</f>
        <v>Reference1</v>
      </c>
      <c r="C975" s="104" t="str">
        <f>"yfs_credit_card_transaction.reference1"</f>
        <v>yfs_credit_card_transaction.reference1</v>
      </c>
      <c r="D975" s="104" t="str">
        <f t="shared" ref="D975:D976" si="853">"string"</f>
        <v>string</v>
      </c>
      <c r="E975" s="105" t="str">
        <f t="shared" ref="E975:E976" si="854">"100"</f>
        <v>100</v>
      </c>
      <c r="F975" s="104" t="s">
        <v>1115</v>
      </c>
      <c r="G975" s="103" t="str">
        <f t="shared" si="840"/>
        <v>O</v>
      </c>
      <c r="H975" s="103" t="str">
        <f t="shared" ref="H975:H976" si="855">"space"</f>
        <v>space</v>
      </c>
      <c r="I975" s="104" t="str">
        <f t="shared" ref="I975:J975" si="852">""</f>
        <v/>
      </c>
      <c r="J975" s="104" t="str">
        <f t="shared" si="852"/>
        <v/>
      </c>
      <c r="K975" s="104"/>
      <c r="L975" s="105"/>
      <c r="M975" s="104"/>
      <c r="N975" s="104"/>
      <c r="O975" s="104"/>
      <c r="P975" s="104"/>
      <c r="Q975" s="104"/>
      <c r="R975" s="104"/>
      <c r="S975" s="104"/>
      <c r="T975" s="107"/>
      <c r="U975" s="107"/>
    </row>
    <row r="976" ht="15.75" hidden="1" customHeight="1">
      <c r="A976" s="103"/>
      <c r="B976" s="104" t="str">
        <f>"Reference2"</f>
        <v>Reference2</v>
      </c>
      <c r="C976" s="104" t="str">
        <f>"yfs_credit_card_transaction.reference2"</f>
        <v>yfs_credit_card_transaction.reference2</v>
      </c>
      <c r="D976" s="104" t="str">
        <f t="shared" si="853"/>
        <v>string</v>
      </c>
      <c r="E976" s="105" t="str">
        <f t="shared" si="854"/>
        <v>100</v>
      </c>
      <c r="F976" s="104" t="s">
        <v>1116</v>
      </c>
      <c r="G976" s="103" t="str">
        <f t="shared" si="840"/>
        <v>O</v>
      </c>
      <c r="H976" s="103" t="str">
        <f t="shared" si="855"/>
        <v>space</v>
      </c>
      <c r="I976" s="104" t="str">
        <f t="shared" ref="I976:J976" si="856">""</f>
        <v/>
      </c>
      <c r="J976" s="104" t="str">
        <f t="shared" si="856"/>
        <v/>
      </c>
      <c r="K976" s="104"/>
      <c r="L976" s="105"/>
      <c r="M976" s="104"/>
      <c r="N976" s="104"/>
      <c r="O976" s="104"/>
      <c r="P976" s="104"/>
      <c r="Q976" s="104"/>
      <c r="R976" s="104"/>
      <c r="S976" s="104"/>
      <c r="T976" s="107"/>
      <c r="U976" s="107"/>
    </row>
    <row r="977" ht="15.75" hidden="1" customHeight="1">
      <c r="A977" s="103"/>
      <c r="B977" s="104" t="str">
        <f>"RequestAmount"</f>
        <v>RequestAmount</v>
      </c>
      <c r="C977" s="104" t="str">
        <f>"yfs_charge_transaction.request_amount"</f>
        <v>yfs_charge_transaction.request_amount</v>
      </c>
      <c r="D977" s="104" t="str">
        <f>"UNKNOWN"</f>
        <v>UNKNOWN</v>
      </c>
      <c r="E977" s="105" t="str">
        <f>""</f>
        <v/>
      </c>
      <c r="F977" s="118" t="s">
        <v>1117</v>
      </c>
      <c r="G977" s="103" t="str">
        <f t="shared" si="840"/>
        <v>O</v>
      </c>
      <c r="H977" s="103" t="str">
        <f>"0 "</f>
        <v>0 </v>
      </c>
      <c r="I977" s="104" t="str">
        <f t="shared" ref="I977:I978" si="857">""</f>
        <v/>
      </c>
      <c r="J977" s="104" t="str">
        <f>"75.00"</f>
        <v>75.00</v>
      </c>
      <c r="K977" s="104"/>
      <c r="L977" s="105"/>
      <c r="M977" s="104"/>
      <c r="N977" s="104"/>
      <c r="O977" s="104"/>
      <c r="P977" s="104"/>
      <c r="Q977" s="104"/>
      <c r="R977" s="104"/>
      <c r="S977" s="104"/>
      <c r="T977" s="107"/>
      <c r="U977" s="107"/>
    </row>
    <row r="978" ht="15.75" hidden="1" customHeight="1">
      <c r="A978" s="103"/>
      <c r="B978" s="104" t="str">
        <f>"RequestId"</f>
        <v>RequestId</v>
      </c>
      <c r="C978" s="104" t="str">
        <f>"yfs_credit_card_transaction.request_id"</f>
        <v>yfs_credit_card_transaction.request_id</v>
      </c>
      <c r="D978" s="104" t="str">
        <f t="shared" ref="D978:D979" si="858">"string"</f>
        <v>string</v>
      </c>
      <c r="E978" s="105" t="str">
        <f>"255"</f>
        <v>255</v>
      </c>
      <c r="F978" s="118" t="s">
        <v>1118</v>
      </c>
      <c r="G978" s="103" t="str">
        <f t="shared" si="840"/>
        <v>O</v>
      </c>
      <c r="H978" s="103" t="str">
        <f>"space"</f>
        <v>space</v>
      </c>
      <c r="I978" s="104" t="str">
        <f t="shared" si="857"/>
        <v/>
      </c>
      <c r="J978" s="104" t="str">
        <f>""</f>
        <v/>
      </c>
      <c r="K978" s="104"/>
      <c r="L978" s="105"/>
      <c r="M978" s="104"/>
      <c r="N978" s="104"/>
      <c r="O978" s="104"/>
      <c r="P978" s="104"/>
      <c r="Q978" s="104"/>
      <c r="R978" s="104" t="s">
        <v>1119</v>
      </c>
      <c r="S978" s="104"/>
      <c r="T978" s="107"/>
      <c r="U978" s="107"/>
    </row>
    <row r="979" ht="15.75" hidden="1" customHeight="1">
      <c r="A979" s="103"/>
      <c r="B979" s="104" t="str">
        <f>"RequestProcessed"</f>
        <v>RequestProcessed</v>
      </c>
      <c r="C979" s="104" t="str">
        <f>""</f>
        <v/>
      </c>
      <c r="D979" s="104" t="str">
        <f t="shared" si="858"/>
        <v>string</v>
      </c>
      <c r="E979" s="105" t="str">
        <f>"1"</f>
        <v>1</v>
      </c>
      <c r="F979" s="104" t="s">
        <v>1120</v>
      </c>
      <c r="G979" s="103" t="str">
        <f t="shared" si="840"/>
        <v>O</v>
      </c>
      <c r="H979" s="103" t="str">
        <f t="shared" ref="H979:J979" si="859">""</f>
        <v/>
      </c>
      <c r="I979" s="104" t="str">
        <f t="shared" si="859"/>
        <v/>
      </c>
      <c r="J979" s="104" t="str">
        <f t="shared" si="859"/>
        <v/>
      </c>
      <c r="K979" s="104"/>
      <c r="L979" s="105"/>
      <c r="M979" s="104"/>
      <c r="N979" s="104"/>
      <c r="O979" s="104"/>
      <c r="P979" s="104"/>
      <c r="Q979" s="104"/>
      <c r="R979" s="104"/>
      <c r="S979" s="104"/>
      <c r="T979" s="107"/>
      <c r="U979" s="107"/>
    </row>
    <row r="980" ht="15.75" hidden="1" customHeight="1">
      <c r="A980" s="103"/>
      <c r="B980" s="104" t="str">
        <f>"TranRequestTime"</f>
        <v>TranRequestTime</v>
      </c>
      <c r="C980" s="104" t="str">
        <f>"yfs_credit_card_transaction.tran_request_time"</f>
        <v>yfs_credit_card_transaction.tran_request_time</v>
      </c>
      <c r="D980" s="104" t="str">
        <f>"dateTime"</f>
        <v>dateTime</v>
      </c>
      <c r="E980" s="105" t="str">
        <f>"25"</f>
        <v>25</v>
      </c>
      <c r="F980" s="104" t="s">
        <v>1121</v>
      </c>
      <c r="G980" s="103" t="str">
        <f t="shared" si="840"/>
        <v>O</v>
      </c>
      <c r="H980" s="103" t="str">
        <f>"sysdate"</f>
        <v>sysdate</v>
      </c>
      <c r="I980" s="104" t="str">
        <f t="shared" ref="I980:J980" si="860">""</f>
        <v/>
      </c>
      <c r="J980" s="104" t="str">
        <f t="shared" si="860"/>
        <v/>
      </c>
      <c r="K980" s="104"/>
      <c r="L980" s="105"/>
      <c r="M980" s="104"/>
      <c r="N980" s="104"/>
      <c r="O980" s="104"/>
      <c r="P980" s="104"/>
      <c r="Q980" s="104"/>
      <c r="R980" s="104"/>
      <c r="S980" s="104"/>
      <c r="T980" s="107"/>
      <c r="U980" s="107"/>
    </row>
    <row r="981" ht="15.75" hidden="1" customHeight="1">
      <c r="A981" s="103"/>
      <c r="B981" s="104" t="str">
        <f>"TranReturnCode"</f>
        <v>TranReturnCode</v>
      </c>
      <c r="C981" s="104" t="str">
        <f>"yfs_credit_card_transaction.tran_return_code"</f>
        <v>yfs_credit_card_transaction.tran_return_code</v>
      </c>
      <c r="D981" s="104" t="str">
        <f t="shared" ref="D981:D985" si="862">"string"</f>
        <v>string</v>
      </c>
      <c r="E981" s="105" t="str">
        <f t="shared" ref="E981:E982" si="863">"20"</f>
        <v>20</v>
      </c>
      <c r="F981" s="104" t="s">
        <v>1122</v>
      </c>
      <c r="G981" s="103" t="str">
        <f t="shared" si="840"/>
        <v>O</v>
      </c>
      <c r="H981" s="103" t="str">
        <f t="shared" ref="H981:H984" si="864">"space"</f>
        <v>space</v>
      </c>
      <c r="I981" s="104" t="str">
        <f t="shared" ref="I981:J981" si="861">""</f>
        <v/>
      </c>
      <c r="J981" s="104" t="str">
        <f t="shared" si="861"/>
        <v/>
      </c>
      <c r="K981" s="104"/>
      <c r="L981" s="105"/>
      <c r="M981" s="104"/>
      <c r="N981" s="104"/>
      <c r="O981" s="104"/>
      <c r="P981" s="104"/>
      <c r="Q981" s="104"/>
      <c r="R981" s="104"/>
      <c r="S981" s="104"/>
      <c r="T981" s="107"/>
      <c r="U981" s="107"/>
    </row>
    <row r="982" ht="15.75" hidden="1" customHeight="1">
      <c r="A982" s="103"/>
      <c r="B982" s="104" t="str">
        <f>"TranReturnFlag"</f>
        <v>TranReturnFlag</v>
      </c>
      <c r="C982" s="104" t="str">
        <f>"yfs_credit_card_transaction.tran_return_flag"</f>
        <v>yfs_credit_card_transaction.tran_return_flag</v>
      </c>
      <c r="D982" s="104" t="str">
        <f t="shared" si="862"/>
        <v>string</v>
      </c>
      <c r="E982" s="105" t="str">
        <f t="shared" si="863"/>
        <v>20</v>
      </c>
      <c r="F982" s="104" t="s">
        <v>1123</v>
      </c>
      <c r="G982" s="103" t="str">
        <f t="shared" si="840"/>
        <v>O</v>
      </c>
      <c r="H982" s="103" t="str">
        <f t="shared" si="864"/>
        <v>space</v>
      </c>
      <c r="I982" s="104" t="str">
        <f t="shared" ref="I982:I984" si="865">""</f>
        <v/>
      </c>
      <c r="J982" s="104" t="str">
        <f>"Y"</f>
        <v>Y</v>
      </c>
      <c r="K982" s="104"/>
      <c r="L982" s="105"/>
      <c r="M982" s="104"/>
      <c r="N982" s="104"/>
      <c r="O982" s="104"/>
      <c r="P982" s="104"/>
      <c r="Q982" s="104"/>
      <c r="R982" s="104"/>
      <c r="S982" s="104"/>
      <c r="T982" s="107"/>
      <c r="U982" s="107"/>
    </row>
    <row r="983" ht="15.75" hidden="1" customHeight="1">
      <c r="A983" s="103"/>
      <c r="B983" s="104" t="str">
        <f>"TranReturnMessage"</f>
        <v>TranReturnMessage</v>
      </c>
      <c r="C983" s="104" t="str">
        <f>"yfs_credit_card_transaction.tran_return_message"</f>
        <v>yfs_credit_card_transaction.tran_return_message</v>
      </c>
      <c r="D983" s="104" t="str">
        <f t="shared" si="862"/>
        <v>string</v>
      </c>
      <c r="E983" s="105" t="str">
        <f>"255"</f>
        <v>255</v>
      </c>
      <c r="F983" s="104" t="s">
        <v>1124</v>
      </c>
      <c r="G983" s="103" t="str">
        <f t="shared" si="840"/>
        <v>O</v>
      </c>
      <c r="H983" s="103" t="str">
        <f t="shared" si="864"/>
        <v>space</v>
      </c>
      <c r="I983" s="104" t="str">
        <f t="shared" si="865"/>
        <v/>
      </c>
      <c r="J983" s="104" t="str">
        <f t="shared" ref="J983:J984" si="866">""</f>
        <v/>
      </c>
      <c r="K983" s="104"/>
      <c r="L983" s="105"/>
      <c r="M983" s="104"/>
      <c r="N983" s="104"/>
      <c r="O983" s="104"/>
      <c r="P983" s="104"/>
      <c r="Q983" s="104"/>
      <c r="R983" s="104"/>
      <c r="S983" s="104"/>
      <c r="T983" s="107"/>
      <c r="U983" s="107"/>
    </row>
    <row r="984" ht="15.75" hidden="1" customHeight="1">
      <c r="A984" s="103"/>
      <c r="B984" s="104" t="str">
        <f>"TranType"</f>
        <v>TranType</v>
      </c>
      <c r="C984" s="104" t="str">
        <f>"yfs_credit_card_transaction.tran_type"</f>
        <v>yfs_credit_card_transaction.tran_type</v>
      </c>
      <c r="D984" s="104" t="str">
        <f t="shared" si="862"/>
        <v>string</v>
      </c>
      <c r="E984" s="105" t="str">
        <f>"40"</f>
        <v>40</v>
      </c>
      <c r="F984" s="118" t="s">
        <v>1125</v>
      </c>
      <c r="G984" s="103" t="str">
        <f t="shared" si="840"/>
        <v>O</v>
      </c>
      <c r="H984" s="103" t="str">
        <f t="shared" si="864"/>
        <v>space</v>
      </c>
      <c r="I984" s="104" t="str">
        <f t="shared" si="865"/>
        <v/>
      </c>
      <c r="J984" s="104" t="str">
        <f t="shared" si="866"/>
        <v/>
      </c>
      <c r="K984" s="104"/>
      <c r="L984" s="105"/>
      <c r="M984" s="104"/>
      <c r="N984" s="104"/>
      <c r="O984" s="104"/>
      <c r="P984" s="104"/>
      <c r="Q984" s="104"/>
      <c r="R984" s="104"/>
      <c r="S984" s="104"/>
      <c r="T984" s="107"/>
      <c r="U984" s="107"/>
    </row>
    <row r="985" ht="15.75" hidden="1" customHeight="1">
      <c r="A985" s="103"/>
      <c r="B985" s="104" t="str">
        <f>"VoidTransaction"</f>
        <v>VoidTransaction</v>
      </c>
      <c r="C985" s="104" t="str">
        <f>"yfs_charge_transaction.void_transaction"</f>
        <v>yfs_charge_transaction.void_transaction</v>
      </c>
      <c r="D985" s="104" t="str">
        <f t="shared" si="862"/>
        <v>string</v>
      </c>
      <c r="E985" s="105" t="str">
        <f>"1"</f>
        <v>1</v>
      </c>
      <c r="F985" s="118" t="s">
        <v>1126</v>
      </c>
      <c r="G985" s="103" t="str">
        <f t="shared" si="840"/>
        <v>O</v>
      </c>
      <c r="H985" s="103" t="str">
        <f t="shared" ref="H985:J985" si="867">""</f>
        <v/>
      </c>
      <c r="I985" s="104" t="str">
        <f t="shared" si="867"/>
        <v/>
      </c>
      <c r="J985" s="104" t="str">
        <f t="shared" si="867"/>
        <v/>
      </c>
      <c r="K985" s="104"/>
      <c r="L985" s="105"/>
      <c r="M985" s="104"/>
      <c r="N985" s="104"/>
      <c r="O985" s="104"/>
      <c r="P985" s="104"/>
      <c r="Q985" s="104"/>
      <c r="R985" s="104"/>
      <c r="S985" s="104"/>
      <c r="T985" s="107"/>
      <c r="U985" s="107"/>
    </row>
    <row r="986" ht="15.75" hidden="1" customHeight="1">
      <c r="A986" s="196" t="s">
        <v>92</v>
      </c>
      <c r="B986" s="170" t="str">
        <f>"/Order/PaymentMethods/PaymentMethod/PaymentDetailsList"</f>
        <v>/Order/PaymentMethods/PaymentMethod/PaymentDetailsList</v>
      </c>
      <c r="C986" s="170"/>
      <c r="D986" s="170"/>
      <c r="E986" s="170"/>
      <c r="F986" s="170"/>
      <c r="G986" s="196" t="str">
        <f t="shared" si="840"/>
        <v>O</v>
      </c>
      <c r="H986" s="170"/>
      <c r="I986" s="170"/>
      <c r="J986" s="170"/>
      <c r="K986" s="170"/>
      <c r="L986" s="170"/>
      <c r="M986" s="170"/>
      <c r="N986" s="170"/>
      <c r="O986" s="170"/>
      <c r="P986" s="170"/>
      <c r="Q986" s="170"/>
      <c r="R986" s="170"/>
      <c r="S986" s="170"/>
      <c r="T986" s="197"/>
      <c r="U986" s="197"/>
    </row>
    <row r="987" ht="15.75" hidden="1" customHeight="1">
      <c r="A987" s="196" t="s">
        <v>92</v>
      </c>
      <c r="B987" s="170" t="str">
        <f>"/Order/PaymentMethods/PaymentMethod/PaymentDetailsList/PaymentDetails/@"</f>
        <v>/Order/PaymentMethods/PaymentMethod/PaymentDetailsList/PaymentDetails/@</v>
      </c>
      <c r="C987" s="170"/>
      <c r="D987" s="170"/>
      <c r="E987" s="170"/>
      <c r="F987" s="170"/>
      <c r="G987" s="196" t="str">
        <f t="shared" si="840"/>
        <v>O</v>
      </c>
      <c r="H987" s="170"/>
      <c r="I987" s="170"/>
      <c r="J987" s="170"/>
      <c r="K987" s="170"/>
      <c r="L987" s="170"/>
      <c r="M987" s="170"/>
      <c r="N987" s="170"/>
      <c r="O987" s="170"/>
      <c r="P987" s="170"/>
      <c r="Q987" s="170"/>
      <c r="R987" s="170"/>
      <c r="S987" s="170"/>
      <c r="T987" s="197"/>
      <c r="U987" s="197"/>
    </row>
    <row r="988" ht="15.75" hidden="1" customHeight="1">
      <c r="A988" s="103"/>
      <c r="B988" s="104" t="str">
        <f>"AuditTransactionId"</f>
        <v>AuditTransactionId</v>
      </c>
      <c r="C988" s="104" t="str">
        <f>"yfs_charge_transaction.audit_transaction_id"</f>
        <v>yfs_charge_transaction.audit_transaction_id</v>
      </c>
      <c r="D988" s="104" t="str">
        <f t="shared" ref="D988:D993" si="869">"string"</f>
        <v>string</v>
      </c>
      <c r="E988" s="105" t="str">
        <f>"40"</f>
        <v>40</v>
      </c>
      <c r="F988" s="104" t="s">
        <v>1093</v>
      </c>
      <c r="G988" s="103" t="str">
        <f t="shared" si="840"/>
        <v>O</v>
      </c>
      <c r="H988" s="103" t="str">
        <f t="shared" ref="H988:H993" si="870">"space"</f>
        <v>space</v>
      </c>
      <c r="I988" s="104" t="str">
        <f t="shared" ref="I988:J988" si="868">""</f>
        <v/>
      </c>
      <c r="J988" s="104" t="str">
        <f t="shared" si="868"/>
        <v/>
      </c>
      <c r="K988" s="104"/>
      <c r="L988" s="105"/>
      <c r="M988" s="104"/>
      <c r="N988" s="104"/>
      <c r="O988" s="104"/>
      <c r="P988" s="104"/>
      <c r="Q988" s="104"/>
      <c r="R988" s="104"/>
      <c r="S988" s="104"/>
      <c r="T988" s="107"/>
      <c r="U988" s="107"/>
    </row>
    <row r="989" ht="15.75" hidden="1" customHeight="1">
      <c r="A989" s="103"/>
      <c r="B989" s="104" t="str">
        <f>"AuthAvs"</f>
        <v>AuthAvs</v>
      </c>
      <c r="C989" s="104" t="str">
        <f>"yfs_credit_card_transaction.auth_avs"</f>
        <v>yfs_credit_card_transaction.auth_avs</v>
      </c>
      <c r="D989" s="104" t="str">
        <f t="shared" si="869"/>
        <v>string</v>
      </c>
      <c r="E989" s="105" t="str">
        <f t="shared" ref="E989:E992" si="872">"20"</f>
        <v>20</v>
      </c>
      <c r="F989" s="104" t="s">
        <v>1094</v>
      </c>
      <c r="G989" s="103" t="str">
        <f t="shared" si="840"/>
        <v>O</v>
      </c>
      <c r="H989" s="103" t="str">
        <f t="shared" si="870"/>
        <v>space</v>
      </c>
      <c r="I989" s="104" t="str">
        <f t="shared" ref="I989:J989" si="871">""</f>
        <v/>
      </c>
      <c r="J989" s="104" t="str">
        <f t="shared" si="871"/>
        <v/>
      </c>
      <c r="K989" s="104"/>
      <c r="L989" s="105"/>
      <c r="M989" s="104"/>
      <c r="N989" s="104"/>
      <c r="O989" s="104"/>
      <c r="P989" s="104"/>
      <c r="Q989" s="104"/>
      <c r="R989" s="104"/>
      <c r="S989" s="104"/>
      <c r="T989" s="107"/>
      <c r="U989" s="107"/>
    </row>
    <row r="990" ht="15.75" hidden="1" customHeight="1">
      <c r="A990" s="103" t="s">
        <v>92</v>
      </c>
      <c r="B990" s="104" t="str">
        <f>"AuthCode"</f>
        <v>AuthCode</v>
      </c>
      <c r="C990" s="104" t="str">
        <f>"yfs_credit_card_transaction.auth_code"</f>
        <v>yfs_credit_card_transaction.auth_code</v>
      </c>
      <c r="D990" s="104" t="str">
        <f t="shared" si="869"/>
        <v>string</v>
      </c>
      <c r="E990" s="105" t="str">
        <f t="shared" si="872"/>
        <v>20</v>
      </c>
      <c r="F990" s="104" t="s">
        <v>1095</v>
      </c>
      <c r="G990" s="103" t="str">
        <f t="shared" si="840"/>
        <v>O</v>
      </c>
      <c r="H990" s="103" t="str">
        <f t="shared" si="870"/>
        <v>space</v>
      </c>
      <c r="I990" s="104" t="str">
        <f t="shared" ref="I990:I997" si="873">""</f>
        <v/>
      </c>
      <c r="J990" s="104" t="str">
        <f>"5584"</f>
        <v>5584</v>
      </c>
      <c r="K990" s="104"/>
      <c r="L990" s="105"/>
      <c r="M990" s="297"/>
      <c r="N990" s="297"/>
      <c r="O990" s="297"/>
      <c r="P990" s="297"/>
      <c r="Q990" s="297"/>
      <c r="R990" s="297"/>
      <c r="S990" s="297"/>
      <c r="T990" s="298"/>
      <c r="U990" s="298"/>
    </row>
    <row r="991" ht="15.75" hidden="1" customHeight="1">
      <c r="A991" s="103"/>
      <c r="B991" s="104" t="str">
        <f>"AuthReturnCode"</f>
        <v>AuthReturnCode</v>
      </c>
      <c r="C991" s="104" t="str">
        <f>"yfs_credit_card_transaction.auth_return_code"</f>
        <v>yfs_credit_card_transaction.auth_return_code</v>
      </c>
      <c r="D991" s="104" t="str">
        <f t="shared" si="869"/>
        <v>string</v>
      </c>
      <c r="E991" s="105" t="str">
        <f t="shared" si="872"/>
        <v>20</v>
      </c>
      <c r="F991" s="104" t="s">
        <v>1096</v>
      </c>
      <c r="G991" s="103" t="str">
        <f t="shared" si="840"/>
        <v>O</v>
      </c>
      <c r="H991" s="103" t="str">
        <f t="shared" si="870"/>
        <v>space</v>
      </c>
      <c r="I991" s="104" t="str">
        <f t="shared" si="873"/>
        <v/>
      </c>
      <c r="J991" s="104" t="str">
        <f>""</f>
        <v/>
      </c>
      <c r="K991" s="104"/>
      <c r="L991" s="105"/>
      <c r="M991" s="104"/>
      <c r="N991" s="104"/>
      <c r="O991" s="104"/>
      <c r="P991" s="104"/>
      <c r="Q991" s="104"/>
      <c r="R991" s="104"/>
      <c r="S991" s="104"/>
      <c r="T991" s="107"/>
      <c r="U991" s="107"/>
    </row>
    <row r="992" ht="15.75" hidden="1" customHeight="1">
      <c r="A992" s="103"/>
      <c r="B992" s="104" t="str">
        <f>"AuthReturnFlag"</f>
        <v>AuthReturnFlag</v>
      </c>
      <c r="C992" s="104" t="str">
        <f>"yfs_credit_card_transaction.auth_return_flag"</f>
        <v>yfs_credit_card_transaction.auth_return_flag</v>
      </c>
      <c r="D992" s="104" t="str">
        <f t="shared" si="869"/>
        <v>string</v>
      </c>
      <c r="E992" s="105" t="str">
        <f t="shared" si="872"/>
        <v>20</v>
      </c>
      <c r="F992" s="104" t="s">
        <v>1097</v>
      </c>
      <c r="G992" s="103" t="str">
        <f t="shared" si="840"/>
        <v>O</v>
      </c>
      <c r="H992" s="103" t="str">
        <f t="shared" si="870"/>
        <v>space</v>
      </c>
      <c r="I992" s="104" t="str">
        <f t="shared" si="873"/>
        <v/>
      </c>
      <c r="J992" s="104" t="str">
        <f>"Y"</f>
        <v>Y</v>
      </c>
      <c r="K992" s="104"/>
      <c r="L992" s="105"/>
      <c r="M992" s="104"/>
      <c r="N992" s="104"/>
      <c r="O992" s="104"/>
      <c r="P992" s="104"/>
      <c r="Q992" s="104"/>
      <c r="R992" s="104"/>
      <c r="S992" s="104"/>
      <c r="T992" s="107"/>
      <c r="U992" s="107"/>
    </row>
    <row r="993" ht="15.75" hidden="1" customHeight="1">
      <c r="A993" s="103"/>
      <c r="B993" s="104" t="str">
        <f>"AuthReturnMessage"</f>
        <v>AuthReturnMessage</v>
      </c>
      <c r="C993" s="104" t="str">
        <f>"yfs_credit_card_transaction.auth_return_message"</f>
        <v>yfs_credit_card_transaction.auth_return_message</v>
      </c>
      <c r="D993" s="104" t="str">
        <f t="shared" si="869"/>
        <v>string</v>
      </c>
      <c r="E993" s="105" t="str">
        <f>"255"</f>
        <v>255</v>
      </c>
      <c r="F993" s="104" t="s">
        <v>1098</v>
      </c>
      <c r="G993" s="103" t="str">
        <f t="shared" si="840"/>
        <v>O</v>
      </c>
      <c r="H993" s="103" t="str">
        <f t="shared" si="870"/>
        <v>space</v>
      </c>
      <c r="I993" s="104" t="str">
        <f t="shared" si="873"/>
        <v/>
      </c>
      <c r="J993" s="104" t="str">
        <f t="shared" ref="J993:J994" si="874">""</f>
        <v/>
      </c>
      <c r="K993" s="104"/>
      <c r="L993" s="105"/>
      <c r="M993" s="104"/>
      <c r="N993" s="104"/>
      <c r="O993" s="104"/>
      <c r="P993" s="104"/>
      <c r="Q993" s="104"/>
      <c r="R993" s="104"/>
      <c r="S993" s="104"/>
      <c r="T993" s="107"/>
      <c r="U993" s="107"/>
    </row>
    <row r="994" ht="15.75" hidden="1" customHeight="1">
      <c r="A994" s="103"/>
      <c r="B994" s="104" t="str">
        <f>"AuthTime"</f>
        <v>AuthTime</v>
      </c>
      <c r="C994" s="104" t="str">
        <f>"yfs_credit_card_transaction.auth_time"</f>
        <v>yfs_credit_card_transaction.auth_time</v>
      </c>
      <c r="D994" s="104" t="str">
        <f t="shared" ref="D994:D995" si="875">"dateTime"</f>
        <v>dateTime</v>
      </c>
      <c r="E994" s="105" t="str">
        <f t="shared" ref="E994:E995" si="876">"25"</f>
        <v>25</v>
      </c>
      <c r="F994" s="104" t="s">
        <v>1099</v>
      </c>
      <c r="G994" s="103" t="str">
        <f t="shared" si="840"/>
        <v>O</v>
      </c>
      <c r="H994" s="103" t="str">
        <f t="shared" ref="H994:H995" si="877">"sysdate"</f>
        <v>sysdate</v>
      </c>
      <c r="I994" s="104" t="str">
        <f t="shared" si="873"/>
        <v/>
      </c>
      <c r="J994" s="104" t="str">
        <f t="shared" si="874"/>
        <v/>
      </c>
      <c r="K994" s="104"/>
      <c r="L994" s="105"/>
      <c r="M994" s="104"/>
      <c r="N994" s="104"/>
      <c r="O994" s="104"/>
      <c r="P994" s="104"/>
      <c r="Q994" s="104"/>
      <c r="R994" s="104" t="s">
        <v>1127</v>
      </c>
      <c r="S994" s="104"/>
      <c r="T994" s="107"/>
      <c r="U994" s="107"/>
    </row>
    <row r="995" ht="15.75" hidden="1" customHeight="1">
      <c r="A995" s="103" t="s">
        <v>92</v>
      </c>
      <c r="B995" s="104" t="str">
        <f>"AuthorizationExpirationDate"</f>
        <v>AuthorizationExpirationDate</v>
      </c>
      <c r="C995" s="104" t="str">
        <f>"yfs_charge_transaction.authorization_expiration_date"</f>
        <v>yfs_charge_transaction.authorization_expiration_date</v>
      </c>
      <c r="D995" s="104" t="str">
        <f t="shared" si="875"/>
        <v>dateTime</v>
      </c>
      <c r="E995" s="105" t="str">
        <f t="shared" si="876"/>
        <v>25</v>
      </c>
      <c r="F995" s="104" t="s">
        <v>1100</v>
      </c>
      <c r="G995" s="103" t="str">
        <f t="shared" si="840"/>
        <v>O</v>
      </c>
      <c r="H995" s="103" t="str">
        <f t="shared" si="877"/>
        <v>sysdate</v>
      </c>
      <c r="I995" s="104" t="str">
        <f t="shared" si="873"/>
        <v/>
      </c>
      <c r="J995" s="104" t="str">
        <f>"2010-08-18T11:18:41-04:00"</f>
        <v>2010-08-18T11:18:41-04:00</v>
      </c>
      <c r="K995" s="104"/>
      <c r="L995" s="105"/>
      <c r="M995" s="104"/>
      <c r="N995" s="104"/>
      <c r="O995" s="104"/>
      <c r="P995" s="104"/>
      <c r="Q995" s="104"/>
      <c r="R995" s="104"/>
      <c r="S995" s="104"/>
      <c r="T995" s="107"/>
      <c r="U995" s="107"/>
    </row>
    <row r="996" ht="15.75" hidden="1" customHeight="1">
      <c r="A996" s="103" t="s">
        <v>92</v>
      </c>
      <c r="B996" s="104" t="str">
        <f>"AuthorizationID"</f>
        <v>AuthorizationID</v>
      </c>
      <c r="C996" s="104" t="str">
        <f>"yfs_charge_transaction.authorization_id"</f>
        <v>yfs_charge_transaction.authorization_id</v>
      </c>
      <c r="D996" s="104" t="str">
        <f t="shared" ref="D996:D997" si="878">"string"</f>
        <v>string</v>
      </c>
      <c r="E996" s="105" t="str">
        <f>"255"</f>
        <v>255</v>
      </c>
      <c r="F996" s="104" t="s">
        <v>1101</v>
      </c>
      <c r="G996" s="103" t="str">
        <f t="shared" si="840"/>
        <v>O</v>
      </c>
      <c r="H996" s="103" t="str">
        <f t="shared" ref="H996:H997" si="879">"space"</f>
        <v>space</v>
      </c>
      <c r="I996" s="104" t="str">
        <f t="shared" si="873"/>
        <v/>
      </c>
      <c r="J996" s="104" t="str">
        <f>"88182931233"</f>
        <v>88182931233</v>
      </c>
      <c r="K996" s="104"/>
      <c r="L996" s="105"/>
      <c r="M996" s="297"/>
      <c r="N996" s="297"/>
      <c r="O996" s="297"/>
      <c r="P996" s="297"/>
      <c r="Q996" s="297"/>
      <c r="R996" s="297"/>
      <c r="S996" s="297"/>
      <c r="T996" s="298"/>
      <c r="U996" s="298"/>
    </row>
    <row r="997" ht="15.75" hidden="1" customHeight="1">
      <c r="A997" s="103"/>
      <c r="B997" s="104" t="str">
        <f>"CVVAuthCode"</f>
        <v>CVVAuthCode</v>
      </c>
      <c r="C997" s="104" t="str">
        <f>"yfs_credit_card_transaction.cvv_auth_code"</f>
        <v>yfs_credit_card_transaction.cvv_auth_code</v>
      </c>
      <c r="D997" s="104" t="str">
        <f t="shared" si="878"/>
        <v>string</v>
      </c>
      <c r="E997" s="105" t="str">
        <f>"20"</f>
        <v>20</v>
      </c>
      <c r="F997" s="104" t="s">
        <v>1102</v>
      </c>
      <c r="G997" s="103" t="str">
        <f t="shared" si="840"/>
        <v>O</v>
      </c>
      <c r="H997" s="103" t="str">
        <f t="shared" si="879"/>
        <v>space</v>
      </c>
      <c r="I997" s="104" t="str">
        <f t="shared" si="873"/>
        <v/>
      </c>
      <c r="J997" s="104" t="str">
        <f>""</f>
        <v/>
      </c>
      <c r="K997" s="104"/>
      <c r="L997" s="105"/>
      <c r="M997" s="104"/>
      <c r="N997" s="104"/>
      <c r="O997" s="104"/>
      <c r="P997" s="104"/>
      <c r="Q997" s="104"/>
      <c r="R997" s="104"/>
      <c r="S997" s="104"/>
      <c r="T997" s="107"/>
      <c r="U997" s="107"/>
    </row>
    <row r="998" ht="15.75" hidden="1" customHeight="1">
      <c r="A998" s="103"/>
      <c r="B998" s="104" t="str">
        <f>"CallForAuthorizationStatus"</f>
        <v>CallForAuthorizationStatus</v>
      </c>
      <c r="C998" s="104" t="str">
        <f>"yfs_charge_transaction.call_for_auth_status"</f>
        <v>yfs_charge_transaction.call_for_auth_status</v>
      </c>
      <c r="D998" s="104" t="str">
        <f t="shared" ref="D998:D999" si="881">"UNKNOWN"</f>
        <v>UNKNOWN</v>
      </c>
      <c r="E998" s="105" t="str">
        <f t="shared" ref="E998:E999" si="882">""</f>
        <v/>
      </c>
      <c r="F998" s="104" t="s">
        <v>1103</v>
      </c>
      <c r="G998" s="103" t="str">
        <f t="shared" si="840"/>
        <v>O</v>
      </c>
      <c r="H998" s="103" t="str">
        <f t="shared" ref="H998:J998" si="880">""</f>
        <v/>
      </c>
      <c r="I998" s="104" t="str">
        <f t="shared" si="880"/>
        <v/>
      </c>
      <c r="J998" s="104" t="str">
        <f t="shared" si="880"/>
        <v/>
      </c>
      <c r="K998" s="104"/>
      <c r="L998" s="105"/>
      <c r="M998" s="104"/>
      <c r="N998" s="104"/>
      <c r="O998" s="104"/>
      <c r="P998" s="104"/>
      <c r="Q998" s="104"/>
      <c r="R998" s="104"/>
      <c r="S998" s="104"/>
      <c r="T998" s="107"/>
      <c r="U998" s="107"/>
    </row>
    <row r="999" ht="15.75" hidden="1" customHeight="1">
      <c r="A999" s="103"/>
      <c r="B999" s="104" t="str">
        <f>"CashBackAmount"</f>
        <v>CashBackAmount</v>
      </c>
      <c r="C999" s="104" t="str">
        <f>"yfs_charge_transaction.cash_back_amount"</f>
        <v>yfs_charge_transaction.cash_back_amount</v>
      </c>
      <c r="D999" s="104" t="str">
        <f t="shared" si="881"/>
        <v>UNKNOWN</v>
      </c>
      <c r="E999" s="105" t="str">
        <f t="shared" si="882"/>
        <v/>
      </c>
      <c r="F999" s="104" t="s">
        <v>1104</v>
      </c>
      <c r="G999" s="103" t="str">
        <f t="shared" si="840"/>
        <v>O</v>
      </c>
      <c r="H999" s="103" t="str">
        <f t="shared" ref="H999:J999" si="883">""</f>
        <v/>
      </c>
      <c r="I999" s="104" t="str">
        <f t="shared" si="883"/>
        <v/>
      </c>
      <c r="J999" s="104" t="str">
        <f t="shared" si="883"/>
        <v/>
      </c>
      <c r="K999" s="104"/>
      <c r="L999" s="105"/>
      <c r="M999" s="104"/>
      <c r="N999" s="104"/>
      <c r="O999" s="104"/>
      <c r="P999" s="104"/>
      <c r="Q999" s="104"/>
      <c r="R999" s="104"/>
      <c r="S999" s="104"/>
      <c r="T999" s="107"/>
      <c r="U999" s="107"/>
    </row>
    <row r="1000" ht="15.75" hidden="1" customHeight="1">
      <c r="A1000" s="103" t="s">
        <v>92</v>
      </c>
      <c r="B1000" s="104" t="str">
        <f>"ChargeType"</f>
        <v>ChargeType</v>
      </c>
      <c r="C1000" s="104" t="str">
        <f>"yfs_charge_transaction.charge_type"</f>
        <v>yfs_charge_transaction.charge_type</v>
      </c>
      <c r="D1000" s="104" t="str">
        <f>"string"</f>
        <v>string</v>
      </c>
      <c r="E1000" s="105" t="str">
        <f>"20"</f>
        <v>20</v>
      </c>
      <c r="F1000" s="104" t="s">
        <v>1105</v>
      </c>
      <c r="G1000" s="103" t="str">
        <f>"M"</f>
        <v>M</v>
      </c>
      <c r="H1000" s="103" t="str">
        <f>"space"</f>
        <v>space</v>
      </c>
      <c r="I1000" s="104" t="str">
        <f t="shared" ref="I1000:I1002" si="884">""</f>
        <v/>
      </c>
      <c r="J1000" s="104" t="str">
        <f>"AUTHORIZATION"</f>
        <v>AUTHORIZATION</v>
      </c>
      <c r="K1000" s="104"/>
      <c r="L1000" s="105"/>
      <c r="M1000" s="104"/>
      <c r="N1000" s="104"/>
      <c r="O1000" s="104"/>
      <c r="P1000" s="104"/>
      <c r="Q1000" s="104"/>
      <c r="R1000" s="104"/>
      <c r="S1000" s="104"/>
      <c r="T1000" s="107"/>
      <c r="U1000" s="107"/>
    </row>
    <row r="1001" ht="15.75" hidden="1" customHeight="1">
      <c r="A1001" s="103"/>
      <c r="B1001" s="104" t="str">
        <f>"CollectionDate"</f>
        <v>CollectionDate</v>
      </c>
      <c r="C1001" s="104" t="str">
        <f>"yfs_charge_transaction.collection_date"</f>
        <v>yfs_charge_transaction.collection_date</v>
      </c>
      <c r="D1001" s="104" t="str">
        <f>"dateTime"</f>
        <v>dateTime</v>
      </c>
      <c r="E1001" s="105" t="str">
        <f>"25"</f>
        <v>25</v>
      </c>
      <c r="F1001" s="104" t="s">
        <v>1106</v>
      </c>
      <c r="G1001" s="103" t="str">
        <f t="shared" ref="G1001:G1060" si="885">"O"</f>
        <v>O</v>
      </c>
      <c r="H1001" s="103" t="str">
        <f>"sysdate"</f>
        <v>sysdate</v>
      </c>
      <c r="I1001" s="104" t="str">
        <f t="shared" si="884"/>
        <v/>
      </c>
      <c r="J1001" s="104" t="str">
        <f t="shared" ref="J1001:J1002" si="886">""</f>
        <v/>
      </c>
      <c r="K1001" s="104"/>
      <c r="L1001" s="105"/>
      <c r="M1001" s="104"/>
      <c r="N1001" s="104"/>
      <c r="O1001" s="104"/>
      <c r="P1001" s="104"/>
      <c r="Q1001" s="104"/>
      <c r="R1001" s="104"/>
      <c r="S1001" s="104"/>
      <c r="T1001" s="107"/>
      <c r="U1001" s="107"/>
    </row>
    <row r="1002" ht="15.75" hidden="1" customHeight="1">
      <c r="A1002" s="103"/>
      <c r="B1002" s="104" t="str">
        <f>"HoldAgainstBook"</f>
        <v>HoldAgainstBook</v>
      </c>
      <c r="C1002" s="104" t="str">
        <f>"yfs_charge_transaction.hold_against_book"</f>
        <v>yfs_charge_transaction.hold_against_book</v>
      </c>
      <c r="D1002" s="104" t="str">
        <f t="shared" ref="D1002:D1008" si="887">"string"</f>
        <v>string</v>
      </c>
      <c r="E1002" s="105" t="str">
        <f t="shared" ref="E1002:E1003" si="888">"1"</f>
        <v>1</v>
      </c>
      <c r="F1002" s="104" t="s">
        <v>1107</v>
      </c>
      <c r="G1002" s="103" t="str">
        <f t="shared" si="885"/>
        <v>O</v>
      </c>
      <c r="H1002" s="103" t="str">
        <f>"space"</f>
        <v>space</v>
      </c>
      <c r="I1002" s="104" t="str">
        <f t="shared" si="884"/>
        <v/>
      </c>
      <c r="J1002" s="104" t="str">
        <f t="shared" si="886"/>
        <v/>
      </c>
      <c r="K1002" s="104"/>
      <c r="L1002" s="105"/>
      <c r="M1002" s="104"/>
      <c r="N1002" s="104"/>
      <c r="O1002" s="104"/>
      <c r="P1002" s="104"/>
      <c r="Q1002" s="104"/>
      <c r="R1002" s="104"/>
      <c r="S1002" s="104"/>
      <c r="T1002" s="107"/>
      <c r="U1002" s="107"/>
    </row>
    <row r="1003" ht="15.75" hidden="1" customHeight="1">
      <c r="A1003" s="103"/>
      <c r="B1003" s="104" t="str">
        <f>"InPerson"</f>
        <v>InPerson</v>
      </c>
      <c r="C1003" s="104" t="str">
        <f>"yfs_charge_transaction.in_person"</f>
        <v>yfs_charge_transaction.in_person</v>
      </c>
      <c r="D1003" s="104" t="str">
        <f t="shared" si="887"/>
        <v>string</v>
      </c>
      <c r="E1003" s="105" t="str">
        <f t="shared" si="888"/>
        <v>1</v>
      </c>
      <c r="F1003" s="104" t="s">
        <v>1108</v>
      </c>
      <c r="G1003" s="103" t="str">
        <f t="shared" si="885"/>
        <v>O</v>
      </c>
      <c r="H1003" s="103" t="str">
        <f t="shared" ref="H1003:J1003" si="889">""</f>
        <v/>
      </c>
      <c r="I1003" s="104" t="str">
        <f t="shared" si="889"/>
        <v/>
      </c>
      <c r="J1003" s="104" t="str">
        <f t="shared" si="889"/>
        <v/>
      </c>
      <c r="K1003" s="104"/>
      <c r="L1003" s="105"/>
      <c r="M1003" s="104"/>
      <c r="N1003" s="104"/>
      <c r="O1003" s="104"/>
      <c r="P1003" s="104"/>
      <c r="Q1003" s="104"/>
      <c r="R1003" s="104"/>
      <c r="S1003" s="104"/>
      <c r="T1003" s="107"/>
      <c r="U1003" s="107"/>
    </row>
    <row r="1004" ht="15.75" hidden="1" customHeight="1">
      <c r="A1004" s="103"/>
      <c r="B1004" s="104" t="str">
        <f>"InternalReturnCode"</f>
        <v>InternalReturnCode</v>
      </c>
      <c r="C1004" s="104" t="str">
        <f>"yfs_credit_card_transaction.internal_return_code"</f>
        <v>yfs_credit_card_transaction.internal_return_code</v>
      </c>
      <c r="D1004" s="104" t="str">
        <f t="shared" si="887"/>
        <v>string</v>
      </c>
      <c r="E1004" s="105" t="str">
        <f t="shared" ref="E1004:E1005" si="891">"20"</f>
        <v>20</v>
      </c>
      <c r="F1004" s="104" t="s">
        <v>1109</v>
      </c>
      <c r="G1004" s="103" t="str">
        <f t="shared" si="885"/>
        <v>O</v>
      </c>
      <c r="H1004" s="103" t="str">
        <f t="shared" ref="H1004:H1006" si="892">"space"</f>
        <v>space</v>
      </c>
      <c r="I1004" s="104" t="str">
        <f t="shared" ref="I1004:J1004" si="890">""</f>
        <v/>
      </c>
      <c r="J1004" s="104" t="str">
        <f t="shared" si="890"/>
        <v/>
      </c>
      <c r="K1004" s="104"/>
      <c r="L1004" s="105"/>
      <c r="M1004" s="104"/>
      <c r="N1004" s="104"/>
      <c r="O1004" s="104"/>
      <c r="P1004" s="104"/>
      <c r="Q1004" s="104"/>
      <c r="R1004" s="104"/>
      <c r="S1004" s="104"/>
      <c r="T1004" s="107"/>
      <c r="U1004" s="107"/>
    </row>
    <row r="1005" ht="15.75" hidden="1" customHeight="1">
      <c r="A1005" s="103"/>
      <c r="B1005" s="104" t="str">
        <f>"InternalReturnFlag"</f>
        <v>InternalReturnFlag</v>
      </c>
      <c r="C1005" s="104" t="str">
        <f>"yfs_credit_card_transaction.internal_return_flag"</f>
        <v>yfs_credit_card_transaction.internal_return_flag</v>
      </c>
      <c r="D1005" s="104" t="str">
        <f t="shared" si="887"/>
        <v>string</v>
      </c>
      <c r="E1005" s="105" t="str">
        <f t="shared" si="891"/>
        <v>20</v>
      </c>
      <c r="F1005" s="104" t="s">
        <v>1110</v>
      </c>
      <c r="G1005" s="103" t="str">
        <f t="shared" si="885"/>
        <v>O</v>
      </c>
      <c r="H1005" s="103" t="str">
        <f t="shared" si="892"/>
        <v>space</v>
      </c>
      <c r="I1005" s="104" t="str">
        <f t="shared" ref="I1005:I1006" si="893">""</f>
        <v/>
      </c>
      <c r="J1005" s="104" t="str">
        <f>"Y"</f>
        <v>Y</v>
      </c>
      <c r="K1005" s="104"/>
      <c r="L1005" s="105"/>
      <c r="M1005" s="104"/>
      <c r="N1005" s="104"/>
      <c r="O1005" s="104"/>
      <c r="P1005" s="104"/>
      <c r="Q1005" s="104"/>
      <c r="R1005" s="104"/>
      <c r="S1005" s="104"/>
      <c r="T1005" s="107"/>
      <c r="U1005" s="107"/>
    </row>
    <row r="1006" ht="15.75" hidden="1" customHeight="1">
      <c r="A1006" s="103"/>
      <c r="B1006" s="104" t="str">
        <f>"InternalReturnMessage"</f>
        <v>InternalReturnMessage</v>
      </c>
      <c r="C1006" s="104" t="str">
        <f>"yfs_credit_card_transaction.internal_return_message"</f>
        <v>yfs_credit_card_transaction.internal_return_message</v>
      </c>
      <c r="D1006" s="104" t="str">
        <f t="shared" si="887"/>
        <v>string</v>
      </c>
      <c r="E1006" s="105" t="str">
        <f>"255"</f>
        <v>255</v>
      </c>
      <c r="F1006" s="104" t="s">
        <v>1111</v>
      </c>
      <c r="G1006" s="103" t="str">
        <f t="shared" si="885"/>
        <v>O</v>
      </c>
      <c r="H1006" s="103" t="str">
        <f t="shared" si="892"/>
        <v>space</v>
      </c>
      <c r="I1006" s="104" t="str">
        <f t="shared" si="893"/>
        <v/>
      </c>
      <c r="J1006" s="104" t="str">
        <f>""</f>
        <v/>
      </c>
      <c r="K1006" s="104"/>
      <c r="L1006" s="105"/>
      <c r="M1006" s="104"/>
      <c r="N1006" s="104"/>
      <c r="O1006" s="104"/>
      <c r="P1006" s="104"/>
      <c r="Q1006" s="104"/>
      <c r="R1006" s="104"/>
      <c r="S1006" s="104"/>
      <c r="T1006" s="107"/>
      <c r="U1006" s="107"/>
    </row>
    <row r="1007" ht="15.75" hidden="1" customHeight="1">
      <c r="A1007" s="103"/>
      <c r="B1007" s="104" t="str">
        <f>"OfflineStatus"</f>
        <v>OfflineStatus</v>
      </c>
      <c r="C1007" s="104" t="str">
        <f>"yfs_charge_transaction.offline_status"</f>
        <v>yfs_charge_transaction.offline_status</v>
      </c>
      <c r="D1007" s="104" t="str">
        <f t="shared" si="887"/>
        <v>string</v>
      </c>
      <c r="E1007" s="105" t="str">
        <f>"1"</f>
        <v>1</v>
      </c>
      <c r="F1007" s="104" t="s">
        <v>1112</v>
      </c>
      <c r="G1007" s="103" t="str">
        <f t="shared" si="885"/>
        <v>O</v>
      </c>
      <c r="H1007" s="103" t="str">
        <f t="shared" ref="H1007:J1007" si="894">""</f>
        <v/>
      </c>
      <c r="I1007" s="104" t="str">
        <f t="shared" si="894"/>
        <v/>
      </c>
      <c r="J1007" s="104" t="str">
        <f t="shared" si="894"/>
        <v/>
      </c>
      <c r="K1007" s="104"/>
      <c r="L1007" s="105"/>
      <c r="M1007" s="104"/>
      <c r="N1007" s="104"/>
      <c r="O1007" s="104"/>
      <c r="P1007" s="104"/>
      <c r="Q1007" s="104"/>
      <c r="R1007" s="104"/>
      <c r="S1007" s="104"/>
      <c r="T1007" s="107"/>
      <c r="U1007" s="107"/>
    </row>
    <row r="1008" ht="15.75" hidden="1" customHeight="1">
      <c r="A1008" s="103"/>
      <c r="B1008" s="104" t="str">
        <f>"PaymentEntryType"</f>
        <v>PaymentEntryType</v>
      </c>
      <c r="C1008" s="104" t="str">
        <f>"yfs_charge_transaction.payment_entry_type"</f>
        <v>yfs_charge_transaction.payment_entry_type</v>
      </c>
      <c r="D1008" s="104" t="str">
        <f t="shared" si="887"/>
        <v>string</v>
      </c>
      <c r="E1008" s="105" t="str">
        <f>"100"</f>
        <v>100</v>
      </c>
      <c r="F1008" s="104" t="s">
        <v>1113</v>
      </c>
      <c r="G1008" s="103" t="str">
        <f t="shared" si="885"/>
        <v>O</v>
      </c>
      <c r="H1008" s="103" t="str">
        <f t="shared" ref="H1008:J1008" si="895">""</f>
        <v/>
      </c>
      <c r="I1008" s="104" t="str">
        <f t="shared" si="895"/>
        <v/>
      </c>
      <c r="J1008" s="104" t="str">
        <f t="shared" si="895"/>
        <v/>
      </c>
      <c r="K1008" s="104"/>
      <c r="L1008" s="105"/>
      <c r="M1008" s="104"/>
      <c r="N1008" s="104"/>
      <c r="O1008" s="104"/>
      <c r="P1008" s="104"/>
      <c r="Q1008" s="104"/>
      <c r="R1008" s="104"/>
      <c r="S1008" s="104"/>
      <c r="T1008" s="107"/>
      <c r="U1008" s="107"/>
    </row>
    <row r="1009" ht="15.75" hidden="1" customHeight="1">
      <c r="A1009" s="103" t="s">
        <v>92</v>
      </c>
      <c r="B1009" s="104" t="str">
        <f>"ProcessedAmount"</f>
        <v>ProcessedAmount</v>
      </c>
      <c r="C1009" s="104" t="str">
        <f>""</f>
        <v/>
      </c>
      <c r="D1009" s="104" t="str">
        <f>"UNKNOWN"</f>
        <v>UNKNOWN</v>
      </c>
      <c r="E1009" s="105" t="str">
        <f>""</f>
        <v/>
      </c>
      <c r="F1009" s="104" t="s">
        <v>1114</v>
      </c>
      <c r="G1009" s="103" t="str">
        <f t="shared" si="885"/>
        <v>O</v>
      </c>
      <c r="H1009" s="103" t="str">
        <f t="shared" ref="H1009:J1009" si="896">""</f>
        <v/>
      </c>
      <c r="I1009" s="104" t="str">
        <f t="shared" si="896"/>
        <v/>
      </c>
      <c r="J1009" s="104" t="str">
        <f t="shared" si="896"/>
        <v/>
      </c>
      <c r="K1009" s="104"/>
      <c r="L1009" s="105"/>
      <c r="M1009" s="320"/>
      <c r="N1009" s="320"/>
      <c r="O1009" s="320"/>
      <c r="P1009" s="320"/>
      <c r="Q1009" s="320"/>
      <c r="R1009" s="320"/>
      <c r="S1009" s="320"/>
      <c r="T1009" s="320"/>
      <c r="U1009" s="320"/>
    </row>
    <row r="1010" ht="15.75" hidden="1" customHeight="1">
      <c r="A1010" s="103"/>
      <c r="B1010" s="104" t="str">
        <f>"Reference1"</f>
        <v>Reference1</v>
      </c>
      <c r="C1010" s="104" t="str">
        <f>"yfs_credit_card_transaction.reference1"</f>
        <v>yfs_credit_card_transaction.reference1</v>
      </c>
      <c r="D1010" s="104" t="str">
        <f t="shared" ref="D1010:D1011" si="898">"string"</f>
        <v>string</v>
      </c>
      <c r="E1010" s="105" t="str">
        <f t="shared" ref="E1010:E1011" si="899">"100"</f>
        <v>100</v>
      </c>
      <c r="F1010" s="104" t="s">
        <v>1115</v>
      </c>
      <c r="G1010" s="103" t="str">
        <f t="shared" si="885"/>
        <v>O</v>
      </c>
      <c r="H1010" s="103" t="str">
        <f t="shared" ref="H1010:H1011" si="900">"space"</f>
        <v>space</v>
      </c>
      <c r="I1010" s="104" t="str">
        <f t="shared" ref="I1010:J1010" si="897">""</f>
        <v/>
      </c>
      <c r="J1010" s="104" t="str">
        <f t="shared" si="897"/>
        <v/>
      </c>
      <c r="K1010" s="104"/>
      <c r="L1010" s="105"/>
      <c r="M1010" s="104"/>
      <c r="N1010" s="104"/>
      <c r="O1010" s="104"/>
      <c r="P1010" s="104"/>
      <c r="Q1010" s="104"/>
      <c r="R1010" s="104"/>
      <c r="S1010" s="104"/>
      <c r="T1010" s="107"/>
      <c r="U1010" s="107"/>
    </row>
    <row r="1011" ht="15.75" hidden="1" customHeight="1">
      <c r="A1011" s="103"/>
      <c r="B1011" s="104" t="str">
        <f>"Reference2"</f>
        <v>Reference2</v>
      </c>
      <c r="C1011" s="104" t="str">
        <f>"yfs_credit_card_transaction.reference2"</f>
        <v>yfs_credit_card_transaction.reference2</v>
      </c>
      <c r="D1011" s="104" t="str">
        <f t="shared" si="898"/>
        <v>string</v>
      </c>
      <c r="E1011" s="105" t="str">
        <f t="shared" si="899"/>
        <v>100</v>
      </c>
      <c r="F1011" s="104" t="s">
        <v>1116</v>
      </c>
      <c r="G1011" s="103" t="str">
        <f t="shared" si="885"/>
        <v>O</v>
      </c>
      <c r="H1011" s="103" t="str">
        <f t="shared" si="900"/>
        <v>space</v>
      </c>
      <c r="I1011" s="104" t="str">
        <f t="shared" ref="I1011:J1011" si="901">""</f>
        <v/>
      </c>
      <c r="J1011" s="104" t="str">
        <f t="shared" si="901"/>
        <v/>
      </c>
      <c r="K1011" s="104"/>
      <c r="L1011" s="105"/>
      <c r="M1011" s="104"/>
      <c r="N1011" s="104"/>
      <c r="O1011" s="104"/>
      <c r="P1011" s="104"/>
      <c r="Q1011" s="104"/>
      <c r="R1011" s="104"/>
      <c r="S1011" s="104"/>
      <c r="T1011" s="107"/>
      <c r="U1011" s="107"/>
    </row>
    <row r="1012" ht="15.75" hidden="1" customHeight="1">
      <c r="A1012" s="103" t="s">
        <v>92</v>
      </c>
      <c r="B1012" s="104" t="str">
        <f>"RequestAmount"</f>
        <v>RequestAmount</v>
      </c>
      <c r="C1012" s="104" t="str">
        <f>"yfs_charge_transaction.request_amount"</f>
        <v>yfs_charge_transaction.request_amount</v>
      </c>
      <c r="D1012" s="104" t="str">
        <f>"UNKNOWN"</f>
        <v>UNKNOWN</v>
      </c>
      <c r="E1012" s="105" t="str">
        <f>""</f>
        <v/>
      </c>
      <c r="F1012" s="104" t="s">
        <v>1117</v>
      </c>
      <c r="G1012" s="103" t="str">
        <f t="shared" si="885"/>
        <v>O</v>
      </c>
      <c r="H1012" s="103" t="str">
        <f>"0 "</f>
        <v>0 </v>
      </c>
      <c r="I1012" s="104" t="str">
        <f t="shared" ref="I1012:I1013" si="902">""</f>
        <v/>
      </c>
      <c r="J1012" s="104" t="str">
        <f>"75.00"</f>
        <v>75.00</v>
      </c>
      <c r="K1012" s="104"/>
      <c r="L1012" s="105"/>
      <c r="M1012" s="297"/>
      <c r="N1012" s="297"/>
      <c r="O1012" s="297"/>
      <c r="P1012" s="297"/>
      <c r="Q1012" s="297"/>
      <c r="R1012" s="297"/>
      <c r="S1012" s="297"/>
      <c r="T1012" s="298"/>
      <c r="U1012" s="298"/>
    </row>
    <row r="1013" ht="15.75" hidden="1" customHeight="1">
      <c r="A1013" s="103" t="s">
        <v>92</v>
      </c>
      <c r="B1013" s="104" t="str">
        <f>"RequestId"</f>
        <v>RequestId</v>
      </c>
      <c r="C1013" s="104" t="str">
        <f>"yfs_credit_card_transaction.request_id"</f>
        <v>yfs_credit_card_transaction.request_id</v>
      </c>
      <c r="D1013" s="104" t="str">
        <f t="shared" ref="D1013:D1014" si="903">"string"</f>
        <v>string</v>
      </c>
      <c r="E1013" s="105" t="str">
        <f>"255"</f>
        <v>255</v>
      </c>
      <c r="F1013" s="104" t="s">
        <v>1118</v>
      </c>
      <c r="G1013" s="103" t="str">
        <f t="shared" si="885"/>
        <v>O</v>
      </c>
      <c r="H1013" s="103" t="str">
        <f>"space"</f>
        <v>space</v>
      </c>
      <c r="I1013" s="104" t="str">
        <f t="shared" si="902"/>
        <v/>
      </c>
      <c r="J1013" s="104" t="str">
        <f>""</f>
        <v/>
      </c>
      <c r="K1013" s="104"/>
      <c r="L1013" s="105"/>
      <c r="M1013" s="297"/>
      <c r="N1013" s="297"/>
      <c r="O1013" s="297"/>
      <c r="P1013" s="297"/>
      <c r="Q1013" s="297"/>
      <c r="R1013" s="297"/>
      <c r="S1013" s="297"/>
      <c r="T1013" s="298"/>
      <c r="U1013" s="298"/>
    </row>
    <row r="1014" ht="15.75" hidden="1" customHeight="1">
      <c r="A1014" s="103"/>
      <c r="B1014" s="104" t="str">
        <f>"RequestProcessed"</f>
        <v>RequestProcessed</v>
      </c>
      <c r="C1014" s="104" t="str">
        <f>""</f>
        <v/>
      </c>
      <c r="D1014" s="104" t="str">
        <f t="shared" si="903"/>
        <v>string</v>
      </c>
      <c r="E1014" s="105" t="str">
        <f>"1"</f>
        <v>1</v>
      </c>
      <c r="F1014" s="104" t="s">
        <v>1120</v>
      </c>
      <c r="G1014" s="103" t="str">
        <f t="shared" si="885"/>
        <v>O</v>
      </c>
      <c r="H1014" s="103" t="str">
        <f t="shared" ref="H1014:J1014" si="904">""</f>
        <v/>
      </c>
      <c r="I1014" s="104" t="str">
        <f t="shared" si="904"/>
        <v/>
      </c>
      <c r="J1014" s="104" t="str">
        <f t="shared" si="904"/>
        <v/>
      </c>
      <c r="K1014" s="104"/>
      <c r="L1014" s="105"/>
      <c r="M1014" s="104"/>
      <c r="N1014" s="104"/>
      <c r="O1014" s="104"/>
      <c r="P1014" s="104"/>
      <c r="Q1014" s="104"/>
      <c r="R1014" s="104"/>
      <c r="S1014" s="104"/>
      <c r="T1014" s="107"/>
      <c r="U1014" s="107"/>
    </row>
    <row r="1015" ht="15.75" hidden="1" customHeight="1">
      <c r="A1015" s="103"/>
      <c r="B1015" s="104" t="str">
        <f>"TranRequestTime"</f>
        <v>TranRequestTime</v>
      </c>
      <c r="C1015" s="104" t="str">
        <f>"yfs_credit_card_transaction.tran_request_time"</f>
        <v>yfs_credit_card_transaction.tran_request_time</v>
      </c>
      <c r="D1015" s="104" t="str">
        <f>"dateTime"</f>
        <v>dateTime</v>
      </c>
      <c r="E1015" s="105" t="str">
        <f>"25"</f>
        <v>25</v>
      </c>
      <c r="F1015" s="104" t="s">
        <v>1121</v>
      </c>
      <c r="G1015" s="103" t="str">
        <f t="shared" si="885"/>
        <v>O</v>
      </c>
      <c r="H1015" s="103" t="str">
        <f>"sysdate"</f>
        <v>sysdate</v>
      </c>
      <c r="I1015" s="104" t="str">
        <f t="shared" ref="I1015:J1015" si="905">""</f>
        <v/>
      </c>
      <c r="J1015" s="104" t="str">
        <f t="shared" si="905"/>
        <v/>
      </c>
      <c r="K1015" s="104"/>
      <c r="L1015" s="105"/>
      <c r="M1015" s="104"/>
      <c r="N1015" s="104"/>
      <c r="O1015" s="104"/>
      <c r="P1015" s="104"/>
      <c r="Q1015" s="104"/>
      <c r="R1015" s="104"/>
      <c r="S1015" s="104"/>
      <c r="T1015" s="107"/>
      <c r="U1015" s="107"/>
    </row>
    <row r="1016" ht="15.75" hidden="1" customHeight="1">
      <c r="A1016" s="103"/>
      <c r="B1016" s="104" t="str">
        <f>"TranReturnCode"</f>
        <v>TranReturnCode</v>
      </c>
      <c r="C1016" s="104" t="str">
        <f>"yfs_credit_card_transaction.tran_return_code"</f>
        <v>yfs_credit_card_transaction.tran_return_code</v>
      </c>
      <c r="D1016" s="104" t="str">
        <f t="shared" ref="D1016:D1020" si="907">"string"</f>
        <v>string</v>
      </c>
      <c r="E1016" s="105" t="str">
        <f t="shared" ref="E1016:E1017" si="908">"20"</f>
        <v>20</v>
      </c>
      <c r="F1016" s="104" t="s">
        <v>1122</v>
      </c>
      <c r="G1016" s="103" t="str">
        <f t="shared" si="885"/>
        <v>O</v>
      </c>
      <c r="H1016" s="103" t="str">
        <f t="shared" ref="H1016:H1019" si="909">"space"</f>
        <v>space</v>
      </c>
      <c r="I1016" s="104" t="str">
        <f t="shared" ref="I1016:J1016" si="906">""</f>
        <v/>
      </c>
      <c r="J1016" s="104" t="str">
        <f t="shared" si="906"/>
        <v/>
      </c>
      <c r="K1016" s="104"/>
      <c r="L1016" s="105"/>
      <c r="M1016" s="104"/>
      <c r="N1016" s="104"/>
      <c r="O1016" s="104"/>
      <c r="P1016" s="104"/>
      <c r="Q1016" s="104"/>
      <c r="R1016" s="104"/>
      <c r="S1016" s="104"/>
      <c r="T1016" s="107"/>
      <c r="U1016" s="107"/>
    </row>
    <row r="1017" ht="15.75" hidden="1" customHeight="1">
      <c r="A1017" s="103"/>
      <c r="B1017" s="104" t="str">
        <f>"TranReturnFlag"</f>
        <v>TranReturnFlag</v>
      </c>
      <c r="C1017" s="104" t="str">
        <f>"yfs_credit_card_transaction.tran_return_flag"</f>
        <v>yfs_credit_card_transaction.tran_return_flag</v>
      </c>
      <c r="D1017" s="104" t="str">
        <f t="shared" si="907"/>
        <v>string</v>
      </c>
      <c r="E1017" s="105" t="str">
        <f t="shared" si="908"/>
        <v>20</v>
      </c>
      <c r="F1017" s="104" t="s">
        <v>1123</v>
      </c>
      <c r="G1017" s="103" t="str">
        <f t="shared" si="885"/>
        <v>O</v>
      </c>
      <c r="H1017" s="103" t="str">
        <f t="shared" si="909"/>
        <v>space</v>
      </c>
      <c r="I1017" s="104" t="str">
        <f t="shared" ref="I1017:I1019" si="910">""</f>
        <v/>
      </c>
      <c r="J1017" s="104" t="str">
        <f>"Y"</f>
        <v>Y</v>
      </c>
      <c r="K1017" s="104"/>
      <c r="L1017" s="105"/>
      <c r="M1017" s="104"/>
      <c r="N1017" s="104"/>
      <c r="O1017" s="104"/>
      <c r="P1017" s="104"/>
      <c r="Q1017" s="104"/>
      <c r="R1017" s="104"/>
      <c r="S1017" s="104"/>
      <c r="T1017" s="107"/>
      <c r="U1017" s="107"/>
    </row>
    <row r="1018" ht="15.75" hidden="1" customHeight="1">
      <c r="A1018" s="103"/>
      <c r="B1018" s="104" t="str">
        <f>"TranReturnMessage"</f>
        <v>TranReturnMessage</v>
      </c>
      <c r="C1018" s="104" t="str">
        <f>"yfs_credit_card_transaction.tran_return_message"</f>
        <v>yfs_credit_card_transaction.tran_return_message</v>
      </c>
      <c r="D1018" s="104" t="str">
        <f t="shared" si="907"/>
        <v>string</v>
      </c>
      <c r="E1018" s="105" t="str">
        <f>"255"</f>
        <v>255</v>
      </c>
      <c r="F1018" s="104" t="s">
        <v>1124</v>
      </c>
      <c r="G1018" s="103" t="str">
        <f t="shared" si="885"/>
        <v>O</v>
      </c>
      <c r="H1018" s="103" t="str">
        <f t="shared" si="909"/>
        <v>space</v>
      </c>
      <c r="I1018" s="104" t="str">
        <f t="shared" si="910"/>
        <v/>
      </c>
      <c r="J1018" s="104" t="str">
        <f t="shared" ref="J1018:J1019" si="911">""</f>
        <v/>
      </c>
      <c r="K1018" s="104"/>
      <c r="L1018" s="105"/>
      <c r="M1018" s="104"/>
      <c r="N1018" s="104"/>
      <c r="O1018" s="104"/>
      <c r="P1018" s="104"/>
      <c r="Q1018" s="104"/>
      <c r="R1018" s="104"/>
      <c r="S1018" s="104"/>
      <c r="T1018" s="107"/>
      <c r="U1018" s="107"/>
    </row>
    <row r="1019" ht="15.75" hidden="1" customHeight="1">
      <c r="A1019" s="103"/>
      <c r="B1019" s="104" t="str">
        <f>"TranType"</f>
        <v>TranType</v>
      </c>
      <c r="C1019" s="104" t="str">
        <f>"yfs_credit_card_transaction.tran_type"</f>
        <v>yfs_credit_card_transaction.tran_type</v>
      </c>
      <c r="D1019" s="104" t="str">
        <f t="shared" si="907"/>
        <v>string</v>
      </c>
      <c r="E1019" s="105" t="str">
        <f>"40"</f>
        <v>40</v>
      </c>
      <c r="F1019" s="104" t="s">
        <v>1125</v>
      </c>
      <c r="G1019" s="103" t="str">
        <f t="shared" si="885"/>
        <v>O</v>
      </c>
      <c r="H1019" s="103" t="str">
        <f t="shared" si="909"/>
        <v>space</v>
      </c>
      <c r="I1019" s="104" t="str">
        <f t="shared" si="910"/>
        <v/>
      </c>
      <c r="J1019" s="104" t="str">
        <f t="shared" si="911"/>
        <v/>
      </c>
      <c r="K1019" s="104"/>
      <c r="L1019" s="105"/>
      <c r="M1019" s="104"/>
      <c r="N1019" s="104"/>
      <c r="O1019" s="104"/>
      <c r="P1019" s="104"/>
      <c r="Q1019" s="104"/>
      <c r="R1019" s="104"/>
      <c r="S1019" s="104"/>
      <c r="T1019" s="107"/>
      <c r="U1019" s="107"/>
    </row>
    <row r="1020" ht="15.75" hidden="1" customHeight="1">
      <c r="A1020" s="103"/>
      <c r="B1020" s="104" t="str">
        <f>"VoidTransaction"</f>
        <v>VoidTransaction</v>
      </c>
      <c r="C1020" s="104" t="str">
        <f>"yfs_charge_transaction.void_transaction"</f>
        <v>yfs_charge_transaction.void_transaction</v>
      </c>
      <c r="D1020" s="104" t="str">
        <f t="shared" si="907"/>
        <v>string</v>
      </c>
      <c r="E1020" s="105" t="str">
        <f>"1"</f>
        <v>1</v>
      </c>
      <c r="F1020" s="104" t="s">
        <v>1126</v>
      </c>
      <c r="G1020" s="103" t="str">
        <f t="shared" si="885"/>
        <v>O</v>
      </c>
      <c r="H1020" s="103" t="str">
        <f t="shared" ref="H1020:J1020" si="912">""</f>
        <v/>
      </c>
      <c r="I1020" s="104" t="str">
        <f t="shared" si="912"/>
        <v/>
      </c>
      <c r="J1020" s="104" t="str">
        <f t="shared" si="912"/>
        <v/>
      </c>
      <c r="K1020" s="104"/>
      <c r="L1020" s="105"/>
      <c r="M1020" s="104"/>
      <c r="N1020" s="104"/>
      <c r="O1020" s="104"/>
      <c r="P1020" s="104"/>
      <c r="Q1020" s="104"/>
      <c r="R1020" s="104"/>
      <c r="S1020" s="104"/>
      <c r="T1020" s="107"/>
      <c r="U1020" s="107"/>
    </row>
    <row r="1021" ht="15.75" hidden="1" customHeight="1">
      <c r="A1021" s="170" t="s">
        <v>92</v>
      </c>
      <c r="B1021" s="170" t="str">
        <f>"/Order/PaymentMethods/PaymentMethod/PersonInfoBillTo/@"</f>
        <v>/Order/PaymentMethods/PaymentMethod/PersonInfoBillTo/@</v>
      </c>
      <c r="C1021" s="170"/>
      <c r="D1021" s="170"/>
      <c r="E1021" s="170"/>
      <c r="F1021" s="170"/>
      <c r="G1021" s="196" t="str">
        <f t="shared" si="885"/>
        <v>O</v>
      </c>
      <c r="H1021" s="170"/>
      <c r="I1021" s="170"/>
      <c r="J1021" s="170"/>
      <c r="K1021" s="170"/>
      <c r="L1021" s="170"/>
      <c r="M1021" s="170"/>
      <c r="N1021" s="170"/>
      <c r="O1021" s="170"/>
      <c r="P1021" s="170"/>
      <c r="Q1021" s="170"/>
      <c r="R1021" s="170"/>
      <c r="S1021" s="170"/>
      <c r="T1021" s="197"/>
      <c r="U1021" s="197"/>
    </row>
    <row r="1022" ht="15.75" hidden="1" customHeight="1">
      <c r="A1022" s="103"/>
      <c r="B1022" s="104" t="str">
        <f>"AddressID"</f>
        <v>AddressID</v>
      </c>
      <c r="C1022" s="104" t="str">
        <f>"yfs_person_info.address_id"</f>
        <v>yfs_person_info.address_id</v>
      </c>
      <c r="D1022" s="104" t="str">
        <f t="shared" ref="D1022:D1031" si="914">"string"</f>
        <v>string</v>
      </c>
      <c r="E1022" s="105" t="str">
        <f>"256"</f>
        <v>256</v>
      </c>
      <c r="F1022" s="104" t="s">
        <v>684</v>
      </c>
      <c r="G1022" s="103" t="str">
        <f t="shared" si="885"/>
        <v>O</v>
      </c>
      <c r="H1022" s="103" t="str">
        <f>"null"</f>
        <v>null</v>
      </c>
      <c r="I1022" s="104" t="str">
        <f t="shared" ref="I1022:J1022" si="913">""</f>
        <v/>
      </c>
      <c r="J1022" s="104" t="str">
        <f t="shared" si="913"/>
        <v/>
      </c>
      <c r="K1022" s="104"/>
      <c r="L1022" s="105"/>
      <c r="M1022" s="104"/>
      <c r="N1022" s="104"/>
      <c r="O1022" s="104"/>
      <c r="P1022" s="104"/>
      <c r="Q1022" s="104"/>
      <c r="R1022" s="104"/>
      <c r="S1022" s="104"/>
      <c r="T1022" s="107"/>
      <c r="U1022" s="107"/>
    </row>
    <row r="1023" ht="15.75" hidden="1" customHeight="1">
      <c r="A1023" s="103" t="s">
        <v>92</v>
      </c>
      <c r="B1023" s="104" t="str">
        <f>"AddressLine1"</f>
        <v>AddressLine1</v>
      </c>
      <c r="C1023" s="104" t="str">
        <f>"yfs_person_info.address_line1"</f>
        <v>yfs_person_info.address_line1</v>
      </c>
      <c r="D1023" s="104" t="str">
        <f t="shared" si="914"/>
        <v>string</v>
      </c>
      <c r="E1023" s="105" t="str">
        <f t="shared" ref="E1023:E1028" si="915">"70"</f>
        <v>70</v>
      </c>
      <c r="F1023" s="104" t="s">
        <v>685</v>
      </c>
      <c r="G1023" s="103" t="str">
        <f t="shared" si="885"/>
        <v>O</v>
      </c>
      <c r="H1023" s="103" t="str">
        <f t="shared" ref="H1023:H1040" si="916">"space"</f>
        <v>space</v>
      </c>
      <c r="I1023" s="104" t="str">
        <f t="shared" ref="I1023:I1056" si="917">""</f>
        <v/>
      </c>
      <c r="J1023" s="104" t="str">
        <f>"1 Main Street"</f>
        <v>1 Main Street</v>
      </c>
      <c r="K1023" s="104"/>
      <c r="L1023" s="105"/>
      <c r="M1023" s="104"/>
      <c r="N1023" s="104"/>
      <c r="O1023" s="104"/>
      <c r="P1023" s="104"/>
      <c r="Q1023" s="104"/>
      <c r="R1023" s="104"/>
      <c r="S1023" s="104"/>
      <c r="T1023" s="107"/>
      <c r="U1023" s="107"/>
    </row>
    <row r="1024" ht="15.75" hidden="1" customHeight="1">
      <c r="A1024" s="103" t="s">
        <v>92</v>
      </c>
      <c r="B1024" s="104" t="str">
        <f>"AddressLine2"</f>
        <v>AddressLine2</v>
      </c>
      <c r="C1024" s="104" t="str">
        <f>"yfs_person_info.address_line2"</f>
        <v>yfs_person_info.address_line2</v>
      </c>
      <c r="D1024" s="104" t="str">
        <f t="shared" si="914"/>
        <v>string</v>
      </c>
      <c r="E1024" s="105" t="str">
        <f t="shared" si="915"/>
        <v>70</v>
      </c>
      <c r="F1024" s="104" t="s">
        <v>688</v>
      </c>
      <c r="G1024" s="103" t="str">
        <f t="shared" si="885"/>
        <v>O</v>
      </c>
      <c r="H1024" s="103" t="str">
        <f t="shared" si="916"/>
        <v>space</v>
      </c>
      <c r="I1024" s="104" t="str">
        <f t="shared" si="917"/>
        <v/>
      </c>
      <c r="J1024" s="104" t="str">
        <f>"Unit A2"</f>
        <v>Unit A2</v>
      </c>
      <c r="K1024" s="104"/>
      <c r="L1024" s="105"/>
      <c r="M1024" s="104"/>
      <c r="N1024" s="104"/>
      <c r="O1024" s="104"/>
      <c r="P1024" s="104"/>
      <c r="Q1024" s="104"/>
      <c r="R1024" s="104"/>
      <c r="S1024" s="104"/>
      <c r="T1024" s="107"/>
      <c r="U1024" s="107"/>
    </row>
    <row r="1025" ht="15.75" hidden="1" customHeight="1">
      <c r="A1025" s="103"/>
      <c r="B1025" s="104" t="str">
        <f>"AddressLine3"</f>
        <v>AddressLine3</v>
      </c>
      <c r="C1025" s="104" t="str">
        <f>"yfs_person_info.address_line3"</f>
        <v>yfs_person_info.address_line3</v>
      </c>
      <c r="D1025" s="104" t="str">
        <f t="shared" si="914"/>
        <v>string</v>
      </c>
      <c r="E1025" s="105" t="str">
        <f t="shared" si="915"/>
        <v>70</v>
      </c>
      <c r="F1025" s="104" t="s">
        <v>691</v>
      </c>
      <c r="G1025" s="103" t="str">
        <f t="shared" si="885"/>
        <v>O</v>
      </c>
      <c r="H1025" s="103" t="str">
        <f t="shared" si="916"/>
        <v>space</v>
      </c>
      <c r="I1025" s="104" t="str">
        <f t="shared" si="917"/>
        <v/>
      </c>
      <c r="J1025" s="104" t="str">
        <f t="shared" ref="J1025:J1028" si="918">""</f>
        <v/>
      </c>
      <c r="K1025" s="104"/>
      <c r="L1025" s="105"/>
      <c r="M1025" s="104"/>
      <c r="N1025" s="104"/>
      <c r="O1025" s="104"/>
      <c r="P1025" s="104"/>
      <c r="Q1025" s="104"/>
      <c r="R1025" s="104"/>
      <c r="S1025" s="104"/>
      <c r="T1025" s="107"/>
      <c r="U1025" s="107"/>
    </row>
    <row r="1026" ht="15.75" hidden="1" customHeight="1">
      <c r="A1026" s="103"/>
      <c r="B1026" s="104" t="str">
        <f>"AddressLine4"</f>
        <v>AddressLine4</v>
      </c>
      <c r="C1026" s="104" t="str">
        <f>"yfs_person_info.address_line4"</f>
        <v>yfs_person_info.address_line4</v>
      </c>
      <c r="D1026" s="104" t="str">
        <f t="shared" si="914"/>
        <v>string</v>
      </c>
      <c r="E1026" s="105" t="str">
        <f t="shared" si="915"/>
        <v>70</v>
      </c>
      <c r="F1026" s="104" t="s">
        <v>693</v>
      </c>
      <c r="G1026" s="103" t="str">
        <f t="shared" si="885"/>
        <v>O</v>
      </c>
      <c r="H1026" s="103" t="str">
        <f t="shared" si="916"/>
        <v>space</v>
      </c>
      <c r="I1026" s="104" t="str">
        <f t="shared" si="917"/>
        <v/>
      </c>
      <c r="J1026" s="104" t="str">
        <f t="shared" si="918"/>
        <v/>
      </c>
      <c r="K1026" s="104"/>
      <c r="L1026" s="105"/>
      <c r="M1026" s="104"/>
      <c r="N1026" s="104"/>
      <c r="O1026" s="104"/>
      <c r="P1026" s="104"/>
      <c r="Q1026" s="104"/>
      <c r="R1026" s="104"/>
      <c r="S1026" s="104"/>
      <c r="T1026" s="107"/>
      <c r="U1026" s="107"/>
    </row>
    <row r="1027" ht="15.75" hidden="1" customHeight="1">
      <c r="A1027" s="103"/>
      <c r="B1027" s="104" t="str">
        <f>"AddressLine5"</f>
        <v>AddressLine5</v>
      </c>
      <c r="C1027" s="104" t="str">
        <f>"yfs_person_info.address_line5"</f>
        <v>yfs_person_info.address_line5</v>
      </c>
      <c r="D1027" s="104" t="str">
        <f t="shared" si="914"/>
        <v>string</v>
      </c>
      <c r="E1027" s="105" t="str">
        <f t="shared" si="915"/>
        <v>70</v>
      </c>
      <c r="F1027" s="104" t="s">
        <v>694</v>
      </c>
      <c r="G1027" s="103" t="str">
        <f t="shared" si="885"/>
        <v>O</v>
      </c>
      <c r="H1027" s="103" t="str">
        <f t="shared" si="916"/>
        <v>space</v>
      </c>
      <c r="I1027" s="104" t="str">
        <f t="shared" si="917"/>
        <v/>
      </c>
      <c r="J1027" s="104" t="str">
        <f t="shared" si="918"/>
        <v/>
      </c>
      <c r="K1027" s="104"/>
      <c r="L1027" s="105"/>
      <c r="M1027" s="104"/>
      <c r="N1027" s="104"/>
      <c r="O1027" s="104"/>
      <c r="P1027" s="104"/>
      <c r="Q1027" s="104"/>
      <c r="R1027" s="104"/>
      <c r="S1027" s="104"/>
      <c r="T1027" s="107"/>
      <c r="U1027" s="107"/>
    </row>
    <row r="1028" ht="15.75" hidden="1" customHeight="1">
      <c r="A1028" s="103"/>
      <c r="B1028" s="104" t="str">
        <f>"AddressLine6"</f>
        <v>AddressLine6</v>
      </c>
      <c r="C1028" s="104" t="str">
        <f>"yfs_person_info.address_line6"</f>
        <v>yfs_person_info.address_line6</v>
      </c>
      <c r="D1028" s="104" t="str">
        <f t="shared" si="914"/>
        <v>string</v>
      </c>
      <c r="E1028" s="105" t="str">
        <f t="shared" si="915"/>
        <v>70</v>
      </c>
      <c r="F1028" s="104" t="s">
        <v>695</v>
      </c>
      <c r="G1028" s="103" t="str">
        <f t="shared" si="885"/>
        <v>O</v>
      </c>
      <c r="H1028" s="103" t="str">
        <f t="shared" si="916"/>
        <v>space</v>
      </c>
      <c r="I1028" s="104" t="str">
        <f t="shared" si="917"/>
        <v/>
      </c>
      <c r="J1028" s="104" t="str">
        <f t="shared" si="918"/>
        <v/>
      </c>
      <c r="K1028" s="104"/>
      <c r="L1028" s="105"/>
      <c r="M1028" s="104"/>
      <c r="N1028" s="104"/>
      <c r="O1028" s="104"/>
      <c r="P1028" s="104"/>
      <c r="Q1028" s="104"/>
      <c r="R1028" s="104"/>
      <c r="S1028" s="104"/>
      <c r="T1028" s="107"/>
      <c r="U1028" s="107"/>
    </row>
    <row r="1029" ht="15.75" hidden="1" customHeight="1">
      <c r="A1029" s="103"/>
      <c r="B1029" s="104" t="str">
        <f>"AlternateEmailID"</f>
        <v>AlternateEmailID</v>
      </c>
      <c r="C1029" s="104" t="str">
        <f>"yfs_person_info.alternate_emailid"</f>
        <v>yfs_person_info.alternate_emailid</v>
      </c>
      <c r="D1029" s="104" t="str">
        <f t="shared" si="914"/>
        <v>string</v>
      </c>
      <c r="E1029" s="105" t="str">
        <f>"150"</f>
        <v>150</v>
      </c>
      <c r="F1029" s="104" t="s">
        <v>696</v>
      </c>
      <c r="G1029" s="103" t="str">
        <f t="shared" si="885"/>
        <v>O</v>
      </c>
      <c r="H1029" s="103" t="str">
        <f t="shared" si="916"/>
        <v>space</v>
      </c>
      <c r="I1029" s="104" t="str">
        <f t="shared" si="917"/>
        <v/>
      </c>
      <c r="J1029" s="104" t="str">
        <f>"john.doe@workplace.com"</f>
        <v>john.doe@workplace.com</v>
      </c>
      <c r="K1029" s="104"/>
      <c r="L1029" s="105"/>
      <c r="M1029" s="104"/>
      <c r="N1029" s="104"/>
      <c r="O1029" s="104"/>
      <c r="P1029" s="104"/>
      <c r="Q1029" s="104"/>
      <c r="R1029" s="104"/>
      <c r="S1029" s="104"/>
      <c r="T1029" s="107"/>
      <c r="U1029" s="107"/>
    </row>
    <row r="1030" ht="15.75" hidden="1" customHeight="1">
      <c r="A1030" s="103"/>
      <c r="B1030" s="104" t="str">
        <f>"Beeper"</f>
        <v>Beeper</v>
      </c>
      <c r="C1030" s="104" t="str">
        <f>"yfs_person_info.beeper"</f>
        <v>yfs_person_info.beeper</v>
      </c>
      <c r="D1030" s="104" t="str">
        <f t="shared" si="914"/>
        <v>string</v>
      </c>
      <c r="E1030" s="105" t="str">
        <f>"40"</f>
        <v>40</v>
      </c>
      <c r="F1030" s="104" t="s">
        <v>697</v>
      </c>
      <c r="G1030" s="103" t="str">
        <f t="shared" si="885"/>
        <v>O</v>
      </c>
      <c r="H1030" s="103" t="str">
        <f t="shared" si="916"/>
        <v>space</v>
      </c>
      <c r="I1030" s="104" t="str">
        <f t="shared" si="917"/>
        <v/>
      </c>
      <c r="J1030" s="104" t="str">
        <f>""</f>
        <v/>
      </c>
      <c r="K1030" s="104"/>
      <c r="L1030" s="105"/>
      <c r="M1030" s="104"/>
      <c r="N1030" s="104"/>
      <c r="O1030" s="104"/>
      <c r="P1030" s="104"/>
      <c r="Q1030" s="104"/>
      <c r="R1030" s="104"/>
      <c r="S1030" s="104"/>
      <c r="T1030" s="107"/>
      <c r="U1030" s="107"/>
    </row>
    <row r="1031" ht="15.75" hidden="1" customHeight="1">
      <c r="A1031" s="103" t="s">
        <v>92</v>
      </c>
      <c r="B1031" s="104" t="str">
        <f>"City"</f>
        <v>City</v>
      </c>
      <c r="C1031" s="104" t="str">
        <f>"yfs_person_info.city"</f>
        <v>yfs_person_info.city</v>
      </c>
      <c r="D1031" s="104" t="str">
        <f t="shared" si="914"/>
        <v>string</v>
      </c>
      <c r="E1031" s="105" t="str">
        <f>"35"</f>
        <v>35</v>
      </c>
      <c r="F1031" s="104" t="s">
        <v>704</v>
      </c>
      <c r="G1031" s="103" t="str">
        <f t="shared" si="885"/>
        <v>O</v>
      </c>
      <c r="H1031" s="103" t="str">
        <f t="shared" si="916"/>
        <v>space</v>
      </c>
      <c r="I1031" s="104" t="str">
        <f t="shared" si="917"/>
        <v/>
      </c>
      <c r="J1031" s="104" t="str">
        <f>"Foxboro"</f>
        <v>Foxboro</v>
      </c>
      <c r="K1031" s="104"/>
      <c r="L1031" s="105"/>
      <c r="M1031" s="104"/>
      <c r="N1031" s="104"/>
      <c r="O1031" s="104"/>
      <c r="P1031" s="104"/>
      <c r="Q1031" s="104"/>
      <c r="R1031" s="104"/>
      <c r="S1031" s="104"/>
      <c r="T1031" s="107"/>
      <c r="U1031" s="107"/>
    </row>
    <row r="1032" ht="15.75" hidden="1" customHeight="1">
      <c r="A1032" s="103"/>
      <c r="B1032" s="104" t="str">
        <f>"Company"</f>
        <v>Company</v>
      </c>
      <c r="C1032" s="104" t="str">
        <f>"yfs_person_info.company"</f>
        <v>yfs_person_info.company</v>
      </c>
      <c r="D1032" s="104" t="str">
        <f>"UNKNOWN"</f>
        <v>UNKNOWN</v>
      </c>
      <c r="E1032" s="105" t="str">
        <f>""</f>
        <v/>
      </c>
      <c r="F1032" s="104" t="s">
        <v>706</v>
      </c>
      <c r="G1032" s="103" t="str">
        <f t="shared" si="885"/>
        <v>O</v>
      </c>
      <c r="H1032" s="103" t="str">
        <f t="shared" si="916"/>
        <v>space</v>
      </c>
      <c r="I1032" s="104" t="str">
        <f t="shared" si="917"/>
        <v/>
      </c>
      <c r="J1032" s="104" t="str">
        <f>"Things 'R Us"</f>
        <v>Things 'R Us</v>
      </c>
      <c r="K1032" s="104"/>
      <c r="L1032" s="105"/>
      <c r="M1032" s="104"/>
      <c r="N1032" s="104"/>
      <c r="O1032" s="104"/>
      <c r="P1032" s="104"/>
      <c r="Q1032" s="104"/>
      <c r="R1032" s="104"/>
      <c r="S1032" s="104"/>
      <c r="T1032" s="107"/>
      <c r="U1032" s="107"/>
    </row>
    <row r="1033" ht="15.75" hidden="1" customHeight="1">
      <c r="A1033" s="103" t="s">
        <v>92</v>
      </c>
      <c r="B1033" s="104" t="str">
        <f>"Country"</f>
        <v>Country</v>
      </c>
      <c r="C1033" s="104" t="str">
        <f>"yfs_person_info.country"</f>
        <v>yfs_person_info.country</v>
      </c>
      <c r="D1033" s="104" t="str">
        <f t="shared" ref="D1033:D1035" si="919">"string"</f>
        <v>string</v>
      </c>
      <c r="E1033" s="105" t="str">
        <f t="shared" ref="E1033:E1035" si="920">"40"</f>
        <v>40</v>
      </c>
      <c r="F1033" s="104" t="s">
        <v>708</v>
      </c>
      <c r="G1033" s="103" t="str">
        <f t="shared" si="885"/>
        <v>O</v>
      </c>
      <c r="H1033" s="103" t="str">
        <f t="shared" si="916"/>
        <v>space</v>
      </c>
      <c r="I1033" s="104" t="str">
        <f t="shared" si="917"/>
        <v/>
      </c>
      <c r="J1033" s="104" t="str">
        <f>"US"</f>
        <v>US</v>
      </c>
      <c r="K1033" s="104"/>
      <c r="L1033" s="105"/>
      <c r="M1033" s="104"/>
      <c r="N1033" s="104"/>
      <c r="O1033" s="104"/>
      <c r="P1033" s="104"/>
      <c r="Q1033" s="104"/>
      <c r="R1033" s="104"/>
      <c r="S1033" s="104"/>
      <c r="T1033" s="107"/>
      <c r="U1033" s="107"/>
    </row>
    <row r="1034" ht="15.75" hidden="1" customHeight="1">
      <c r="A1034" s="103"/>
      <c r="B1034" s="104" t="str">
        <f>"DayFaxNo"</f>
        <v>DayFaxNo</v>
      </c>
      <c r="C1034" s="104" t="str">
        <f>"yfs_person_info.day_fax_no"</f>
        <v>yfs_person_info.day_fax_no</v>
      </c>
      <c r="D1034" s="104" t="str">
        <f t="shared" si="919"/>
        <v>string</v>
      </c>
      <c r="E1034" s="105" t="str">
        <f t="shared" si="920"/>
        <v>40</v>
      </c>
      <c r="F1034" s="104" t="s">
        <v>712</v>
      </c>
      <c r="G1034" s="103" t="str">
        <f t="shared" si="885"/>
        <v>O</v>
      </c>
      <c r="H1034" s="103" t="str">
        <f t="shared" si="916"/>
        <v>space</v>
      </c>
      <c r="I1034" s="104" t="str">
        <f t="shared" si="917"/>
        <v/>
      </c>
      <c r="J1034" s="104" t="str">
        <f>""</f>
        <v/>
      </c>
      <c r="K1034" s="104"/>
      <c r="L1034" s="105"/>
      <c r="M1034" s="104"/>
      <c r="N1034" s="104"/>
      <c r="O1034" s="104"/>
      <c r="P1034" s="104"/>
      <c r="Q1034" s="104"/>
      <c r="R1034" s="104"/>
      <c r="S1034" s="104"/>
      <c r="T1034" s="107"/>
      <c r="U1034" s="107"/>
    </row>
    <row r="1035" ht="15.75" hidden="1" customHeight="1">
      <c r="A1035" s="103" t="s">
        <v>92</v>
      </c>
      <c r="B1035" s="104" t="str">
        <f>"DayPhone"</f>
        <v>DayPhone</v>
      </c>
      <c r="C1035" s="104" t="str">
        <f>"yfs_person_info.day_phone"</f>
        <v>yfs_person_info.day_phone</v>
      </c>
      <c r="D1035" s="104" t="str">
        <f t="shared" si="919"/>
        <v>string</v>
      </c>
      <c r="E1035" s="105" t="str">
        <f t="shared" si="920"/>
        <v>40</v>
      </c>
      <c r="F1035" s="104" t="s">
        <v>713</v>
      </c>
      <c r="G1035" s="103" t="str">
        <f t="shared" si="885"/>
        <v>O</v>
      </c>
      <c r="H1035" s="103" t="str">
        <f t="shared" si="916"/>
        <v>space</v>
      </c>
      <c r="I1035" s="104" t="str">
        <f t="shared" si="917"/>
        <v/>
      </c>
      <c r="J1035" s="104" t="str">
        <f>"(508) 555-1212"</f>
        <v>(508) 555-1212</v>
      </c>
      <c r="K1035" s="104"/>
      <c r="L1035" s="105"/>
      <c r="M1035" s="104"/>
      <c r="N1035" s="104"/>
      <c r="O1035" s="104"/>
      <c r="P1035" s="104"/>
      <c r="Q1035" s="104"/>
      <c r="R1035" s="104"/>
      <c r="S1035" s="104"/>
      <c r="T1035" s="107"/>
      <c r="U1035" s="107"/>
    </row>
    <row r="1036" ht="15.75" hidden="1" customHeight="1">
      <c r="A1036" s="103"/>
      <c r="B1036" s="104" t="str">
        <f>"Department"</f>
        <v>Department</v>
      </c>
      <c r="C1036" s="104" t="str">
        <f>"yfs_person_info.department"</f>
        <v>yfs_person_info.department</v>
      </c>
      <c r="D1036" s="104" t="str">
        <f>"UNKNOWN"</f>
        <v>UNKNOWN</v>
      </c>
      <c r="E1036" s="105" t="str">
        <f>""</f>
        <v/>
      </c>
      <c r="F1036" s="104" t="s">
        <v>715</v>
      </c>
      <c r="G1036" s="103" t="str">
        <f t="shared" si="885"/>
        <v>O</v>
      </c>
      <c r="H1036" s="103" t="str">
        <f t="shared" si="916"/>
        <v>space</v>
      </c>
      <c r="I1036" s="104" t="str">
        <f t="shared" si="917"/>
        <v/>
      </c>
      <c r="J1036" s="104" t="str">
        <f>""</f>
        <v/>
      </c>
      <c r="K1036" s="104"/>
      <c r="L1036" s="105"/>
      <c r="M1036" s="104"/>
      <c r="N1036" s="104"/>
      <c r="O1036" s="104"/>
      <c r="P1036" s="104"/>
      <c r="Q1036" s="104"/>
      <c r="R1036" s="104"/>
      <c r="S1036" s="104"/>
      <c r="T1036" s="107"/>
      <c r="U1036" s="107"/>
    </row>
    <row r="1037" ht="15.75" hidden="1" customHeight="1">
      <c r="A1037" s="103" t="s">
        <v>92</v>
      </c>
      <c r="B1037" s="104" t="str">
        <f>"EMailID"</f>
        <v>EMailID</v>
      </c>
      <c r="C1037" s="104" t="str">
        <f>"yfs_person_info.emailid"</f>
        <v>yfs_person_info.emailid</v>
      </c>
      <c r="D1037" s="104" t="str">
        <f t="shared" ref="D1037:D1039" si="921">"string"</f>
        <v>string</v>
      </c>
      <c r="E1037" s="105" t="str">
        <f>"150"</f>
        <v>150</v>
      </c>
      <c r="F1037" s="104" t="s">
        <v>716</v>
      </c>
      <c r="G1037" s="103" t="str">
        <f t="shared" si="885"/>
        <v>O</v>
      </c>
      <c r="H1037" s="103" t="str">
        <f t="shared" si="916"/>
        <v>space</v>
      </c>
      <c r="I1037" s="104" t="str">
        <f t="shared" si="917"/>
        <v/>
      </c>
      <c r="J1037" s="104" t="str">
        <f>"john.doe@mail.com"</f>
        <v>john.doe@mail.com</v>
      </c>
      <c r="K1037" s="104"/>
      <c r="L1037" s="105"/>
      <c r="M1037" s="104"/>
      <c r="N1037" s="104"/>
      <c r="O1037" s="104"/>
      <c r="P1037" s="104"/>
      <c r="Q1037" s="104"/>
      <c r="R1037" s="104"/>
      <c r="S1037" s="104"/>
      <c r="T1037" s="107"/>
      <c r="U1037" s="107"/>
    </row>
    <row r="1038" ht="15.75" hidden="1" customHeight="1">
      <c r="A1038" s="103"/>
      <c r="B1038" s="104" t="str">
        <f>"EveningFaxNo"</f>
        <v>EveningFaxNo</v>
      </c>
      <c r="C1038" s="104" t="str">
        <f>"yfs_person_info.evening_fax_no"</f>
        <v>yfs_person_info.evening_fax_no</v>
      </c>
      <c r="D1038" s="104" t="str">
        <f t="shared" si="921"/>
        <v>string</v>
      </c>
      <c r="E1038" s="105" t="str">
        <f t="shared" ref="E1038:E1039" si="922">"40"</f>
        <v>40</v>
      </c>
      <c r="F1038" s="104" t="s">
        <v>718</v>
      </c>
      <c r="G1038" s="103" t="str">
        <f t="shared" si="885"/>
        <v>O</v>
      </c>
      <c r="H1038" s="103" t="str">
        <f t="shared" si="916"/>
        <v>space</v>
      </c>
      <c r="I1038" s="104" t="str">
        <f t="shared" si="917"/>
        <v/>
      </c>
      <c r="J1038" s="104" t="str">
        <f>"(617) 555-3333"</f>
        <v>(617) 555-3333</v>
      </c>
      <c r="K1038" s="104"/>
      <c r="L1038" s="105"/>
      <c r="M1038" s="104"/>
      <c r="N1038" s="104"/>
      <c r="O1038" s="104"/>
      <c r="P1038" s="104"/>
      <c r="Q1038" s="104"/>
      <c r="R1038" s="104"/>
      <c r="S1038" s="104"/>
      <c r="T1038" s="107"/>
      <c r="U1038" s="107"/>
    </row>
    <row r="1039" ht="15.75" hidden="1" customHeight="1">
      <c r="A1039" s="103"/>
      <c r="B1039" s="104" t="str">
        <f>"EveningPhone"</f>
        <v>EveningPhone</v>
      </c>
      <c r="C1039" s="104" t="str">
        <f>"yfs_person_info.evening_phone"</f>
        <v>yfs_person_info.evening_phone</v>
      </c>
      <c r="D1039" s="104" t="str">
        <f t="shared" si="921"/>
        <v>string</v>
      </c>
      <c r="E1039" s="105" t="str">
        <f t="shared" si="922"/>
        <v>40</v>
      </c>
      <c r="F1039" s="104" t="s">
        <v>719</v>
      </c>
      <c r="G1039" s="103" t="str">
        <f t="shared" si="885"/>
        <v>O</v>
      </c>
      <c r="H1039" s="103" t="str">
        <f t="shared" si="916"/>
        <v>space</v>
      </c>
      <c r="I1039" s="104" t="str">
        <f t="shared" si="917"/>
        <v/>
      </c>
      <c r="J1039" s="104" t="str">
        <f>"(617) 555-1212"</f>
        <v>(617) 555-1212</v>
      </c>
      <c r="K1039" s="104"/>
      <c r="L1039" s="105"/>
      <c r="M1039" s="104"/>
      <c r="N1039" s="104"/>
      <c r="O1039" s="104"/>
      <c r="P1039" s="104"/>
      <c r="Q1039" s="104"/>
      <c r="R1039" s="104"/>
      <c r="S1039" s="104"/>
      <c r="T1039" s="107"/>
      <c r="U1039" s="107"/>
    </row>
    <row r="1040" ht="15.75" hidden="1" customHeight="1">
      <c r="A1040" s="103" t="s">
        <v>92</v>
      </c>
      <c r="B1040" s="104" t="str">
        <f>"FirstName"</f>
        <v>FirstName</v>
      </c>
      <c r="C1040" s="104" t="str">
        <f>"yfs_person_info.first_name"</f>
        <v>yfs_person_info.first_name</v>
      </c>
      <c r="D1040" s="104" t="str">
        <f>"UNKNOWN"</f>
        <v>UNKNOWN</v>
      </c>
      <c r="E1040" s="105" t="str">
        <f>""</f>
        <v/>
      </c>
      <c r="F1040" s="104" t="s">
        <v>720</v>
      </c>
      <c r="G1040" s="103" t="str">
        <f t="shared" si="885"/>
        <v>O</v>
      </c>
      <c r="H1040" s="103" t="str">
        <f t="shared" si="916"/>
        <v>space</v>
      </c>
      <c r="I1040" s="104" t="str">
        <f t="shared" si="917"/>
        <v/>
      </c>
      <c r="J1040" s="104" t="str">
        <f>"John"</f>
        <v>John</v>
      </c>
      <c r="K1040" s="104"/>
      <c r="L1040" s="105"/>
      <c r="M1040" s="104"/>
      <c r="N1040" s="104"/>
      <c r="O1040" s="104"/>
      <c r="P1040" s="104"/>
      <c r="Q1040" s="104"/>
      <c r="R1040" s="104"/>
      <c r="S1040" s="104"/>
      <c r="T1040" s="107"/>
      <c r="U1040" s="107"/>
    </row>
    <row r="1041" ht="15.75" hidden="1" customHeight="1">
      <c r="A1041" s="103"/>
      <c r="B1041" s="104" t="str">
        <f>"IsAddressVerified"</f>
        <v>IsAddressVerified</v>
      </c>
      <c r="C1041" s="104" t="str">
        <f>"yfs_person_info.is_address_verified"</f>
        <v>yfs_person_info.is_address_verified</v>
      </c>
      <c r="D1041" s="104" t="str">
        <f t="shared" ref="D1041:D1042" si="923">"string"</f>
        <v>string</v>
      </c>
      <c r="E1041" s="105" t="str">
        <f t="shared" ref="E1041:E1042" si="924">"1"</f>
        <v>1</v>
      </c>
      <c r="F1041" s="104" t="s">
        <v>1128</v>
      </c>
      <c r="G1041" s="103" t="str">
        <f t="shared" si="885"/>
        <v>O</v>
      </c>
      <c r="H1041" s="103" t="str">
        <f t="shared" ref="H1041:H1042" si="925">"null"</f>
        <v>null</v>
      </c>
      <c r="I1041" s="104" t="str">
        <f t="shared" si="917"/>
        <v/>
      </c>
      <c r="J1041" s="104" t="str">
        <f t="shared" ref="J1041:J1042" si="926">"Y"</f>
        <v>Y</v>
      </c>
      <c r="K1041" s="104"/>
      <c r="L1041" s="105"/>
      <c r="M1041" s="104"/>
      <c r="N1041" s="104"/>
      <c r="O1041" s="104"/>
      <c r="P1041" s="104"/>
      <c r="Q1041" s="104"/>
      <c r="R1041" s="104"/>
      <c r="S1041" s="104"/>
      <c r="T1041" s="107"/>
      <c r="U1041" s="107"/>
    </row>
    <row r="1042" ht="15.75" hidden="1" customHeight="1">
      <c r="A1042" s="103"/>
      <c r="B1042" s="104" t="str">
        <f>"IsCommercialAddress"</f>
        <v>IsCommercialAddress</v>
      </c>
      <c r="C1042" s="104" t="str">
        <f>"yfs_person_info.is_commercial_address"</f>
        <v>yfs_person_info.is_commercial_address</v>
      </c>
      <c r="D1042" s="104" t="str">
        <f t="shared" si="923"/>
        <v>string</v>
      </c>
      <c r="E1042" s="105" t="str">
        <f t="shared" si="924"/>
        <v>1</v>
      </c>
      <c r="F1042" s="104" t="s">
        <v>722</v>
      </c>
      <c r="G1042" s="103" t="str">
        <f t="shared" si="885"/>
        <v>O</v>
      </c>
      <c r="H1042" s="103" t="str">
        <f t="shared" si="925"/>
        <v>null</v>
      </c>
      <c r="I1042" s="104" t="str">
        <f t="shared" si="917"/>
        <v/>
      </c>
      <c r="J1042" s="104" t="str">
        <f t="shared" si="926"/>
        <v>Y</v>
      </c>
      <c r="K1042" s="104"/>
      <c r="L1042" s="105"/>
      <c r="M1042" s="104"/>
      <c r="N1042" s="104"/>
      <c r="O1042" s="104"/>
      <c r="P1042" s="104"/>
      <c r="Q1042" s="104"/>
      <c r="R1042" s="104"/>
      <c r="S1042" s="104"/>
      <c r="T1042" s="107"/>
      <c r="U1042" s="107"/>
    </row>
    <row r="1043" ht="15.75" hidden="1" customHeight="1">
      <c r="A1043" s="103"/>
      <c r="B1043" s="104" t="str">
        <f>"JobTitle"</f>
        <v>JobTitle</v>
      </c>
      <c r="C1043" s="104" t="str">
        <f>"yfs_person_info.job_title"</f>
        <v>yfs_person_info.job_title</v>
      </c>
      <c r="D1043" s="104" t="str">
        <f t="shared" ref="D1043:D1047" si="927">"UNKNOWN"</f>
        <v>UNKNOWN</v>
      </c>
      <c r="E1043" s="105" t="str">
        <f t="shared" ref="E1043:E1047" si="928">""</f>
        <v/>
      </c>
      <c r="F1043" s="104" t="s">
        <v>723</v>
      </c>
      <c r="G1043" s="103" t="str">
        <f t="shared" si="885"/>
        <v>O</v>
      </c>
      <c r="H1043" s="103" t="str">
        <f t="shared" ref="H1043:H1044" si="929">"space"</f>
        <v>space</v>
      </c>
      <c r="I1043" s="104" t="str">
        <f t="shared" si="917"/>
        <v/>
      </c>
      <c r="J1043" s="104" t="str">
        <f>"Procurement Manager"</f>
        <v>Procurement Manager</v>
      </c>
      <c r="K1043" s="104"/>
      <c r="L1043" s="105"/>
      <c r="M1043" s="104"/>
      <c r="N1043" s="104"/>
      <c r="O1043" s="104"/>
      <c r="P1043" s="104"/>
      <c r="Q1043" s="104"/>
      <c r="R1043" s="104"/>
      <c r="S1043" s="104"/>
      <c r="T1043" s="107"/>
      <c r="U1043" s="107"/>
    </row>
    <row r="1044" ht="15.75" hidden="1" customHeight="1">
      <c r="A1044" s="103" t="s">
        <v>92</v>
      </c>
      <c r="B1044" s="104" t="str">
        <f>"LastName"</f>
        <v>LastName</v>
      </c>
      <c r="C1044" s="104" t="str">
        <f>"yfs_person_info.last_name"</f>
        <v>yfs_person_info.last_name</v>
      </c>
      <c r="D1044" s="104" t="str">
        <f t="shared" si="927"/>
        <v>UNKNOWN</v>
      </c>
      <c r="E1044" s="105" t="str">
        <f t="shared" si="928"/>
        <v/>
      </c>
      <c r="F1044" s="104" t="s">
        <v>724</v>
      </c>
      <c r="G1044" s="103" t="str">
        <f t="shared" si="885"/>
        <v>O</v>
      </c>
      <c r="H1044" s="103" t="str">
        <f t="shared" si="929"/>
        <v>space</v>
      </c>
      <c r="I1044" s="104" t="str">
        <f t="shared" si="917"/>
        <v/>
      </c>
      <c r="J1044" s="104" t="str">
        <f>"Doe"</f>
        <v>Doe</v>
      </c>
      <c r="K1044" s="104"/>
      <c r="L1044" s="105"/>
      <c r="M1044" s="104"/>
      <c r="N1044" s="104"/>
      <c r="O1044" s="104"/>
      <c r="P1044" s="104"/>
      <c r="Q1044" s="104"/>
      <c r="R1044" s="104"/>
      <c r="S1044" s="104"/>
      <c r="T1044" s="107"/>
      <c r="U1044" s="107"/>
    </row>
    <row r="1045" ht="15.75" hidden="1" customHeight="1">
      <c r="A1045" s="103"/>
      <c r="B1045" s="104" t="str">
        <f>"Latitude"</f>
        <v>Latitude</v>
      </c>
      <c r="C1045" s="104" t="str">
        <f>"yfs_person_info.latitude"</f>
        <v>yfs_person_info.latitude</v>
      </c>
      <c r="D1045" s="104" t="str">
        <f t="shared" si="927"/>
        <v>UNKNOWN</v>
      </c>
      <c r="E1045" s="105" t="str">
        <f t="shared" si="928"/>
        <v/>
      </c>
      <c r="F1045" s="104" t="s">
        <v>1129</v>
      </c>
      <c r="G1045" s="103" t="str">
        <f t="shared" si="885"/>
        <v>O</v>
      </c>
      <c r="H1045" s="103" t="str">
        <f t="shared" ref="H1045:H1046" si="930">"null"</f>
        <v>null</v>
      </c>
      <c r="I1045" s="104" t="str">
        <f t="shared" si="917"/>
        <v/>
      </c>
      <c r="J1045" s="104" t="str">
        <f>"42.062204"</f>
        <v>42.062204</v>
      </c>
      <c r="K1045" s="104"/>
      <c r="L1045" s="105"/>
      <c r="M1045" s="104"/>
      <c r="N1045" s="104"/>
      <c r="O1045" s="104"/>
      <c r="P1045" s="104"/>
      <c r="Q1045" s="104"/>
      <c r="R1045" s="104"/>
      <c r="S1045" s="104"/>
      <c r="T1045" s="107"/>
      <c r="U1045" s="107"/>
    </row>
    <row r="1046" ht="15.75" hidden="1" customHeight="1">
      <c r="A1046" s="103"/>
      <c r="B1046" s="104" t="str">
        <f>"Longitude"</f>
        <v>Longitude</v>
      </c>
      <c r="C1046" s="104" t="str">
        <f>"yfs_person_info.longitude"</f>
        <v>yfs_person_info.longitude</v>
      </c>
      <c r="D1046" s="104" t="str">
        <f t="shared" si="927"/>
        <v>UNKNOWN</v>
      </c>
      <c r="E1046" s="105" t="str">
        <f t="shared" si="928"/>
        <v/>
      </c>
      <c r="F1046" s="104" t="s">
        <v>1130</v>
      </c>
      <c r="G1046" s="103" t="str">
        <f t="shared" si="885"/>
        <v>O</v>
      </c>
      <c r="H1046" s="103" t="str">
        <f t="shared" si="930"/>
        <v>null</v>
      </c>
      <c r="I1046" s="104" t="str">
        <f t="shared" si="917"/>
        <v/>
      </c>
      <c r="J1046" s="104" t="str">
        <f>"-071.235774"</f>
        <v>-071.235774</v>
      </c>
      <c r="K1046" s="104"/>
      <c r="L1046" s="105"/>
      <c r="M1046" s="104"/>
      <c r="N1046" s="104"/>
      <c r="O1046" s="104"/>
      <c r="P1046" s="104"/>
      <c r="Q1046" s="104"/>
      <c r="R1046" s="104"/>
      <c r="S1046" s="104"/>
      <c r="T1046" s="107"/>
      <c r="U1046" s="107"/>
    </row>
    <row r="1047" ht="15.75" hidden="1" customHeight="1">
      <c r="A1047" s="103" t="s">
        <v>92</v>
      </c>
      <c r="B1047" s="104" t="str">
        <f>"MiddleName"</f>
        <v>MiddleName</v>
      </c>
      <c r="C1047" s="104" t="str">
        <f>"yfs_person_info.middle_name"</f>
        <v>yfs_person_info.middle_name</v>
      </c>
      <c r="D1047" s="104" t="str">
        <f t="shared" si="927"/>
        <v>UNKNOWN</v>
      </c>
      <c r="E1047" s="105" t="str">
        <f t="shared" si="928"/>
        <v/>
      </c>
      <c r="F1047" s="104" t="s">
        <v>726</v>
      </c>
      <c r="G1047" s="103" t="str">
        <f t="shared" si="885"/>
        <v>O</v>
      </c>
      <c r="H1047" s="103" t="str">
        <f t="shared" ref="H1047:H1053" si="931">"space"</f>
        <v>space</v>
      </c>
      <c r="I1047" s="104" t="str">
        <f t="shared" si="917"/>
        <v/>
      </c>
      <c r="J1047" s="104" t="str">
        <f>"E"</f>
        <v>E</v>
      </c>
      <c r="K1047" s="104"/>
      <c r="L1047" s="105"/>
      <c r="M1047" s="104"/>
      <c r="N1047" s="104"/>
      <c r="O1047" s="104"/>
      <c r="P1047" s="104"/>
      <c r="Q1047" s="104"/>
      <c r="R1047" s="104"/>
      <c r="S1047" s="104"/>
      <c r="T1047" s="107"/>
      <c r="U1047" s="107"/>
    </row>
    <row r="1048" ht="15.75" hidden="1" customHeight="1">
      <c r="A1048" s="103"/>
      <c r="B1048" s="104" t="str">
        <f>"MobilePhone"</f>
        <v>MobilePhone</v>
      </c>
      <c r="C1048" s="104" t="str">
        <f>"yfs_person_info.mobile_phone"</f>
        <v>yfs_person_info.mobile_phone</v>
      </c>
      <c r="D1048" s="104" t="str">
        <f t="shared" ref="D1048:D1049" si="932">"string"</f>
        <v>string</v>
      </c>
      <c r="E1048" s="105" t="str">
        <f t="shared" ref="E1048:E1049" si="933">"40"</f>
        <v>40</v>
      </c>
      <c r="F1048" s="104" t="s">
        <v>730</v>
      </c>
      <c r="G1048" s="103" t="str">
        <f t="shared" si="885"/>
        <v>O</v>
      </c>
      <c r="H1048" s="103" t="str">
        <f t="shared" si="931"/>
        <v>space</v>
      </c>
      <c r="I1048" s="104" t="str">
        <f t="shared" si="917"/>
        <v/>
      </c>
      <c r="J1048" s="104" t="str">
        <f>"(978) 555-1212"</f>
        <v>(978) 555-1212</v>
      </c>
      <c r="K1048" s="104"/>
      <c r="L1048" s="105"/>
      <c r="M1048" s="104"/>
      <c r="N1048" s="104"/>
      <c r="O1048" s="104"/>
      <c r="P1048" s="104"/>
      <c r="Q1048" s="104"/>
      <c r="R1048" s="104"/>
      <c r="S1048" s="104"/>
      <c r="T1048" s="107"/>
      <c r="U1048" s="107"/>
    </row>
    <row r="1049" ht="15.75" hidden="1" customHeight="1">
      <c r="A1049" s="103"/>
      <c r="B1049" s="104" t="str">
        <f>"OtherPhone"</f>
        <v>OtherPhone</v>
      </c>
      <c r="C1049" s="104" t="str">
        <f>"yfs_person_info.other_phone"</f>
        <v>yfs_person_info.other_phone</v>
      </c>
      <c r="D1049" s="104" t="str">
        <f t="shared" si="932"/>
        <v>string</v>
      </c>
      <c r="E1049" s="105" t="str">
        <f t="shared" si="933"/>
        <v>40</v>
      </c>
      <c r="F1049" s="104" t="s">
        <v>728</v>
      </c>
      <c r="G1049" s="103" t="str">
        <f t="shared" si="885"/>
        <v>O</v>
      </c>
      <c r="H1049" s="103" t="str">
        <f t="shared" si="931"/>
        <v>space</v>
      </c>
      <c r="I1049" s="104" t="str">
        <f t="shared" si="917"/>
        <v/>
      </c>
      <c r="J1049" s="104" t="str">
        <f>"(781) 555-1212"</f>
        <v>(781) 555-1212</v>
      </c>
      <c r="K1049" s="104"/>
      <c r="L1049" s="105"/>
      <c r="M1049" s="104"/>
      <c r="N1049" s="104"/>
      <c r="O1049" s="104"/>
      <c r="P1049" s="104"/>
      <c r="Q1049" s="104"/>
      <c r="R1049" s="104"/>
      <c r="S1049" s="104"/>
      <c r="T1049" s="107"/>
      <c r="U1049" s="107"/>
    </row>
    <row r="1050" ht="15.75" hidden="1" customHeight="1">
      <c r="A1050" s="103"/>
      <c r="B1050" s="104" t="str">
        <f>"PersonID"</f>
        <v>PersonID</v>
      </c>
      <c r="C1050" s="104" t="str">
        <f>"yfs_person_info.person_id"</f>
        <v>yfs_person_info.person_id</v>
      </c>
      <c r="D1050" s="104" t="str">
        <f>"UNKNOWN"</f>
        <v>UNKNOWN</v>
      </c>
      <c r="E1050" s="105" t="str">
        <f>""</f>
        <v/>
      </c>
      <c r="F1050" s="104" t="s">
        <v>729</v>
      </c>
      <c r="G1050" s="103" t="str">
        <f t="shared" si="885"/>
        <v>O</v>
      </c>
      <c r="H1050" s="103" t="str">
        <f t="shared" si="931"/>
        <v>space</v>
      </c>
      <c r="I1050" s="104" t="str">
        <f t="shared" si="917"/>
        <v/>
      </c>
      <c r="J1050" s="104" t="str">
        <f>""</f>
        <v/>
      </c>
      <c r="K1050" s="104"/>
      <c r="L1050" s="105"/>
      <c r="M1050" s="104"/>
      <c r="N1050" s="104"/>
      <c r="O1050" s="104"/>
      <c r="P1050" s="104"/>
      <c r="Q1050" s="104"/>
      <c r="R1050" s="104"/>
      <c r="S1050" s="104"/>
      <c r="T1050" s="107"/>
      <c r="U1050" s="107"/>
    </row>
    <row r="1051" ht="15.75" hidden="1" customHeight="1">
      <c r="A1051" s="103"/>
      <c r="B1051" s="104" t="str">
        <f>"PersonInfoKey"</f>
        <v>PersonInfoKey</v>
      </c>
      <c r="C1051" s="104" t="str">
        <f>"yfs_person_info.person_info_key"</f>
        <v>yfs_person_info.person_info_key</v>
      </c>
      <c r="D1051" s="104" t="str">
        <f t="shared" ref="D1051:D1052" si="934">"string"</f>
        <v>string</v>
      </c>
      <c r="E1051" s="105" t="str">
        <f>"24"</f>
        <v>24</v>
      </c>
      <c r="F1051" s="104" t="s">
        <v>1131</v>
      </c>
      <c r="G1051" s="103" t="str">
        <f t="shared" si="885"/>
        <v>O</v>
      </c>
      <c r="H1051" s="103" t="str">
        <f t="shared" si="931"/>
        <v>space</v>
      </c>
      <c r="I1051" s="104" t="str">
        <f t="shared" si="917"/>
        <v/>
      </c>
      <c r="J1051" s="104" t="str">
        <f>"2010050314595408336"</f>
        <v>2010050314595408336</v>
      </c>
      <c r="K1051" s="104"/>
      <c r="L1051" s="105"/>
      <c r="M1051" s="104"/>
      <c r="N1051" s="104"/>
      <c r="O1051" s="104"/>
      <c r="P1051" s="104"/>
      <c r="Q1051" s="104"/>
      <c r="R1051" s="104"/>
      <c r="S1051" s="104"/>
      <c r="T1051" s="107"/>
      <c r="U1051" s="107"/>
    </row>
    <row r="1052" ht="15.75" hidden="1" customHeight="1">
      <c r="A1052" s="103" t="s">
        <v>92</v>
      </c>
      <c r="B1052" s="104" t="str">
        <f>"State"</f>
        <v>State</v>
      </c>
      <c r="C1052" s="104" t="str">
        <f>"yfs_person_info.state"</f>
        <v>yfs_person_info.state</v>
      </c>
      <c r="D1052" s="104" t="str">
        <f t="shared" si="934"/>
        <v>string</v>
      </c>
      <c r="E1052" s="105" t="str">
        <f>"35"</f>
        <v>35</v>
      </c>
      <c r="F1052" s="104" t="s">
        <v>731</v>
      </c>
      <c r="G1052" s="103" t="str">
        <f t="shared" si="885"/>
        <v>O</v>
      </c>
      <c r="H1052" s="103" t="str">
        <f t="shared" si="931"/>
        <v>space</v>
      </c>
      <c r="I1052" s="104" t="str">
        <f t="shared" si="917"/>
        <v/>
      </c>
      <c r="J1052" s="104" t="str">
        <f>"MA"</f>
        <v>MA</v>
      </c>
      <c r="K1052" s="104"/>
      <c r="L1052" s="105"/>
      <c r="M1052" s="104"/>
      <c r="N1052" s="104"/>
      <c r="O1052" s="104"/>
      <c r="P1052" s="104"/>
      <c r="Q1052" s="104"/>
      <c r="R1052" s="104"/>
      <c r="S1052" s="104"/>
      <c r="T1052" s="107"/>
      <c r="U1052" s="107"/>
    </row>
    <row r="1053" ht="15.75" hidden="1" customHeight="1">
      <c r="A1053" s="103"/>
      <c r="B1053" s="104" t="str">
        <f>"Suffix"</f>
        <v>Suffix</v>
      </c>
      <c r="C1053" s="104" t="str">
        <f>"yfs_person_info.suffix"</f>
        <v>yfs_person_info.suffix</v>
      </c>
      <c r="D1053" s="104" t="str">
        <f t="shared" ref="D1053:D1055" si="935">"UNKNOWN"</f>
        <v>UNKNOWN</v>
      </c>
      <c r="E1053" s="105" t="str">
        <f t="shared" ref="E1053:E1055" si="936">""</f>
        <v/>
      </c>
      <c r="F1053" s="104" t="s">
        <v>735</v>
      </c>
      <c r="G1053" s="103" t="str">
        <f t="shared" si="885"/>
        <v>O</v>
      </c>
      <c r="H1053" s="103" t="str">
        <f t="shared" si="931"/>
        <v>space</v>
      </c>
      <c r="I1053" s="104" t="str">
        <f t="shared" si="917"/>
        <v/>
      </c>
      <c r="J1053" s="104" t="str">
        <f t="shared" ref="J1053:J1054" si="937">""</f>
        <v/>
      </c>
      <c r="K1053" s="104"/>
      <c r="L1053" s="105"/>
      <c r="M1053" s="104"/>
      <c r="N1053" s="104"/>
      <c r="O1053" s="104"/>
      <c r="P1053" s="104"/>
      <c r="Q1053" s="104"/>
      <c r="R1053" s="104"/>
      <c r="S1053" s="104"/>
      <c r="T1053" s="107"/>
      <c r="U1053" s="107"/>
    </row>
    <row r="1054" ht="15.75" hidden="1" customHeight="1">
      <c r="A1054" s="103"/>
      <c r="B1054" s="104" t="str">
        <f>"TaxGeoCode"</f>
        <v>TaxGeoCode</v>
      </c>
      <c r="C1054" s="104" t="str">
        <f>"yfs_person_info.tax_geo_code"</f>
        <v>yfs_person_info.tax_geo_code</v>
      </c>
      <c r="D1054" s="104" t="str">
        <f t="shared" si="935"/>
        <v>UNKNOWN</v>
      </c>
      <c r="E1054" s="105" t="str">
        <f t="shared" si="936"/>
        <v/>
      </c>
      <c r="F1054" s="104" t="s">
        <v>738</v>
      </c>
      <c r="G1054" s="103" t="str">
        <f t="shared" si="885"/>
        <v>O</v>
      </c>
      <c r="H1054" s="103" t="str">
        <f>"null"</f>
        <v>null</v>
      </c>
      <c r="I1054" s="104" t="str">
        <f t="shared" si="917"/>
        <v/>
      </c>
      <c r="J1054" s="104" t="str">
        <f t="shared" si="937"/>
        <v/>
      </c>
      <c r="K1054" s="104"/>
      <c r="L1054" s="105"/>
      <c r="M1054" s="104"/>
      <c r="N1054" s="104"/>
      <c r="O1054" s="104"/>
      <c r="P1054" s="104"/>
      <c r="Q1054" s="104"/>
      <c r="R1054" s="104"/>
      <c r="S1054" s="104"/>
      <c r="T1054" s="107"/>
      <c r="U1054" s="107"/>
    </row>
    <row r="1055" ht="15.75" hidden="1" customHeight="1">
      <c r="A1055" s="103"/>
      <c r="B1055" s="104" t="str">
        <f>"Title"</f>
        <v>Title</v>
      </c>
      <c r="C1055" s="104" t="str">
        <f>"yfs_person_info.title"</f>
        <v>yfs_person_info.title</v>
      </c>
      <c r="D1055" s="104" t="str">
        <f t="shared" si="935"/>
        <v>UNKNOWN</v>
      </c>
      <c r="E1055" s="105" t="str">
        <f t="shared" si="936"/>
        <v/>
      </c>
      <c r="F1055" s="104" t="s">
        <v>739</v>
      </c>
      <c r="G1055" s="103" t="str">
        <f t="shared" si="885"/>
        <v>O</v>
      </c>
      <c r="H1055" s="103" t="str">
        <f t="shared" ref="H1055:H1056" si="938">"space"</f>
        <v>space</v>
      </c>
      <c r="I1055" s="104" t="str">
        <f t="shared" si="917"/>
        <v/>
      </c>
      <c r="J1055" s="104" t="str">
        <f>"Mr"</f>
        <v>Mr</v>
      </c>
      <c r="K1055" s="104"/>
      <c r="L1055" s="105"/>
      <c r="M1055" s="104"/>
      <c r="N1055" s="104"/>
      <c r="O1055" s="104"/>
      <c r="P1055" s="104"/>
      <c r="Q1055" s="104"/>
      <c r="R1055" s="104"/>
      <c r="S1055" s="104"/>
      <c r="T1055" s="107"/>
      <c r="U1055" s="107"/>
    </row>
    <row r="1056" ht="15.75" hidden="1" customHeight="1">
      <c r="A1056" s="103" t="s">
        <v>92</v>
      </c>
      <c r="B1056" s="104" t="str">
        <f>"ZipCode"</f>
        <v>ZipCode</v>
      </c>
      <c r="C1056" s="104" t="str">
        <f>"yfs_person_info.zip_code"</f>
        <v>yfs_person_info.zip_code</v>
      </c>
      <c r="D1056" s="104" t="str">
        <f>"string"</f>
        <v>string</v>
      </c>
      <c r="E1056" s="105" t="str">
        <f>"35"</f>
        <v>35</v>
      </c>
      <c r="F1056" s="104" t="s">
        <v>743</v>
      </c>
      <c r="G1056" s="103" t="str">
        <f t="shared" si="885"/>
        <v>O</v>
      </c>
      <c r="H1056" s="103" t="str">
        <f t="shared" si="938"/>
        <v>space</v>
      </c>
      <c r="I1056" s="104" t="str">
        <f t="shared" si="917"/>
        <v/>
      </c>
      <c r="J1056" s="104" t="str">
        <f>"02035-2531"</f>
        <v>02035-2531</v>
      </c>
      <c r="K1056" s="104"/>
      <c r="L1056" s="105"/>
      <c r="M1056" s="104"/>
      <c r="N1056" s="104"/>
      <c r="O1056" s="104"/>
      <c r="P1056" s="104"/>
      <c r="Q1056" s="104"/>
      <c r="R1056" s="104"/>
      <c r="S1056" s="104"/>
      <c r="T1056" s="107"/>
      <c r="U1056" s="107"/>
    </row>
    <row r="1057" ht="15.75" hidden="1" customHeight="1">
      <c r="A1057" s="196"/>
      <c r="B1057" s="170" t="str">
        <f>"/Order/OrderDates"</f>
        <v>/Order/OrderDates</v>
      </c>
      <c r="C1057" s="170"/>
      <c r="D1057" s="170"/>
      <c r="E1057" s="170"/>
      <c r="F1057" s="170"/>
      <c r="G1057" s="196" t="str">
        <f t="shared" si="885"/>
        <v>O</v>
      </c>
      <c r="H1057" s="170"/>
      <c r="I1057" s="170"/>
      <c r="J1057" s="170"/>
      <c r="K1057" s="170"/>
      <c r="L1057" s="170"/>
      <c r="M1057" s="170"/>
      <c r="N1057" s="170"/>
      <c r="O1057" s="170"/>
      <c r="P1057" s="170"/>
      <c r="Q1057" s="170"/>
      <c r="R1057" s="170"/>
      <c r="S1057" s="170"/>
      <c r="T1057" s="197"/>
      <c r="U1057" s="197"/>
    </row>
    <row r="1058" ht="15.75" hidden="1" customHeight="1">
      <c r="A1058" s="196"/>
      <c r="B1058" s="170" t="str">
        <f>"/Order/OrderDates/OrderDate/@"</f>
        <v>/Order/OrderDates/OrderDate/@</v>
      </c>
      <c r="C1058" s="170"/>
      <c r="D1058" s="170"/>
      <c r="E1058" s="170"/>
      <c r="F1058" s="170"/>
      <c r="G1058" s="196" t="str">
        <f t="shared" si="885"/>
        <v>O</v>
      </c>
      <c r="H1058" s="170"/>
      <c r="I1058" s="170"/>
      <c r="J1058" s="170"/>
      <c r="K1058" s="170"/>
      <c r="L1058" s="170"/>
      <c r="M1058" s="170"/>
      <c r="N1058" s="170"/>
      <c r="O1058" s="170"/>
      <c r="P1058" s="170"/>
      <c r="Q1058" s="170"/>
      <c r="R1058" s="170"/>
      <c r="S1058" s="170"/>
      <c r="T1058" s="197"/>
      <c r="U1058" s="197"/>
    </row>
    <row r="1059" ht="15.75" hidden="1" customHeight="1">
      <c r="A1059" s="103"/>
      <c r="B1059" s="104" t="str">
        <f>"ActualDate"</f>
        <v>ActualDate</v>
      </c>
      <c r="C1059" s="104" t="str">
        <f>"yfs_order_date.actual_date"</f>
        <v>yfs_order_date.actual_date</v>
      </c>
      <c r="D1059" s="104" t="str">
        <f t="shared" ref="D1059:D1060" si="940">"dateTime"</f>
        <v>dateTime</v>
      </c>
      <c r="E1059" s="105" t="str">
        <f t="shared" ref="E1059:E1060" si="941">"25"</f>
        <v>25</v>
      </c>
      <c r="F1059" s="104" t="s">
        <v>859</v>
      </c>
      <c r="G1059" s="103" t="str">
        <f t="shared" si="885"/>
        <v>O</v>
      </c>
      <c r="H1059" s="103" t="str">
        <f>"sysdate "</f>
        <v>sysdate </v>
      </c>
      <c r="I1059" s="104" t="str">
        <f t="shared" ref="I1059:J1059" si="939">""</f>
        <v/>
      </c>
      <c r="J1059" s="104" t="str">
        <f t="shared" si="939"/>
        <v/>
      </c>
      <c r="K1059" s="104"/>
      <c r="L1059" s="105"/>
      <c r="M1059" s="104"/>
      <c r="N1059" s="104"/>
      <c r="O1059" s="104"/>
      <c r="P1059" s="104"/>
      <c r="Q1059" s="104"/>
      <c r="R1059" s="104"/>
      <c r="S1059" s="104"/>
      <c r="T1059" s="107"/>
      <c r="U1059" s="107"/>
    </row>
    <row r="1060" ht="15.75" hidden="1" customHeight="1">
      <c r="A1060" s="103"/>
      <c r="B1060" s="104" t="str">
        <f>"CommittedDate"</f>
        <v>CommittedDate</v>
      </c>
      <c r="C1060" s="104" t="str">
        <f>"yfs_order_date.committed_date"</f>
        <v>yfs_order_date.committed_date</v>
      </c>
      <c r="D1060" s="104" t="str">
        <f t="shared" si="940"/>
        <v>dateTime</v>
      </c>
      <c r="E1060" s="105" t="str">
        <f t="shared" si="941"/>
        <v>25</v>
      </c>
      <c r="F1060" s="104" t="s">
        <v>860</v>
      </c>
      <c r="G1060" s="103" t="str">
        <f t="shared" si="885"/>
        <v>O</v>
      </c>
      <c r="H1060" s="103" t="str">
        <f>"sysdate"</f>
        <v>sysdate</v>
      </c>
      <c r="I1060" s="104" t="str">
        <f t="shared" ref="I1060:J1060" si="942">""</f>
        <v/>
      </c>
      <c r="J1060" s="104" t="str">
        <f t="shared" si="942"/>
        <v/>
      </c>
      <c r="K1060" s="104"/>
      <c r="L1060" s="105"/>
      <c r="M1060" s="104"/>
      <c r="N1060" s="104"/>
      <c r="O1060" s="104"/>
      <c r="P1060" s="104"/>
      <c r="Q1060" s="104"/>
      <c r="R1060" s="104"/>
      <c r="S1060" s="104"/>
      <c r="T1060" s="107"/>
      <c r="U1060" s="107"/>
    </row>
    <row r="1061" ht="15.75" hidden="1" customHeight="1">
      <c r="A1061" s="103"/>
      <c r="B1061" s="104" t="str">
        <f>"DateTypeId"</f>
        <v>DateTypeId</v>
      </c>
      <c r="C1061" s="104" t="str">
        <f>"yfs_order_date.date_type_id"</f>
        <v>yfs_order_date.date_type_id</v>
      </c>
      <c r="D1061" s="104" t="str">
        <f>"string"</f>
        <v>string</v>
      </c>
      <c r="E1061" s="105" t="str">
        <f>"40"</f>
        <v>40</v>
      </c>
      <c r="F1061" s="104" t="s">
        <v>861</v>
      </c>
      <c r="G1061" s="103" t="str">
        <f>"M"</f>
        <v>M</v>
      </c>
      <c r="H1061" s="103" t="str">
        <f>"space"</f>
        <v>space</v>
      </c>
      <c r="I1061" s="104" t="str">
        <f t="shared" ref="I1061:I1063" si="943">""</f>
        <v/>
      </c>
      <c r="J1061" s="104" t="str">
        <f>"SBUX_ESTIMATED_DLIVERY_DATE"</f>
        <v>SBUX_ESTIMATED_DLIVERY_DATE</v>
      </c>
      <c r="K1061" s="104"/>
      <c r="L1061" s="105"/>
      <c r="M1061" s="104"/>
      <c r="N1061" s="104"/>
      <c r="O1061" s="104"/>
      <c r="P1061" s="104"/>
      <c r="Q1061" s="104"/>
      <c r="R1061" s="104"/>
      <c r="S1061" s="104"/>
      <c r="T1061" s="107"/>
      <c r="U1061" s="107"/>
    </row>
    <row r="1062" ht="15.75" hidden="1" customHeight="1">
      <c r="A1062" s="103"/>
      <c r="B1062" s="104" t="str">
        <f>"ExpectedDate"</f>
        <v>ExpectedDate</v>
      </c>
      <c r="C1062" s="104" t="str">
        <f>"yfs_order_date.expected_date"</f>
        <v>yfs_order_date.expected_date</v>
      </c>
      <c r="D1062" s="104" t="str">
        <f t="shared" ref="D1062:D1063" si="944">"dateTime"</f>
        <v>dateTime</v>
      </c>
      <c r="E1062" s="105" t="str">
        <f t="shared" ref="E1062:E1063" si="945">"25"</f>
        <v>25</v>
      </c>
      <c r="F1062" s="104" t="s">
        <v>862</v>
      </c>
      <c r="G1062" s="103" t="str">
        <f t="shared" ref="G1062:G1068" si="946">"O"</f>
        <v>O</v>
      </c>
      <c r="H1062" s="103" t="str">
        <f>"sysdate"</f>
        <v>sysdate</v>
      </c>
      <c r="I1062" s="104" t="str">
        <f t="shared" si="943"/>
        <v/>
      </c>
      <c r="J1062" s="104" t="str">
        <f>"2010-06-27T14:22:31-04:00"</f>
        <v>2010-06-27T14:22:31-04:00</v>
      </c>
      <c r="K1062" s="104"/>
      <c r="L1062" s="105"/>
      <c r="M1062" s="104"/>
      <c r="N1062" s="104"/>
      <c r="O1062" s="104"/>
      <c r="P1062" s="104"/>
      <c r="Q1062" s="104"/>
      <c r="R1062" s="104"/>
      <c r="S1062" s="104"/>
      <c r="T1062" s="107"/>
      <c r="U1062" s="107"/>
    </row>
    <row r="1063" ht="15.75" hidden="1" customHeight="1">
      <c r="A1063" s="103"/>
      <c r="B1063" s="104" t="str">
        <f>"RequestedDate"</f>
        <v>RequestedDate</v>
      </c>
      <c r="C1063" s="104" t="str">
        <f>"yfs_order_date.requested_date"</f>
        <v>yfs_order_date.requested_date</v>
      </c>
      <c r="D1063" s="104" t="str">
        <f t="shared" si="944"/>
        <v>dateTime</v>
      </c>
      <c r="E1063" s="105" t="str">
        <f t="shared" si="945"/>
        <v>25</v>
      </c>
      <c r="F1063" s="104" t="s">
        <v>863</v>
      </c>
      <c r="G1063" s="103" t="str">
        <f t="shared" si="946"/>
        <v>O</v>
      </c>
      <c r="H1063" s="103" t="str">
        <f>"sysdate "</f>
        <v>sysdate </v>
      </c>
      <c r="I1063" s="104" t="str">
        <f t="shared" si="943"/>
        <v/>
      </c>
      <c r="J1063" s="104" t="str">
        <f>""</f>
        <v/>
      </c>
      <c r="K1063" s="104"/>
      <c r="L1063" s="105"/>
      <c r="M1063" s="104"/>
      <c r="N1063" s="104"/>
      <c r="O1063" s="104"/>
      <c r="P1063" s="104"/>
      <c r="Q1063" s="104"/>
      <c r="R1063" s="104"/>
      <c r="S1063" s="104"/>
      <c r="T1063" s="107"/>
      <c r="U1063" s="107"/>
    </row>
    <row r="1064" ht="15.75" hidden="1" customHeight="1">
      <c r="A1064" s="196"/>
      <c r="B1064" s="170" t="str">
        <f>"/Order/SpecialServices"</f>
        <v>/Order/SpecialServices</v>
      </c>
      <c r="C1064" s="170"/>
      <c r="D1064" s="170"/>
      <c r="E1064" s="170"/>
      <c r="F1064" s="170"/>
      <c r="G1064" s="196" t="str">
        <f t="shared" si="946"/>
        <v>O</v>
      </c>
      <c r="H1064" s="170"/>
      <c r="I1064" s="170"/>
      <c r="J1064" s="170"/>
      <c r="K1064" s="170"/>
      <c r="L1064" s="170"/>
      <c r="M1064" s="170"/>
      <c r="N1064" s="170"/>
      <c r="O1064" s="170"/>
      <c r="P1064" s="170"/>
      <c r="Q1064" s="170"/>
      <c r="R1064" s="170"/>
      <c r="S1064" s="170"/>
      <c r="T1064" s="197"/>
      <c r="U1064" s="197"/>
    </row>
    <row r="1065" ht="15.75" hidden="1" customHeight="1">
      <c r="A1065" s="196"/>
      <c r="B1065" s="170" t="str">
        <f>"/Order/SpecialServices/SpecialService/@"</f>
        <v>/Order/SpecialServices/SpecialService/@</v>
      </c>
      <c r="C1065" s="170"/>
      <c r="D1065" s="170"/>
      <c r="E1065" s="170"/>
      <c r="F1065" s="170"/>
      <c r="G1065" s="196" t="str">
        <f t="shared" si="946"/>
        <v>O</v>
      </c>
      <c r="H1065" s="170"/>
      <c r="I1065" s="170"/>
      <c r="J1065" s="170"/>
      <c r="K1065" s="170"/>
      <c r="L1065" s="170"/>
      <c r="M1065" s="170"/>
      <c r="N1065" s="170"/>
      <c r="O1065" s="170"/>
      <c r="P1065" s="170"/>
      <c r="Q1065" s="170"/>
      <c r="R1065" s="170"/>
      <c r="S1065" s="170"/>
      <c r="T1065" s="197"/>
      <c r="U1065" s="197"/>
    </row>
    <row r="1066" ht="15.75" hidden="1" customHeight="1">
      <c r="A1066" s="103"/>
      <c r="B1066" s="104" t="str">
        <f>"SpecialServicesCode"</f>
        <v>SpecialServicesCode</v>
      </c>
      <c r="C1066" s="104" t="str">
        <f>"yfs_special_service_ref.special_services_code"</f>
        <v>yfs_special_service_ref.special_services_code</v>
      </c>
      <c r="D1066" s="104" t="str">
        <f>"string"</f>
        <v>string</v>
      </c>
      <c r="E1066" s="105" t="str">
        <f>"20"</f>
        <v>20</v>
      </c>
      <c r="F1066" s="104" t="s">
        <v>1132</v>
      </c>
      <c r="G1066" s="103" t="str">
        <f t="shared" si="946"/>
        <v>O</v>
      </c>
      <c r="H1066" s="103" t="str">
        <f>"space"</f>
        <v>space</v>
      </c>
      <c r="I1066" s="104" t="str">
        <f t="shared" ref="I1066:J1066" si="947">""</f>
        <v/>
      </c>
      <c r="J1066" s="104" t="str">
        <f t="shared" si="947"/>
        <v/>
      </c>
      <c r="K1066" s="104"/>
      <c r="L1066" s="105"/>
      <c r="M1066" s="104"/>
      <c r="N1066" s="104"/>
      <c r="O1066" s="104"/>
      <c r="P1066" s="104"/>
      <c r="Q1066" s="104"/>
      <c r="R1066" s="104"/>
      <c r="S1066" s="104"/>
      <c r="T1066" s="107"/>
      <c r="U1066" s="107"/>
    </row>
    <row r="1067" ht="15.75" hidden="1" customHeight="1">
      <c r="A1067" s="312" t="s">
        <v>92</v>
      </c>
      <c r="B1067" s="170" t="str">
        <f>"/Order/OrderHoldTypes"</f>
        <v>/Order/OrderHoldTypes</v>
      </c>
      <c r="C1067" s="170"/>
      <c r="D1067" s="170"/>
      <c r="E1067" s="170"/>
      <c r="F1067" s="170"/>
      <c r="G1067" s="196" t="str">
        <f t="shared" si="946"/>
        <v>O</v>
      </c>
      <c r="H1067" s="170"/>
      <c r="I1067" s="170"/>
      <c r="J1067" s="170"/>
      <c r="K1067" s="170"/>
      <c r="L1067" s="170"/>
      <c r="M1067" s="170"/>
      <c r="N1067" s="170"/>
      <c r="O1067" s="170"/>
      <c r="P1067" s="170"/>
      <c r="Q1067" s="170"/>
      <c r="R1067" s="170"/>
      <c r="S1067" s="170"/>
      <c r="T1067" s="197"/>
      <c r="U1067" s="197"/>
    </row>
    <row r="1068" ht="15.75" hidden="1" customHeight="1">
      <c r="A1068" s="236" t="s">
        <v>92</v>
      </c>
      <c r="B1068" s="170" t="str">
        <f>"/Order/OrderHoldTypes/OrderHoldType/@"</f>
        <v>/Order/OrderHoldTypes/OrderHoldType/@</v>
      </c>
      <c r="C1068" s="170"/>
      <c r="D1068" s="170"/>
      <c r="E1068" s="170"/>
      <c r="F1068" s="170"/>
      <c r="G1068" s="196" t="str">
        <f t="shared" si="946"/>
        <v>O</v>
      </c>
      <c r="H1068" s="170"/>
      <c r="I1068" s="170"/>
      <c r="J1068" s="170"/>
      <c r="K1068" s="170"/>
      <c r="L1068" s="170"/>
      <c r="M1068" s="170"/>
      <c r="N1068" s="170"/>
      <c r="O1068" s="170"/>
      <c r="P1068" s="170"/>
      <c r="Q1068" s="170"/>
      <c r="R1068" s="170"/>
      <c r="S1068" s="170"/>
      <c r="T1068" s="197"/>
      <c r="U1068" s="197"/>
    </row>
    <row r="1069" ht="15.75" hidden="1" customHeight="1">
      <c r="A1069" s="117" t="s">
        <v>92</v>
      </c>
      <c r="B1069" s="104" t="str">
        <f>"HoldType"</f>
        <v>HoldType</v>
      </c>
      <c r="C1069" s="104" t="str">
        <f>"yfs_order_hold_type.hold_type"</f>
        <v>yfs_order_hold_type.hold_type</v>
      </c>
      <c r="D1069" s="104" t="str">
        <f t="shared" ref="D1069:D1071" si="949">"string"</f>
        <v>string</v>
      </c>
      <c r="E1069" s="105" t="str">
        <f>"20"</f>
        <v>20</v>
      </c>
      <c r="F1069" s="104" t="s">
        <v>931</v>
      </c>
      <c r="G1069" s="103" t="s">
        <v>77</v>
      </c>
      <c r="H1069" s="103" t="str">
        <f t="shared" ref="H1069:H1070" si="950">"space"</f>
        <v>space</v>
      </c>
      <c r="I1069" s="104" t="str">
        <f t="shared" ref="I1069:J1069" si="948">""</f>
        <v/>
      </c>
      <c r="J1069" s="104" t="str">
        <f t="shared" si="948"/>
        <v/>
      </c>
      <c r="K1069" s="104"/>
      <c r="L1069" s="105"/>
      <c r="M1069" s="297"/>
      <c r="N1069" s="297"/>
      <c r="O1069" s="297"/>
      <c r="P1069" s="297"/>
      <c r="Q1069" s="297"/>
      <c r="R1069" s="297"/>
      <c r="S1069" s="297"/>
      <c r="T1069" s="298"/>
      <c r="U1069" s="298"/>
    </row>
    <row r="1070" ht="15.75" hidden="1" customHeight="1">
      <c r="A1070" s="117" t="s">
        <v>92</v>
      </c>
      <c r="B1070" s="104" t="str">
        <f>"ReasonText"</f>
        <v>ReasonText</v>
      </c>
      <c r="C1070" s="104" t="str">
        <f>"yfs_order_hold_type.reason_text"</f>
        <v>yfs_order_hold_type.reason_text</v>
      </c>
      <c r="D1070" s="104" t="str">
        <f t="shared" si="949"/>
        <v>string</v>
      </c>
      <c r="E1070" s="105" t="str">
        <f>"255"</f>
        <v>255</v>
      </c>
      <c r="F1070" s="104" t="s">
        <v>932</v>
      </c>
      <c r="G1070" s="103" t="str">
        <f t="shared" ref="G1070:G1074" si="952">"O"</f>
        <v>O</v>
      </c>
      <c r="H1070" s="103" t="str">
        <f t="shared" si="950"/>
        <v>space</v>
      </c>
      <c r="I1070" s="104" t="str">
        <f t="shared" ref="I1070:J1070" si="951">""</f>
        <v/>
      </c>
      <c r="J1070" s="104" t="str">
        <f t="shared" si="951"/>
        <v/>
      </c>
      <c r="K1070" s="104"/>
      <c r="L1070" s="105"/>
      <c r="M1070" s="104"/>
      <c r="N1070" s="104"/>
      <c r="O1070" s="104"/>
      <c r="P1070" s="104"/>
      <c r="Q1070" s="104"/>
      <c r="R1070" s="104"/>
      <c r="S1070" s="104"/>
      <c r="T1070" s="107"/>
      <c r="U1070" s="107"/>
    </row>
    <row r="1071" ht="15.75" hidden="1" customHeight="1">
      <c r="A1071" s="103"/>
      <c r="B1071" s="104" t="str">
        <f>"ResolverUserId"</f>
        <v>ResolverUserId</v>
      </c>
      <c r="C1071" s="104" t="str">
        <f>"yfs_order_hold_type.resolver_user_id"</f>
        <v>yfs_order_hold_type.resolver_user_id</v>
      </c>
      <c r="D1071" s="104" t="str">
        <f t="shared" si="949"/>
        <v>string</v>
      </c>
      <c r="E1071" s="105" t="str">
        <f>"50"</f>
        <v>50</v>
      </c>
      <c r="F1071" s="104" t="s">
        <v>933</v>
      </c>
      <c r="G1071" s="103" t="str">
        <f t="shared" si="952"/>
        <v>O</v>
      </c>
      <c r="H1071" s="103" t="str">
        <f>"null"</f>
        <v>null</v>
      </c>
      <c r="I1071" s="104" t="str">
        <f t="shared" ref="I1071:J1071" si="953">""</f>
        <v/>
      </c>
      <c r="J1071" s="104" t="str">
        <f t="shared" si="953"/>
        <v/>
      </c>
      <c r="K1071" s="104"/>
      <c r="L1071" s="105"/>
      <c r="M1071" s="104"/>
      <c r="N1071" s="104"/>
      <c r="O1071" s="104"/>
      <c r="P1071" s="104"/>
      <c r="Q1071" s="104"/>
      <c r="R1071" s="104"/>
      <c r="S1071" s="104"/>
      <c r="T1071" s="107"/>
      <c r="U1071" s="107"/>
    </row>
    <row r="1072" ht="15.75" hidden="1" customHeight="1">
      <c r="A1072" s="196"/>
      <c r="B1072" s="170" t="str">
        <f>"/Order/AnswerSets"</f>
        <v>/Order/AnswerSets</v>
      </c>
      <c r="C1072" s="170"/>
      <c r="D1072" s="170"/>
      <c r="E1072" s="170"/>
      <c r="F1072" s="170"/>
      <c r="G1072" s="196" t="str">
        <f t="shared" si="952"/>
        <v>O</v>
      </c>
      <c r="H1072" s="170"/>
      <c r="I1072" s="170"/>
      <c r="J1072" s="170"/>
      <c r="K1072" s="170"/>
      <c r="L1072" s="170"/>
      <c r="M1072" s="170"/>
      <c r="N1072" s="170"/>
      <c r="O1072" s="170"/>
      <c r="P1072" s="170"/>
      <c r="Q1072" s="170"/>
      <c r="R1072" s="170"/>
      <c r="S1072" s="170"/>
      <c r="T1072" s="197"/>
      <c r="U1072" s="197"/>
    </row>
    <row r="1073" ht="15.75" hidden="1" customHeight="1">
      <c r="A1073" s="196"/>
      <c r="B1073" s="170" t="str">
        <f>"/Order/AnswerSets/AnswerSet/@"</f>
        <v>/Order/AnswerSets/AnswerSet/@</v>
      </c>
      <c r="C1073" s="170"/>
      <c r="D1073" s="170"/>
      <c r="E1073" s="170"/>
      <c r="F1073" s="170"/>
      <c r="G1073" s="196" t="str">
        <f t="shared" si="952"/>
        <v>O</v>
      </c>
      <c r="H1073" s="170"/>
      <c r="I1073" s="170"/>
      <c r="J1073" s="170"/>
      <c r="K1073" s="170"/>
      <c r="L1073" s="170"/>
      <c r="M1073" s="170"/>
      <c r="N1073" s="170"/>
      <c r="O1073" s="170"/>
      <c r="P1073" s="170"/>
      <c r="Q1073" s="170"/>
      <c r="R1073" s="170"/>
      <c r="S1073" s="170"/>
      <c r="T1073" s="197"/>
      <c r="U1073" s="197"/>
    </row>
    <row r="1074" ht="15.75" hidden="1" customHeight="1">
      <c r="A1074" s="103"/>
      <c r="B1074" s="104" t="str">
        <f>"PersonInfoKey"</f>
        <v>PersonInfoKey</v>
      </c>
      <c r="C1074" s="104" t="str">
        <f>"yfs_person_info.person_info_key"</f>
        <v>yfs_person_info.person_info_key</v>
      </c>
      <c r="D1074" s="104" t="str">
        <f t="shared" ref="D1074:D1075" si="954">"string"</f>
        <v>string</v>
      </c>
      <c r="E1074" s="105" t="str">
        <f>"24"</f>
        <v>24</v>
      </c>
      <c r="F1074" s="104" t="s">
        <v>1133</v>
      </c>
      <c r="G1074" s="103" t="str">
        <f t="shared" si="952"/>
        <v>O</v>
      </c>
      <c r="H1074" s="103" t="str">
        <f t="shared" ref="H1074:H1075" si="955">"space"</f>
        <v>space</v>
      </c>
      <c r="I1074" s="104" t="str">
        <f t="shared" ref="I1074:I1075" si="956">""</f>
        <v/>
      </c>
      <c r="J1074" s="104" t="str">
        <f>"2010050314595408336"</f>
        <v>2010050314595408336</v>
      </c>
      <c r="K1074" s="104"/>
      <c r="L1074" s="105"/>
      <c r="M1074" s="104"/>
      <c r="N1074" s="104"/>
      <c r="O1074" s="104"/>
      <c r="P1074" s="104"/>
      <c r="Q1074" s="104"/>
      <c r="R1074" s="104"/>
      <c r="S1074" s="104"/>
      <c r="T1074" s="107"/>
      <c r="U1074" s="107"/>
    </row>
    <row r="1075" ht="15.75" hidden="1" customHeight="1">
      <c r="A1075" s="103"/>
      <c r="B1075" s="104" t="str">
        <f>"QuestionType"</f>
        <v>QuestionType</v>
      </c>
      <c r="C1075" s="104" t="str">
        <f>"yfs_question.question_type"</f>
        <v>yfs_question.question_type</v>
      </c>
      <c r="D1075" s="104" t="str">
        <f t="shared" si="954"/>
        <v>string</v>
      </c>
      <c r="E1075" s="105" t="str">
        <f>"20"</f>
        <v>20</v>
      </c>
      <c r="F1075" s="104" t="s">
        <v>1134</v>
      </c>
      <c r="G1075" s="103" t="str">
        <f>"M"</f>
        <v>M</v>
      </c>
      <c r="H1075" s="103" t="str">
        <f t="shared" si="955"/>
        <v>space</v>
      </c>
      <c r="I1075" s="104" t="str">
        <f t="shared" si="956"/>
        <v/>
      </c>
      <c r="J1075" s="104" t="str">
        <f>""</f>
        <v/>
      </c>
      <c r="K1075" s="104"/>
      <c r="L1075" s="105"/>
      <c r="M1075" s="104"/>
      <c r="N1075" s="104"/>
      <c r="O1075" s="104"/>
      <c r="P1075" s="104"/>
      <c r="Q1075" s="104"/>
      <c r="R1075" s="104"/>
      <c r="S1075" s="104"/>
      <c r="T1075" s="107"/>
      <c r="U1075" s="107"/>
    </row>
    <row r="1076" ht="15.75" hidden="1" customHeight="1">
      <c r="A1076" s="196" t="s">
        <v>92</v>
      </c>
      <c r="B1076" s="170" t="str">
        <f>"/Order/AnswerSets/AnswerSet/Answers"</f>
        <v>/Order/AnswerSets/AnswerSet/Answers</v>
      </c>
      <c r="C1076" s="170"/>
      <c r="D1076" s="170"/>
      <c r="E1076" s="170"/>
      <c r="F1076" s="170"/>
      <c r="G1076" s="196" t="str">
        <f t="shared" ref="G1076:G1165" si="957">"O"</f>
        <v>O</v>
      </c>
      <c r="H1076" s="170"/>
      <c r="I1076" s="170"/>
      <c r="J1076" s="170"/>
      <c r="K1076" s="170"/>
      <c r="L1076" s="170"/>
      <c r="M1076" s="170"/>
      <c r="N1076" s="170"/>
      <c r="O1076" s="170"/>
      <c r="P1076" s="170"/>
      <c r="Q1076" s="170"/>
      <c r="R1076" s="170"/>
      <c r="S1076" s="170"/>
      <c r="T1076" s="197"/>
      <c r="U1076" s="197"/>
    </row>
    <row r="1077" ht="15.75" hidden="1" customHeight="1">
      <c r="A1077" s="196" t="s">
        <v>92</v>
      </c>
      <c r="B1077" s="170" t="str">
        <f>"/Order/AnswerSets/AnswerSet/Answers/Answer/@"</f>
        <v>/Order/AnswerSets/AnswerSet/Answers/Answer/@</v>
      </c>
      <c r="C1077" s="170"/>
      <c r="D1077" s="170"/>
      <c r="E1077" s="170"/>
      <c r="F1077" s="170"/>
      <c r="G1077" s="196" t="str">
        <f t="shared" si="957"/>
        <v>O</v>
      </c>
      <c r="H1077" s="170"/>
      <c r="I1077" s="170"/>
      <c r="J1077" s="170"/>
      <c r="K1077" s="170"/>
      <c r="L1077" s="170"/>
      <c r="M1077" s="170"/>
      <c r="N1077" s="170"/>
      <c r="O1077" s="170"/>
      <c r="P1077" s="170"/>
      <c r="Q1077" s="170"/>
      <c r="R1077" s="170"/>
      <c r="S1077" s="170"/>
      <c r="T1077" s="197"/>
      <c r="U1077" s="197"/>
    </row>
    <row r="1078" ht="15.75" hidden="1" customHeight="1">
      <c r="A1078" s="103" t="s">
        <v>92</v>
      </c>
      <c r="B1078" s="104" t="str">
        <f>"AnswerValue"</f>
        <v>AnswerValue</v>
      </c>
      <c r="C1078" s="104" t="str">
        <f>"yfs_answer_tran.answer_value"</f>
        <v>yfs_answer_tran.answer_value</v>
      </c>
      <c r="D1078" s="104" t="str">
        <f t="shared" ref="D1078:D1079" si="959">"string"</f>
        <v>string</v>
      </c>
      <c r="E1078" s="105" t="str">
        <f>"1000"</f>
        <v>1000</v>
      </c>
      <c r="F1078" s="104" t="s">
        <v>1135</v>
      </c>
      <c r="G1078" s="103" t="str">
        <f t="shared" si="957"/>
        <v>O</v>
      </c>
      <c r="H1078" s="103" t="str">
        <f t="shared" ref="H1078:H1079" si="960">"space"</f>
        <v>space</v>
      </c>
      <c r="I1078" s="104" t="str">
        <f t="shared" ref="I1078:J1078" si="958">""</f>
        <v/>
      </c>
      <c r="J1078" s="104" t="str">
        <f t="shared" si="958"/>
        <v/>
      </c>
      <c r="K1078" s="104"/>
      <c r="L1078" s="105"/>
      <c r="M1078" s="104"/>
      <c r="N1078" s="104"/>
      <c r="O1078" s="104"/>
      <c r="P1078" s="104"/>
      <c r="Q1078" s="104"/>
      <c r="R1078" s="104"/>
      <c r="S1078" s="104"/>
      <c r="T1078" s="107"/>
      <c r="U1078" s="107"/>
    </row>
    <row r="1079" ht="15.75" hidden="1" customHeight="1">
      <c r="A1079" s="103" t="s">
        <v>92</v>
      </c>
      <c r="B1079" s="104" t="str">
        <f>"QuestionID"</f>
        <v>QuestionID</v>
      </c>
      <c r="C1079" s="104" t="str">
        <f>"yfs_answer_tran.question_id"</f>
        <v>yfs_answer_tran.question_id</v>
      </c>
      <c r="D1079" s="104" t="str">
        <f t="shared" si="959"/>
        <v>string</v>
      </c>
      <c r="E1079" s="105" t="str">
        <f>"20"</f>
        <v>20</v>
      </c>
      <c r="F1079" s="104" t="s">
        <v>1136</v>
      </c>
      <c r="G1079" s="103" t="str">
        <f t="shared" si="957"/>
        <v>O</v>
      </c>
      <c r="H1079" s="103" t="str">
        <f t="shared" si="960"/>
        <v>space</v>
      </c>
      <c r="I1079" s="104" t="str">
        <f t="shared" ref="I1079:J1079" si="961">""</f>
        <v/>
      </c>
      <c r="J1079" s="104" t="str">
        <f t="shared" si="961"/>
        <v/>
      </c>
      <c r="K1079" s="104"/>
      <c r="L1079" s="105"/>
      <c r="M1079" s="104"/>
      <c r="N1079" s="104"/>
      <c r="O1079" s="104"/>
      <c r="P1079" s="104"/>
      <c r="Q1079" s="104"/>
      <c r="R1079" s="104"/>
      <c r="S1079" s="104"/>
      <c r="T1079" s="107"/>
      <c r="U1079" s="107"/>
    </row>
    <row r="1080" ht="15.75" hidden="1" customHeight="1">
      <c r="A1080" s="196" t="s">
        <v>92</v>
      </c>
      <c r="B1080" s="170" t="str">
        <f>"/Order/Promotions/@"</f>
        <v>/Order/Promotions/@</v>
      </c>
      <c r="C1080" s="170"/>
      <c r="D1080" s="170"/>
      <c r="E1080" s="170"/>
      <c r="F1080" s="170"/>
      <c r="G1080" s="196" t="str">
        <f t="shared" si="957"/>
        <v>O</v>
      </c>
      <c r="H1080" s="170"/>
      <c r="I1080" s="170"/>
      <c r="J1080" s="170"/>
      <c r="K1080" s="170"/>
      <c r="L1080" s="170"/>
      <c r="M1080" s="170"/>
      <c r="N1080" s="170"/>
      <c r="O1080" s="170"/>
      <c r="P1080" s="170"/>
      <c r="Q1080" s="170"/>
      <c r="R1080" s="170"/>
      <c r="S1080" s="170"/>
      <c r="T1080" s="197"/>
      <c r="U1080" s="197"/>
    </row>
    <row r="1081" ht="15.75" hidden="1" customHeight="1">
      <c r="A1081" s="103" t="s">
        <v>92</v>
      </c>
      <c r="B1081" s="104" t="str">
        <f>"Reset"</f>
        <v>Reset</v>
      </c>
      <c r="C1081" s="104" t="str">
        <f>""</f>
        <v/>
      </c>
      <c r="D1081" s="104" t="str">
        <f>"string"</f>
        <v>string</v>
      </c>
      <c r="E1081" s="105" t="str">
        <f>"1"</f>
        <v>1</v>
      </c>
      <c r="F1081" s="104" t="s">
        <v>886</v>
      </c>
      <c r="G1081" s="103" t="str">
        <f t="shared" si="957"/>
        <v>O</v>
      </c>
      <c r="H1081" s="103" t="str">
        <f>""</f>
        <v/>
      </c>
      <c r="I1081" s="104" t="str">
        <f>"N, Y"</f>
        <v>N, Y</v>
      </c>
      <c r="J1081" s="104" t="str">
        <f>""</f>
        <v/>
      </c>
      <c r="K1081" s="104"/>
      <c r="L1081" s="105"/>
      <c r="M1081" s="104"/>
      <c r="N1081" s="104"/>
      <c r="O1081" s="104"/>
      <c r="P1081" s="104"/>
      <c r="Q1081" s="104"/>
      <c r="R1081" s="104"/>
      <c r="S1081" s="104"/>
      <c r="T1081" s="107"/>
      <c r="U1081" s="107"/>
    </row>
    <row r="1082" ht="15.75" hidden="1" customHeight="1">
      <c r="A1082" s="196" t="s">
        <v>92</v>
      </c>
      <c r="B1082" s="170" t="str">
        <f>"/Order/Promotions/Promotion/@"</f>
        <v>/Order/Promotions/Promotion/@</v>
      </c>
      <c r="C1082" s="170"/>
      <c r="D1082" s="170"/>
      <c r="E1082" s="170"/>
      <c r="F1082" s="170"/>
      <c r="G1082" s="196" t="str">
        <f t="shared" si="957"/>
        <v>O</v>
      </c>
      <c r="H1082" s="170"/>
      <c r="I1082" s="170"/>
      <c r="J1082" s="170"/>
      <c r="K1082" s="170"/>
      <c r="L1082" s="170"/>
      <c r="M1082" s="170"/>
      <c r="N1082" s="170"/>
      <c r="O1082" s="170"/>
      <c r="P1082" s="170"/>
      <c r="Q1082" s="170"/>
      <c r="R1082" s="170"/>
      <c r="S1082" s="170"/>
      <c r="T1082" s="197"/>
      <c r="U1082" s="197"/>
    </row>
    <row r="1083" ht="15.75" hidden="1" customHeight="1">
      <c r="A1083" s="103" t="s">
        <v>92</v>
      </c>
      <c r="B1083" s="104" t="str">
        <f>"Action"</f>
        <v>Action</v>
      </c>
      <c r="C1083" s="104" t="str">
        <f>""</f>
        <v/>
      </c>
      <c r="D1083" s="104" t="str">
        <f t="shared" ref="D1083:D1084" si="963">"string"</f>
        <v>string</v>
      </c>
      <c r="E1083" s="105" t="str">
        <f>"40"</f>
        <v>40</v>
      </c>
      <c r="F1083" s="104" t="s">
        <v>887</v>
      </c>
      <c r="G1083" s="103" t="str">
        <f t="shared" si="957"/>
        <v>O</v>
      </c>
      <c r="H1083" s="103" t="str">
        <f t="shared" ref="H1083:J1083" si="962">""</f>
        <v/>
      </c>
      <c r="I1083" s="104" t="str">
        <f t="shared" si="962"/>
        <v/>
      </c>
      <c r="J1083" s="104" t="str">
        <f t="shared" si="962"/>
        <v/>
      </c>
      <c r="K1083" s="104"/>
      <c r="L1083" s="105"/>
      <c r="M1083" s="104"/>
      <c r="N1083" s="104"/>
      <c r="O1083" s="104"/>
      <c r="P1083" s="104"/>
      <c r="Q1083" s="104"/>
      <c r="R1083" s="104"/>
      <c r="S1083" s="104"/>
      <c r="T1083" s="107"/>
      <c r="U1083" s="107"/>
    </row>
    <row r="1084" ht="15.75" hidden="1" customHeight="1">
      <c r="A1084" s="103" t="s">
        <v>92</v>
      </c>
      <c r="B1084" s="104" t="str">
        <f>"DenialReason"</f>
        <v>DenialReason</v>
      </c>
      <c r="C1084" s="104" t="str">
        <f>"yfs_promotion.denial_reason"</f>
        <v>yfs_promotion.denial_reason</v>
      </c>
      <c r="D1084" s="104" t="str">
        <f t="shared" si="963"/>
        <v>string</v>
      </c>
      <c r="E1084" s="105" t="str">
        <f>"100"</f>
        <v>100</v>
      </c>
      <c r="F1084" s="104" t="s">
        <v>888</v>
      </c>
      <c r="G1084" s="103" t="str">
        <f t="shared" si="957"/>
        <v>O</v>
      </c>
      <c r="H1084" s="103" t="str">
        <f>"space"</f>
        <v>space</v>
      </c>
      <c r="I1084" s="104" t="str">
        <f t="shared" ref="I1084:J1084" si="964">""</f>
        <v/>
      </c>
      <c r="J1084" s="104" t="str">
        <f t="shared" si="964"/>
        <v/>
      </c>
      <c r="K1084" s="104"/>
      <c r="L1084" s="105"/>
      <c r="M1084" s="104"/>
      <c r="N1084" s="104"/>
      <c r="O1084" s="104"/>
      <c r="P1084" s="104"/>
      <c r="Q1084" s="104"/>
      <c r="R1084" s="104"/>
      <c r="S1084" s="104"/>
      <c r="T1084" s="107"/>
      <c r="U1084" s="107"/>
    </row>
    <row r="1085" ht="15.75" hidden="1" customHeight="1">
      <c r="A1085" s="103" t="s">
        <v>92</v>
      </c>
      <c r="B1085" s="104" t="str">
        <f>"ExclusivityId"</f>
        <v>ExclusivityId</v>
      </c>
      <c r="C1085" s="104" t="str">
        <f>"yfs_promotion.exclusivity_id"</f>
        <v>yfs_promotion.exclusivity_id</v>
      </c>
      <c r="D1085" s="104" t="str">
        <f t="shared" ref="D1085:D1086" si="966">"UNKNOWN"</f>
        <v>UNKNOWN</v>
      </c>
      <c r="E1085" s="105" t="str">
        <f t="shared" ref="E1085:E1086" si="967">""</f>
        <v/>
      </c>
      <c r="F1085" s="104" t="s">
        <v>889</v>
      </c>
      <c r="G1085" s="103" t="str">
        <f t="shared" si="957"/>
        <v>O</v>
      </c>
      <c r="H1085" s="103" t="str">
        <f t="shared" ref="H1085:J1085" si="965">""</f>
        <v/>
      </c>
      <c r="I1085" s="104" t="str">
        <f t="shared" si="965"/>
        <v/>
      </c>
      <c r="J1085" s="104" t="str">
        <f t="shared" si="965"/>
        <v/>
      </c>
      <c r="K1085" s="104"/>
      <c r="L1085" s="105"/>
      <c r="M1085" s="104"/>
      <c r="N1085" s="104"/>
      <c r="O1085" s="104"/>
      <c r="P1085" s="104"/>
      <c r="Q1085" s="104"/>
      <c r="R1085" s="104"/>
      <c r="S1085" s="104"/>
      <c r="T1085" s="107"/>
      <c r="U1085" s="107"/>
    </row>
    <row r="1086" ht="15.75" hidden="1" customHeight="1">
      <c r="A1086" s="103" t="s">
        <v>92</v>
      </c>
      <c r="B1086" s="104" t="str">
        <f>"ExclusivityType"</f>
        <v>ExclusivityType</v>
      </c>
      <c r="C1086" s="104" t="str">
        <f>"yfs_promotion.exclusivity_type"</f>
        <v>yfs_promotion.exclusivity_type</v>
      </c>
      <c r="D1086" s="104" t="str">
        <f t="shared" si="966"/>
        <v>UNKNOWN</v>
      </c>
      <c r="E1086" s="105" t="str">
        <f t="shared" si="967"/>
        <v/>
      </c>
      <c r="F1086" s="104" t="s">
        <v>890</v>
      </c>
      <c r="G1086" s="103" t="str">
        <f t="shared" si="957"/>
        <v>O</v>
      </c>
      <c r="H1086" s="103" t="str">
        <f t="shared" ref="H1086:J1086" si="968">""</f>
        <v/>
      </c>
      <c r="I1086" s="104" t="str">
        <f t="shared" si="968"/>
        <v/>
      </c>
      <c r="J1086" s="104" t="str">
        <f t="shared" si="968"/>
        <v/>
      </c>
      <c r="K1086" s="104"/>
      <c r="L1086" s="105"/>
      <c r="M1086" s="104"/>
      <c r="N1086" s="104"/>
      <c r="O1086" s="104"/>
      <c r="P1086" s="104"/>
      <c r="Q1086" s="104"/>
      <c r="R1086" s="104"/>
      <c r="S1086" s="104"/>
      <c r="T1086" s="107"/>
      <c r="U1086" s="107"/>
    </row>
    <row r="1087" ht="15.75" hidden="1" customHeight="1">
      <c r="A1087" s="103" t="s">
        <v>92</v>
      </c>
      <c r="B1087" s="104" t="str">
        <f>"IsExternal"</f>
        <v>IsExternal</v>
      </c>
      <c r="C1087" s="104" t="str">
        <f>"yfs_promotion.is_external"</f>
        <v>yfs_promotion.is_external</v>
      </c>
      <c r="D1087" s="104" t="str">
        <f>"string"</f>
        <v>string</v>
      </c>
      <c r="E1087" s="105" t="str">
        <f>"1"</f>
        <v>1</v>
      </c>
      <c r="F1087" s="104" t="s">
        <v>891</v>
      </c>
      <c r="G1087" s="103" t="str">
        <f t="shared" si="957"/>
        <v>O</v>
      </c>
      <c r="H1087" s="103" t="str">
        <f t="shared" ref="H1087:J1087" si="969">""</f>
        <v/>
      </c>
      <c r="I1087" s="104" t="str">
        <f t="shared" si="969"/>
        <v/>
      </c>
      <c r="J1087" s="104" t="str">
        <f t="shared" si="969"/>
        <v/>
      </c>
      <c r="K1087" s="104"/>
      <c r="L1087" s="105"/>
      <c r="M1087" s="104"/>
      <c r="N1087" s="104"/>
      <c r="O1087" s="104"/>
      <c r="P1087" s="104"/>
      <c r="Q1087" s="104"/>
      <c r="R1087" s="104"/>
      <c r="S1087" s="104"/>
      <c r="T1087" s="107"/>
      <c r="U1087" s="107"/>
    </row>
    <row r="1088" ht="15.75" hidden="1" customHeight="1">
      <c r="A1088" s="103" t="s">
        <v>92</v>
      </c>
      <c r="B1088" s="104" t="str">
        <f>"OverrideAdjustmentValue"</f>
        <v>OverrideAdjustmentValue</v>
      </c>
      <c r="C1088" s="104" t="str">
        <f>"yfs_promotion.override_adjustment_value"</f>
        <v>yfs_promotion.override_adjustment_value</v>
      </c>
      <c r="D1088" s="104" t="str">
        <f t="shared" ref="D1088:D1090" si="971">"UNKNOWN"</f>
        <v>UNKNOWN</v>
      </c>
      <c r="E1088" s="105" t="str">
        <f t="shared" ref="E1088:E1090" si="972">""</f>
        <v/>
      </c>
      <c r="F1088" s="104" t="s">
        <v>892</v>
      </c>
      <c r="G1088" s="103" t="str">
        <f t="shared" si="957"/>
        <v>O</v>
      </c>
      <c r="H1088" s="103" t="str">
        <f t="shared" ref="H1088:J1088" si="970">""</f>
        <v/>
      </c>
      <c r="I1088" s="104" t="str">
        <f t="shared" si="970"/>
        <v/>
      </c>
      <c r="J1088" s="104" t="str">
        <f t="shared" si="970"/>
        <v/>
      </c>
      <c r="K1088" s="104"/>
      <c r="L1088" s="105"/>
      <c r="M1088" s="104"/>
      <c r="N1088" s="104"/>
      <c r="O1088" s="104"/>
      <c r="P1088" s="104"/>
      <c r="Q1088" s="104"/>
      <c r="R1088" s="104"/>
      <c r="S1088" s="104"/>
      <c r="T1088" s="107"/>
      <c r="U1088" s="107"/>
    </row>
    <row r="1089" ht="15.75" hidden="1" customHeight="1">
      <c r="A1089" s="103" t="s">
        <v>92</v>
      </c>
      <c r="B1089" s="104" t="str">
        <f>"OverrideMaxAdjustment"</f>
        <v>OverrideMaxAdjustment</v>
      </c>
      <c r="C1089" s="104" t="str">
        <f>"yfs_promotion.override_max_adjustment"</f>
        <v>yfs_promotion.override_max_adjustment</v>
      </c>
      <c r="D1089" s="104" t="str">
        <f t="shared" si="971"/>
        <v>UNKNOWN</v>
      </c>
      <c r="E1089" s="105" t="str">
        <f t="shared" si="972"/>
        <v/>
      </c>
      <c r="F1089" s="104" t="s">
        <v>893</v>
      </c>
      <c r="G1089" s="103" t="str">
        <f t="shared" si="957"/>
        <v>O</v>
      </c>
      <c r="H1089" s="103" t="str">
        <f t="shared" ref="H1089:J1089" si="973">""</f>
        <v/>
      </c>
      <c r="I1089" s="104" t="str">
        <f t="shared" si="973"/>
        <v/>
      </c>
      <c r="J1089" s="104" t="str">
        <f t="shared" si="973"/>
        <v/>
      </c>
      <c r="K1089" s="104"/>
      <c r="L1089" s="105"/>
      <c r="M1089" s="104"/>
      <c r="N1089" s="104"/>
      <c r="O1089" s="104"/>
      <c r="P1089" s="104"/>
      <c r="Q1089" s="104"/>
      <c r="R1089" s="104"/>
      <c r="S1089" s="104"/>
      <c r="T1089" s="107"/>
      <c r="U1089" s="107"/>
    </row>
    <row r="1090" ht="15.75" hidden="1" customHeight="1">
      <c r="A1090" s="103" t="s">
        <v>92</v>
      </c>
      <c r="B1090" s="104" t="str">
        <f>"Priority"</f>
        <v>Priority</v>
      </c>
      <c r="C1090" s="104" t="str">
        <f>"yfs_promotion.priority"</f>
        <v>yfs_promotion.priority</v>
      </c>
      <c r="D1090" s="104" t="str">
        <f t="shared" si="971"/>
        <v>UNKNOWN</v>
      </c>
      <c r="E1090" s="105" t="str">
        <f t="shared" si="972"/>
        <v/>
      </c>
      <c r="F1090" s="104" t="s">
        <v>894</v>
      </c>
      <c r="G1090" s="103" t="str">
        <f t="shared" si="957"/>
        <v>O</v>
      </c>
      <c r="H1090" s="103" t="str">
        <f t="shared" ref="H1090:J1090" si="974">""</f>
        <v/>
      </c>
      <c r="I1090" s="104" t="str">
        <f t="shared" si="974"/>
        <v/>
      </c>
      <c r="J1090" s="104" t="str">
        <f t="shared" si="974"/>
        <v/>
      </c>
      <c r="K1090" s="104"/>
      <c r="L1090" s="105"/>
      <c r="M1090" s="104"/>
      <c r="N1090" s="104"/>
      <c r="O1090" s="104"/>
      <c r="P1090" s="104"/>
      <c r="Q1090" s="104"/>
      <c r="R1090" s="104"/>
      <c r="S1090" s="104"/>
      <c r="T1090" s="107"/>
      <c r="U1090" s="107"/>
    </row>
    <row r="1091" ht="15.75" hidden="1" customHeight="1">
      <c r="A1091" s="103" t="s">
        <v>92</v>
      </c>
      <c r="B1091" s="104" t="str">
        <f>"PromotionApplied"</f>
        <v>PromotionApplied</v>
      </c>
      <c r="C1091" s="104" t="str">
        <f>"yfs_promotion.promotion_applied"</f>
        <v>yfs_promotion.promotion_applied</v>
      </c>
      <c r="D1091" s="104" t="str">
        <f t="shared" ref="D1091:D1092" si="976">"string"</f>
        <v>string</v>
      </c>
      <c r="E1091" s="105" t="str">
        <f>"1"</f>
        <v>1</v>
      </c>
      <c r="F1091" s="104" t="s">
        <v>895</v>
      </c>
      <c r="G1091" s="103" t="str">
        <f t="shared" si="957"/>
        <v>O</v>
      </c>
      <c r="H1091" s="103" t="str">
        <f>"N"</f>
        <v>N</v>
      </c>
      <c r="I1091" s="104" t="str">
        <f t="shared" ref="I1091:J1091" si="975">""</f>
        <v/>
      </c>
      <c r="J1091" s="104" t="str">
        <f t="shared" si="975"/>
        <v/>
      </c>
      <c r="K1091" s="104"/>
      <c r="L1091" s="105"/>
      <c r="M1091" s="104"/>
      <c r="N1091" s="104"/>
      <c r="O1091" s="104"/>
      <c r="P1091" s="104"/>
      <c r="Q1091" s="104"/>
      <c r="R1091" s="104"/>
      <c r="S1091" s="104"/>
      <c r="T1091" s="107"/>
      <c r="U1091" s="107"/>
    </row>
    <row r="1092" ht="15.75" hidden="1" customHeight="1">
      <c r="A1092" s="103" t="s">
        <v>92</v>
      </c>
      <c r="B1092" s="104" t="str">
        <f>"PromotionCategory"</f>
        <v>PromotionCategory</v>
      </c>
      <c r="C1092" s="104" t="str">
        <f>"yfs_promotion.promotion_category"</f>
        <v>yfs_promotion.promotion_category</v>
      </c>
      <c r="D1092" s="104" t="str">
        <f t="shared" si="976"/>
        <v>string</v>
      </c>
      <c r="E1092" s="105" t="str">
        <f>"24"</f>
        <v>24</v>
      </c>
      <c r="F1092" s="104" t="s">
        <v>896</v>
      </c>
      <c r="G1092" s="103" t="str">
        <f t="shared" si="957"/>
        <v>O</v>
      </c>
      <c r="H1092" s="103" t="str">
        <f t="shared" ref="H1092:J1092" si="977">""</f>
        <v/>
      </c>
      <c r="I1092" s="104" t="str">
        <f t="shared" si="977"/>
        <v/>
      </c>
      <c r="J1092" s="104" t="str">
        <f t="shared" si="977"/>
        <v/>
      </c>
      <c r="K1092" s="104"/>
      <c r="L1092" s="105"/>
      <c r="M1092" s="104"/>
      <c r="N1092" s="104"/>
      <c r="O1092" s="104"/>
      <c r="P1092" s="104"/>
      <c r="Q1092" s="104"/>
      <c r="R1092" s="104"/>
      <c r="S1092" s="104"/>
      <c r="T1092" s="107"/>
      <c r="U1092" s="107"/>
    </row>
    <row r="1093" ht="15.75" hidden="1" customHeight="1">
      <c r="A1093" s="103" t="s">
        <v>92</v>
      </c>
      <c r="B1093" s="104" t="str">
        <f>"PromotionGroup"</f>
        <v>PromotionGroup</v>
      </c>
      <c r="C1093" s="104" t="str">
        <f>"yfs_promotion.promotion_group"</f>
        <v>yfs_promotion.promotion_group</v>
      </c>
      <c r="D1093" s="104" t="str">
        <f>"UNKNOWN"</f>
        <v>UNKNOWN</v>
      </c>
      <c r="E1093" s="105" t="str">
        <f>""</f>
        <v/>
      </c>
      <c r="F1093" s="104" t="s">
        <v>1137</v>
      </c>
      <c r="G1093" s="103" t="str">
        <f t="shared" si="957"/>
        <v>O</v>
      </c>
      <c r="H1093" s="103" t="str">
        <f t="shared" ref="H1093:J1093" si="978">""</f>
        <v/>
      </c>
      <c r="I1093" s="104" t="str">
        <f t="shared" si="978"/>
        <v/>
      </c>
      <c r="J1093" s="104" t="str">
        <f t="shared" si="978"/>
        <v/>
      </c>
      <c r="K1093" s="104"/>
      <c r="L1093" s="105"/>
      <c r="M1093" s="104"/>
      <c r="N1093" s="104"/>
      <c r="O1093" s="104"/>
      <c r="P1093" s="104"/>
      <c r="Q1093" s="104"/>
      <c r="R1093" s="104"/>
      <c r="S1093" s="104"/>
      <c r="T1093" s="107"/>
      <c r="U1093" s="107"/>
    </row>
    <row r="1094" ht="15.75" hidden="1" customHeight="1">
      <c r="A1094" s="103" t="s">
        <v>92</v>
      </c>
      <c r="B1094" s="104" t="str">
        <f>"PromotionId"</f>
        <v>PromotionId</v>
      </c>
      <c r="C1094" s="104" t="str">
        <f>"yfs_promotion.promotion_id"</f>
        <v>yfs_promotion.promotion_id</v>
      </c>
      <c r="D1094" s="104" t="str">
        <f t="shared" ref="D1094:D1096" si="980">"string"</f>
        <v>string</v>
      </c>
      <c r="E1094" s="105" t="str">
        <f t="shared" ref="E1094:E1095" si="981">"100"</f>
        <v>100</v>
      </c>
      <c r="F1094" s="104" t="s">
        <v>897</v>
      </c>
      <c r="G1094" s="103" t="str">
        <f t="shared" si="957"/>
        <v>O</v>
      </c>
      <c r="H1094" s="103" t="str">
        <f t="shared" ref="H1094:H1095" si="982">"space"</f>
        <v>space</v>
      </c>
      <c r="I1094" s="104" t="str">
        <f t="shared" ref="I1094:J1094" si="979">""</f>
        <v/>
      </c>
      <c r="J1094" s="104" t="str">
        <f t="shared" si="979"/>
        <v/>
      </c>
      <c r="K1094" s="104"/>
      <c r="L1094" s="105"/>
      <c r="M1094" s="104"/>
      <c r="N1094" s="104"/>
      <c r="O1094" s="104"/>
      <c r="P1094" s="104"/>
      <c r="Q1094" s="104"/>
      <c r="R1094" s="104"/>
      <c r="S1094" s="104"/>
      <c r="T1094" s="107"/>
      <c r="U1094" s="107"/>
    </row>
    <row r="1095" ht="15.75" hidden="1" customHeight="1">
      <c r="A1095" s="103" t="s">
        <v>92</v>
      </c>
      <c r="B1095" s="104" t="str">
        <f>"PromotionType"</f>
        <v>PromotionType</v>
      </c>
      <c r="C1095" s="104" t="str">
        <f>"yfs_promotion.promotion_type"</f>
        <v>yfs_promotion.promotion_type</v>
      </c>
      <c r="D1095" s="104" t="str">
        <f t="shared" si="980"/>
        <v>string</v>
      </c>
      <c r="E1095" s="105" t="str">
        <f t="shared" si="981"/>
        <v>100</v>
      </c>
      <c r="F1095" s="104" t="s">
        <v>898</v>
      </c>
      <c r="G1095" s="103" t="str">
        <f t="shared" si="957"/>
        <v>O</v>
      </c>
      <c r="H1095" s="103" t="str">
        <f t="shared" si="982"/>
        <v>space</v>
      </c>
      <c r="I1095" s="104" t="str">
        <f t="shared" ref="I1095:J1095" si="983">""</f>
        <v/>
      </c>
      <c r="J1095" s="104" t="str">
        <f t="shared" si="983"/>
        <v/>
      </c>
      <c r="K1095" s="104"/>
      <c r="L1095" s="105"/>
      <c r="M1095" s="104"/>
      <c r="N1095" s="104"/>
      <c r="O1095" s="104"/>
      <c r="P1095" s="104"/>
      <c r="Q1095" s="104"/>
      <c r="R1095" s="104"/>
      <c r="S1095" s="104"/>
      <c r="T1095" s="107"/>
      <c r="U1095" s="107"/>
    </row>
    <row r="1096" ht="15.75" hidden="1" customHeight="1">
      <c r="A1096" s="103" t="s">
        <v>92</v>
      </c>
      <c r="B1096" s="104" t="str">
        <f>"ValidateReferences"</f>
        <v>ValidateReferences</v>
      </c>
      <c r="C1096" s="104" t="str">
        <f>""</f>
        <v/>
      </c>
      <c r="D1096" s="104" t="str">
        <f t="shared" si="980"/>
        <v>string</v>
      </c>
      <c r="E1096" s="105" t="str">
        <f>"1"</f>
        <v>1</v>
      </c>
      <c r="F1096" s="104" t="s">
        <v>899</v>
      </c>
      <c r="G1096" s="103" t="str">
        <f t="shared" si="957"/>
        <v>O</v>
      </c>
      <c r="H1096" s="103" t="str">
        <f t="shared" ref="H1096:J1096" si="984">""</f>
        <v/>
      </c>
      <c r="I1096" s="104" t="str">
        <f t="shared" si="984"/>
        <v/>
      </c>
      <c r="J1096" s="104" t="str">
        <f t="shared" si="984"/>
        <v/>
      </c>
      <c r="K1096" s="104"/>
      <c r="L1096" s="105"/>
      <c r="M1096" s="104"/>
      <c r="N1096" s="104"/>
      <c r="O1096" s="104"/>
      <c r="P1096" s="104"/>
      <c r="Q1096" s="104"/>
      <c r="R1096" s="104"/>
      <c r="S1096" s="104"/>
      <c r="T1096" s="107"/>
      <c r="U1096" s="107"/>
    </row>
    <row r="1097" ht="15.75" hidden="1" customHeight="1">
      <c r="A1097" s="196" t="s">
        <v>92</v>
      </c>
      <c r="B1097" s="170" t="str">
        <f>"/Order/Promotions/Promotion/PromotionReferences"</f>
        <v>/Order/Promotions/Promotion/PromotionReferences</v>
      </c>
      <c r="C1097" s="170"/>
      <c r="D1097" s="170"/>
      <c r="E1097" s="170"/>
      <c r="F1097" s="170"/>
      <c r="G1097" s="196" t="str">
        <f t="shared" si="957"/>
        <v>O</v>
      </c>
      <c r="H1097" s="170"/>
      <c r="I1097" s="170"/>
      <c r="J1097" s="170"/>
      <c r="K1097" s="170"/>
      <c r="L1097" s="170"/>
      <c r="M1097" s="170"/>
      <c r="N1097" s="170"/>
      <c r="O1097" s="170"/>
      <c r="P1097" s="170"/>
      <c r="Q1097" s="170"/>
      <c r="R1097" s="170"/>
      <c r="S1097" s="170"/>
      <c r="T1097" s="197"/>
      <c r="U1097" s="197"/>
    </row>
    <row r="1098" ht="15.75" hidden="1" customHeight="1">
      <c r="A1098" s="196" t="s">
        <v>92</v>
      </c>
      <c r="B1098" s="170" t="str">
        <f>"/Order/Promotions/Promotion/PromotionReferences/PromotionReference/@"</f>
        <v>/Order/Promotions/Promotion/PromotionReferences/PromotionReference/@</v>
      </c>
      <c r="C1098" s="170"/>
      <c r="D1098" s="170"/>
      <c r="E1098" s="170"/>
      <c r="F1098" s="170"/>
      <c r="G1098" s="196" t="str">
        <f t="shared" si="957"/>
        <v>O</v>
      </c>
      <c r="H1098" s="170"/>
      <c r="I1098" s="170"/>
      <c r="J1098" s="170"/>
      <c r="K1098" s="170"/>
      <c r="L1098" s="170"/>
      <c r="M1098" s="170"/>
      <c r="N1098" s="170"/>
      <c r="O1098" s="170"/>
      <c r="P1098" s="170"/>
      <c r="Q1098" s="170"/>
      <c r="R1098" s="170"/>
      <c r="S1098" s="170"/>
      <c r="T1098" s="197"/>
      <c r="U1098" s="197"/>
    </row>
    <row r="1099" ht="15.75" hidden="1" customHeight="1">
      <c r="A1099" s="103" t="s">
        <v>92</v>
      </c>
      <c r="B1099" s="104" t="str">
        <f>"IsUnique"</f>
        <v>IsUnique</v>
      </c>
      <c r="C1099" s="104" t="str">
        <f>"yfs_promotion_reference.is_unique"</f>
        <v>yfs_promotion_reference.is_unique</v>
      </c>
      <c r="D1099" s="104" t="str">
        <f t="shared" ref="D1099:D1101" si="986">"string"</f>
        <v>string</v>
      </c>
      <c r="E1099" s="105" t="str">
        <f>"1"</f>
        <v>1</v>
      </c>
      <c r="F1099" s="104" t="s">
        <v>913</v>
      </c>
      <c r="G1099" s="103" t="str">
        <f t="shared" si="957"/>
        <v>O</v>
      </c>
      <c r="H1099" s="103" t="str">
        <f t="shared" ref="H1099:J1099" si="985">""</f>
        <v/>
      </c>
      <c r="I1099" s="104" t="str">
        <f t="shared" si="985"/>
        <v/>
      </c>
      <c r="J1099" s="104" t="str">
        <f t="shared" si="985"/>
        <v/>
      </c>
      <c r="K1099" s="104"/>
      <c r="L1099" s="105"/>
      <c r="M1099" s="104"/>
      <c r="N1099" s="104"/>
      <c r="O1099" s="104"/>
      <c r="P1099" s="104"/>
      <c r="Q1099" s="104"/>
      <c r="R1099" s="104"/>
      <c r="S1099" s="104"/>
      <c r="T1099" s="107"/>
      <c r="U1099" s="107"/>
    </row>
    <row r="1100" ht="15.75" hidden="1" customHeight="1">
      <c r="A1100" s="103" t="s">
        <v>92</v>
      </c>
      <c r="B1100" s="104" t="str">
        <f>"Operation"</f>
        <v>Operation</v>
      </c>
      <c r="C1100" s="104" t="str">
        <f>""</f>
        <v/>
      </c>
      <c r="D1100" s="104" t="str">
        <f t="shared" si="986"/>
        <v>string</v>
      </c>
      <c r="E1100" s="105" t="str">
        <f>""</f>
        <v/>
      </c>
      <c r="F1100" s="104" t="s">
        <v>938</v>
      </c>
      <c r="G1100" s="103" t="str">
        <f t="shared" si="957"/>
        <v>O</v>
      </c>
      <c r="H1100" s="103" t="str">
        <f t="shared" ref="H1100:J1100" si="987">""</f>
        <v/>
      </c>
      <c r="I1100" s="104" t="str">
        <f t="shared" si="987"/>
        <v/>
      </c>
      <c r="J1100" s="104" t="str">
        <f t="shared" si="987"/>
        <v/>
      </c>
      <c r="K1100" s="104"/>
      <c r="L1100" s="105"/>
      <c r="M1100" s="104"/>
      <c r="N1100" s="104"/>
      <c r="O1100" s="104"/>
      <c r="P1100" s="104"/>
      <c r="Q1100" s="104"/>
      <c r="R1100" s="104"/>
      <c r="S1100" s="104"/>
      <c r="T1100" s="107"/>
      <c r="U1100" s="107"/>
    </row>
    <row r="1101" ht="15.75" hidden="1" customHeight="1">
      <c r="A1101" s="103" t="s">
        <v>92</v>
      </c>
      <c r="B1101" s="104" t="str">
        <f>"ReferenceId"</f>
        <v>ReferenceId</v>
      </c>
      <c r="C1101" s="104" t="str">
        <f>"yfs_promotion_reference.reference_id"</f>
        <v>yfs_promotion_reference.reference_id</v>
      </c>
      <c r="D1101" s="104" t="str">
        <f t="shared" si="986"/>
        <v>string</v>
      </c>
      <c r="E1101" s="105" t="str">
        <f>"40"</f>
        <v>40</v>
      </c>
      <c r="F1101" s="104" t="s">
        <v>914</v>
      </c>
      <c r="G1101" s="103" t="str">
        <f t="shared" si="957"/>
        <v>O</v>
      </c>
      <c r="H1101" s="103" t="str">
        <f t="shared" ref="H1101:J1101" si="988">""</f>
        <v/>
      </c>
      <c r="I1101" s="104" t="str">
        <f t="shared" si="988"/>
        <v/>
      </c>
      <c r="J1101" s="104" t="str">
        <f t="shared" si="988"/>
        <v/>
      </c>
      <c r="K1101" s="104"/>
      <c r="L1101" s="105"/>
      <c r="M1101" s="104"/>
      <c r="N1101" s="104"/>
      <c r="O1101" s="104"/>
      <c r="P1101" s="104"/>
      <c r="Q1101" s="104"/>
      <c r="R1101" s="104"/>
      <c r="S1101" s="104"/>
      <c r="T1101" s="107"/>
      <c r="U1101" s="107"/>
    </row>
    <row r="1102" ht="15.75" hidden="1" customHeight="1">
      <c r="A1102" s="103" t="s">
        <v>92</v>
      </c>
      <c r="B1102" s="104" t="str">
        <f>"ReferenceSequence"</f>
        <v>ReferenceSequence</v>
      </c>
      <c r="C1102" s="104" t="str">
        <f>"yfs_promotion_reference.reference_sequence"</f>
        <v>yfs_promotion_reference.reference_sequence</v>
      </c>
      <c r="D1102" s="104" t="str">
        <f>"UNKNOWN"</f>
        <v>UNKNOWN</v>
      </c>
      <c r="E1102" s="105" t="str">
        <f>""</f>
        <v/>
      </c>
      <c r="F1102" s="104" t="s">
        <v>915</v>
      </c>
      <c r="G1102" s="103" t="str">
        <f t="shared" si="957"/>
        <v>O</v>
      </c>
      <c r="H1102" s="103" t="str">
        <f t="shared" ref="H1102:J1102" si="989">""</f>
        <v/>
      </c>
      <c r="I1102" s="104" t="str">
        <f t="shared" si="989"/>
        <v/>
      </c>
      <c r="J1102" s="104" t="str">
        <f t="shared" si="989"/>
        <v/>
      </c>
      <c r="K1102" s="104"/>
      <c r="L1102" s="105"/>
      <c r="M1102" s="104"/>
      <c r="N1102" s="104"/>
      <c r="O1102" s="104"/>
      <c r="P1102" s="104"/>
      <c r="Q1102" s="104"/>
      <c r="R1102" s="104"/>
      <c r="S1102" s="104"/>
      <c r="T1102" s="107"/>
      <c r="U1102" s="107"/>
    </row>
    <row r="1103" ht="15.75" hidden="1" customHeight="1">
      <c r="A1103" s="196" t="s">
        <v>92</v>
      </c>
      <c r="B1103" s="170" t="str">
        <f>"/Order/Awards"</f>
        <v>/Order/Awards</v>
      </c>
      <c r="C1103" s="170"/>
      <c r="D1103" s="170"/>
      <c r="E1103" s="170"/>
      <c r="F1103" s="170"/>
      <c r="G1103" s="196" t="str">
        <f t="shared" si="957"/>
        <v>O</v>
      </c>
      <c r="H1103" s="170"/>
      <c r="I1103" s="170"/>
      <c r="J1103" s="170"/>
      <c r="K1103" s="170"/>
      <c r="L1103" s="170"/>
      <c r="M1103" s="170"/>
      <c r="N1103" s="170"/>
      <c r="O1103" s="170"/>
      <c r="P1103" s="170"/>
      <c r="Q1103" s="170"/>
      <c r="R1103" s="170"/>
      <c r="S1103" s="170"/>
      <c r="T1103" s="197"/>
      <c r="U1103" s="197"/>
    </row>
    <row r="1104" ht="15.75" hidden="1" customHeight="1">
      <c r="A1104" s="196" t="s">
        <v>92</v>
      </c>
      <c r="B1104" s="170" t="str">
        <f>"/Order/Awards/Award/@"</f>
        <v>/Order/Awards/Award/@</v>
      </c>
      <c r="C1104" s="170"/>
      <c r="D1104" s="170"/>
      <c r="E1104" s="170"/>
      <c r="F1104" s="170"/>
      <c r="G1104" s="196" t="str">
        <f t="shared" si="957"/>
        <v>O</v>
      </c>
      <c r="H1104" s="170"/>
      <c r="I1104" s="170"/>
      <c r="J1104" s="170"/>
      <c r="K1104" s="170"/>
      <c r="L1104" s="170"/>
      <c r="M1104" s="170"/>
      <c r="N1104" s="170"/>
      <c r="O1104" s="170"/>
      <c r="P1104" s="170"/>
      <c r="Q1104" s="170"/>
      <c r="R1104" s="170"/>
      <c r="S1104" s="170"/>
      <c r="T1104" s="197"/>
      <c r="U1104" s="197"/>
    </row>
    <row r="1105" ht="15.75" hidden="1" customHeight="1">
      <c r="A1105" s="103" t="s">
        <v>92</v>
      </c>
      <c r="B1105" s="104" t="str">
        <f>"Action"</f>
        <v>Action</v>
      </c>
      <c r="C1105" s="104" t="str">
        <f>""</f>
        <v/>
      </c>
      <c r="D1105" s="104" t="str">
        <f>"string"</f>
        <v>string</v>
      </c>
      <c r="E1105" s="105" t="str">
        <f>"40"</f>
        <v>40</v>
      </c>
      <c r="F1105" s="104" t="s">
        <v>900</v>
      </c>
      <c r="G1105" s="103" t="str">
        <f t="shared" si="957"/>
        <v>O</v>
      </c>
      <c r="H1105" s="103" t="str">
        <f t="shared" ref="H1105:J1105" si="990">""</f>
        <v/>
      </c>
      <c r="I1105" s="104" t="str">
        <f t="shared" si="990"/>
        <v/>
      </c>
      <c r="J1105" s="104" t="str">
        <f t="shared" si="990"/>
        <v/>
      </c>
      <c r="K1105" s="104"/>
      <c r="L1105" s="105"/>
      <c r="M1105" s="104"/>
      <c r="N1105" s="104"/>
      <c r="O1105" s="104"/>
      <c r="P1105" s="104"/>
      <c r="Q1105" s="104"/>
      <c r="R1105" s="104"/>
      <c r="S1105" s="104"/>
      <c r="T1105" s="107"/>
      <c r="U1105" s="107"/>
    </row>
    <row r="1106" ht="15.75" hidden="1" customHeight="1">
      <c r="A1106" s="103" t="s">
        <v>92</v>
      </c>
      <c r="B1106" s="104" t="str">
        <f>"AwardAmount"</f>
        <v>AwardAmount</v>
      </c>
      <c r="C1106" s="104" t="str">
        <f>"yfs_promotion_award.award_amount"</f>
        <v>yfs_promotion_award.award_amount</v>
      </c>
      <c r="D1106" s="104" t="str">
        <f>"UNKNOWN"</f>
        <v>UNKNOWN</v>
      </c>
      <c r="E1106" s="105" t="str">
        <f>""</f>
        <v/>
      </c>
      <c r="F1106" s="104" t="s">
        <v>901</v>
      </c>
      <c r="G1106" s="103" t="str">
        <f t="shared" si="957"/>
        <v>O</v>
      </c>
      <c r="H1106" s="103" t="str">
        <f>"0 "</f>
        <v>0 </v>
      </c>
      <c r="I1106" s="104" t="str">
        <f t="shared" ref="I1106:J1106" si="991">""</f>
        <v/>
      </c>
      <c r="J1106" s="104" t="str">
        <f t="shared" si="991"/>
        <v/>
      </c>
      <c r="K1106" s="104"/>
      <c r="L1106" s="105"/>
      <c r="M1106" s="104"/>
      <c r="N1106" s="104"/>
      <c r="O1106" s="104"/>
      <c r="P1106" s="104"/>
      <c r="Q1106" s="104"/>
      <c r="R1106" s="104"/>
      <c r="S1106" s="104"/>
      <c r="T1106" s="107"/>
      <c r="U1106" s="107"/>
    </row>
    <row r="1107" ht="15.75" hidden="1" customHeight="1">
      <c r="A1107" s="103" t="s">
        <v>92</v>
      </c>
      <c r="B1107" s="104" t="str">
        <f>"AwardApplied"</f>
        <v>AwardApplied</v>
      </c>
      <c r="C1107" s="104" t="str">
        <f>"yfs_promotion_award.award_applied"</f>
        <v>yfs_promotion_award.award_applied</v>
      </c>
      <c r="D1107" s="104" t="str">
        <f t="shared" ref="D1107:D1108" si="993">"string"</f>
        <v>string</v>
      </c>
      <c r="E1107" s="105" t="str">
        <f>"1"</f>
        <v>1</v>
      </c>
      <c r="F1107" s="104" t="s">
        <v>902</v>
      </c>
      <c r="G1107" s="103" t="str">
        <f t="shared" si="957"/>
        <v>O</v>
      </c>
      <c r="H1107" s="103" t="str">
        <f>"N"</f>
        <v>N</v>
      </c>
      <c r="I1107" s="104" t="str">
        <f t="shared" ref="I1107:J1107" si="992">""</f>
        <v/>
      </c>
      <c r="J1107" s="104" t="str">
        <f t="shared" si="992"/>
        <v/>
      </c>
      <c r="K1107" s="104"/>
      <c r="L1107" s="105"/>
      <c r="M1107" s="104"/>
      <c r="N1107" s="104"/>
      <c r="O1107" s="104"/>
      <c r="P1107" s="104"/>
      <c r="Q1107" s="104"/>
      <c r="R1107" s="104"/>
      <c r="S1107" s="104"/>
      <c r="T1107" s="107"/>
      <c r="U1107" s="107"/>
    </row>
    <row r="1108" ht="15.75" hidden="1" customHeight="1">
      <c r="A1108" s="103" t="s">
        <v>92</v>
      </c>
      <c r="B1108" s="104" t="str">
        <f>"AwardId"</f>
        <v>AwardId</v>
      </c>
      <c r="C1108" s="104" t="str">
        <f>"yfs_promotion_award.award_id"</f>
        <v>yfs_promotion_award.award_id</v>
      </c>
      <c r="D1108" s="104" t="str">
        <f t="shared" si="993"/>
        <v>string</v>
      </c>
      <c r="E1108" s="105" t="str">
        <f>"120"</f>
        <v>120</v>
      </c>
      <c r="F1108" s="104" t="s">
        <v>903</v>
      </c>
      <c r="G1108" s="103" t="str">
        <f t="shared" si="957"/>
        <v>O</v>
      </c>
      <c r="H1108" s="103" t="str">
        <f>"space"</f>
        <v>space</v>
      </c>
      <c r="I1108" s="104" t="str">
        <f t="shared" ref="I1108:J1108" si="994">""</f>
        <v/>
      </c>
      <c r="J1108" s="104" t="str">
        <f t="shared" si="994"/>
        <v/>
      </c>
      <c r="K1108" s="104"/>
      <c r="L1108" s="105"/>
      <c r="M1108" s="104"/>
      <c r="N1108" s="104"/>
      <c r="O1108" s="104"/>
      <c r="P1108" s="104"/>
      <c r="Q1108" s="104"/>
      <c r="R1108" s="104"/>
      <c r="S1108" s="104"/>
      <c r="T1108" s="107"/>
      <c r="U1108" s="107"/>
    </row>
    <row r="1109" ht="15.75" hidden="1" customHeight="1">
      <c r="A1109" s="103" t="s">
        <v>92</v>
      </c>
      <c r="B1109" s="104" t="str">
        <f>"AwardQuantity"</f>
        <v>AwardQuantity</v>
      </c>
      <c r="C1109" s="104" t="str">
        <f>"yfs_promotion_award.award_quantity"</f>
        <v>yfs_promotion_award.award_quantity</v>
      </c>
      <c r="D1109" s="104" t="str">
        <f>"UNKNOWN"</f>
        <v>UNKNOWN</v>
      </c>
      <c r="E1109" s="105" t="str">
        <f>""</f>
        <v/>
      </c>
      <c r="F1109" s="104" t="s">
        <v>904</v>
      </c>
      <c r="G1109" s="103" t="str">
        <f t="shared" si="957"/>
        <v>O</v>
      </c>
      <c r="H1109" s="103" t="str">
        <f t="shared" ref="H1109:J1109" si="995">""</f>
        <v/>
      </c>
      <c r="I1109" s="104" t="str">
        <f t="shared" si="995"/>
        <v/>
      </c>
      <c r="J1109" s="104" t="str">
        <f t="shared" si="995"/>
        <v/>
      </c>
      <c r="K1109" s="104"/>
      <c r="L1109" s="105"/>
      <c r="M1109" s="104"/>
      <c r="N1109" s="104"/>
      <c r="O1109" s="104"/>
      <c r="P1109" s="104"/>
      <c r="Q1109" s="104"/>
      <c r="R1109" s="104"/>
      <c r="S1109" s="104"/>
      <c r="T1109" s="107"/>
      <c r="U1109" s="107"/>
    </row>
    <row r="1110" ht="15.75" hidden="1" customHeight="1">
      <c r="A1110" s="103" t="s">
        <v>92</v>
      </c>
      <c r="B1110" s="104" t="str">
        <f>"AwardType"</f>
        <v>AwardType</v>
      </c>
      <c r="C1110" s="104" t="str">
        <f>"yfs_promotion_award.award_type"</f>
        <v>yfs_promotion_award.award_type</v>
      </c>
      <c r="D1110" s="104" t="str">
        <f t="shared" ref="D1110:D1117" si="997">"string"</f>
        <v>string</v>
      </c>
      <c r="E1110" s="105" t="str">
        <f>"100"</f>
        <v>100</v>
      </c>
      <c r="F1110" s="104" t="s">
        <v>905</v>
      </c>
      <c r="G1110" s="103" t="str">
        <f t="shared" si="957"/>
        <v>O</v>
      </c>
      <c r="H1110" s="103" t="str">
        <f>"space"</f>
        <v>space</v>
      </c>
      <c r="I1110" s="104" t="str">
        <f t="shared" ref="I1110:J1110" si="996">""</f>
        <v/>
      </c>
      <c r="J1110" s="104" t="str">
        <f t="shared" si="996"/>
        <v/>
      </c>
      <c r="K1110" s="104"/>
      <c r="L1110" s="105"/>
      <c r="M1110" s="104"/>
      <c r="N1110" s="104"/>
      <c r="O1110" s="104"/>
      <c r="P1110" s="104"/>
      <c r="Q1110" s="104"/>
      <c r="R1110" s="104"/>
      <c r="S1110" s="104"/>
      <c r="T1110" s="107"/>
      <c r="U1110" s="107"/>
    </row>
    <row r="1111" ht="15.75" hidden="1" customHeight="1">
      <c r="A1111" s="103" t="s">
        <v>92</v>
      </c>
      <c r="B1111" s="104" t="str">
        <f>"ChargeCategory"</f>
        <v>ChargeCategory</v>
      </c>
      <c r="C1111" s="104" t="str">
        <f>"yfs_promotion_award.charge_category"</f>
        <v>yfs_promotion_award.charge_category</v>
      </c>
      <c r="D1111" s="104" t="str">
        <f t="shared" si="997"/>
        <v>string</v>
      </c>
      <c r="E1111" s="105" t="str">
        <f>"20"</f>
        <v>20</v>
      </c>
      <c r="F1111" s="104" t="s">
        <v>906</v>
      </c>
      <c r="G1111" s="103" t="str">
        <f t="shared" si="957"/>
        <v>O</v>
      </c>
      <c r="H1111" s="103" t="str">
        <f t="shared" ref="H1111:H1112" si="999">"null"</f>
        <v>null</v>
      </c>
      <c r="I1111" s="104" t="str">
        <f t="shared" ref="I1111:J1111" si="998">""</f>
        <v/>
      </c>
      <c r="J1111" s="104" t="str">
        <f t="shared" si="998"/>
        <v/>
      </c>
      <c r="K1111" s="104"/>
      <c r="L1111" s="105"/>
      <c r="M1111" s="104"/>
      <c r="N1111" s="104"/>
      <c r="O1111" s="104"/>
      <c r="P1111" s="104"/>
      <c r="Q1111" s="104"/>
      <c r="R1111" s="104"/>
      <c r="S1111" s="104"/>
      <c r="T1111" s="107"/>
      <c r="U1111" s="107"/>
    </row>
    <row r="1112" ht="15.75" hidden="1" customHeight="1">
      <c r="A1112" s="103" t="s">
        <v>92</v>
      </c>
      <c r="B1112" s="104" t="str">
        <f>"ChargeName"</f>
        <v>ChargeName</v>
      </c>
      <c r="C1112" s="104" t="str">
        <f>"yfs_promotion_award.charge_name"</f>
        <v>yfs_promotion_award.charge_name</v>
      </c>
      <c r="D1112" s="104" t="str">
        <f t="shared" si="997"/>
        <v>string</v>
      </c>
      <c r="E1112" s="105" t="str">
        <f>"40"</f>
        <v>40</v>
      </c>
      <c r="F1112" s="104" t="s">
        <v>907</v>
      </c>
      <c r="G1112" s="103" t="str">
        <f t="shared" si="957"/>
        <v>O</v>
      </c>
      <c r="H1112" s="103" t="str">
        <f t="shared" si="999"/>
        <v>null</v>
      </c>
      <c r="I1112" s="104" t="str">
        <f t="shared" ref="I1112:J1112" si="1000">""</f>
        <v/>
      </c>
      <c r="J1112" s="104" t="str">
        <f t="shared" si="1000"/>
        <v/>
      </c>
      <c r="K1112" s="104"/>
      <c r="L1112" s="105"/>
      <c r="M1112" s="104"/>
      <c r="N1112" s="104"/>
      <c r="O1112" s="104"/>
      <c r="P1112" s="104"/>
      <c r="Q1112" s="104"/>
      <c r="R1112" s="104"/>
      <c r="S1112" s="104"/>
      <c r="T1112" s="107"/>
      <c r="U1112" s="107"/>
    </row>
    <row r="1113" ht="15.75" hidden="1" customHeight="1">
      <c r="A1113" s="103" t="s">
        <v>92</v>
      </c>
      <c r="B1113" s="104" t="str">
        <f>"DenialReason"</f>
        <v>DenialReason</v>
      </c>
      <c r="C1113" s="104" t="str">
        <f>"yfs_promotion_award.denial_reason"</f>
        <v>yfs_promotion_award.denial_reason</v>
      </c>
      <c r="D1113" s="104" t="str">
        <f t="shared" si="997"/>
        <v>string</v>
      </c>
      <c r="E1113" s="105" t="str">
        <f>"100"</f>
        <v>100</v>
      </c>
      <c r="F1113" s="104" t="s">
        <v>908</v>
      </c>
      <c r="G1113" s="103" t="str">
        <f t="shared" si="957"/>
        <v>O</v>
      </c>
      <c r="H1113" s="103" t="str">
        <f t="shared" ref="H1113:H1114" si="1002">"space"</f>
        <v>space</v>
      </c>
      <c r="I1113" s="104" t="str">
        <f t="shared" ref="I1113:J1113" si="1001">""</f>
        <v/>
      </c>
      <c r="J1113" s="104" t="str">
        <f t="shared" si="1001"/>
        <v/>
      </c>
      <c r="K1113" s="104"/>
      <c r="L1113" s="105"/>
      <c r="M1113" s="104"/>
      <c r="N1113" s="104"/>
      <c r="O1113" s="104"/>
      <c r="P1113" s="104"/>
      <c r="Q1113" s="104"/>
      <c r="R1113" s="104"/>
      <c r="S1113" s="104"/>
      <c r="T1113" s="107"/>
      <c r="U1113" s="107"/>
    </row>
    <row r="1114" ht="15.75" hidden="1" customHeight="1">
      <c r="A1114" s="103" t="s">
        <v>92</v>
      </c>
      <c r="B1114" s="104" t="str">
        <f>"Description"</f>
        <v>Description</v>
      </c>
      <c r="C1114" s="104" t="str">
        <f>"yfs_promotion_award.description"</f>
        <v>yfs_promotion_award.description</v>
      </c>
      <c r="D1114" s="104" t="str">
        <f t="shared" si="997"/>
        <v>string</v>
      </c>
      <c r="E1114" s="105" t="str">
        <f>"2000"</f>
        <v>2000</v>
      </c>
      <c r="F1114" s="104" t="s">
        <v>909</v>
      </c>
      <c r="G1114" s="103" t="str">
        <f t="shared" si="957"/>
        <v>O</v>
      </c>
      <c r="H1114" s="103" t="str">
        <f t="shared" si="1002"/>
        <v>space</v>
      </c>
      <c r="I1114" s="104" t="str">
        <f t="shared" ref="I1114:J1114" si="1003">""</f>
        <v/>
      </c>
      <c r="J1114" s="104" t="str">
        <f t="shared" si="1003"/>
        <v/>
      </c>
      <c r="K1114" s="104"/>
      <c r="L1114" s="105"/>
      <c r="M1114" s="104"/>
      <c r="N1114" s="104"/>
      <c r="O1114" s="104"/>
      <c r="P1114" s="104"/>
      <c r="Q1114" s="104"/>
      <c r="R1114" s="104"/>
      <c r="S1114" s="104"/>
      <c r="T1114" s="107"/>
      <c r="U1114" s="107"/>
    </row>
    <row r="1115" ht="15.75" hidden="1" customHeight="1">
      <c r="A1115" s="103" t="s">
        <v>92</v>
      </c>
      <c r="B1115" s="104" t="str">
        <f>"IsFreeGiftAward"</f>
        <v>IsFreeGiftAward</v>
      </c>
      <c r="C1115" s="104" t="str">
        <f>"yfs_promotion_award.is_free_gift_award"</f>
        <v>yfs_promotion_award.is_free_gift_award</v>
      </c>
      <c r="D1115" s="104" t="str">
        <f t="shared" si="997"/>
        <v>string</v>
      </c>
      <c r="E1115" s="105" t="str">
        <f>"1"</f>
        <v>1</v>
      </c>
      <c r="F1115" s="104" t="s">
        <v>910</v>
      </c>
      <c r="G1115" s="103" t="str">
        <f t="shared" si="957"/>
        <v>O</v>
      </c>
      <c r="H1115" s="103" t="str">
        <f t="shared" ref="H1115:J1115" si="1004">""</f>
        <v/>
      </c>
      <c r="I1115" s="104" t="str">
        <f t="shared" si="1004"/>
        <v/>
      </c>
      <c r="J1115" s="104" t="str">
        <f t="shared" si="1004"/>
        <v/>
      </c>
      <c r="K1115" s="104"/>
      <c r="L1115" s="105"/>
      <c r="M1115" s="104"/>
      <c r="N1115" s="104"/>
      <c r="O1115" s="104"/>
      <c r="P1115" s="104"/>
      <c r="Q1115" s="104"/>
      <c r="R1115" s="104"/>
      <c r="S1115" s="104"/>
      <c r="T1115" s="107"/>
      <c r="U1115" s="107"/>
    </row>
    <row r="1116" ht="15.75" hidden="1" customHeight="1">
      <c r="A1116" s="103" t="s">
        <v>92</v>
      </c>
      <c r="B1116" s="104" t="str">
        <f>"PosReasonCode"</f>
        <v>PosReasonCode</v>
      </c>
      <c r="C1116" s="104" t="str">
        <f>"yfs_promotion_award.pos_reason_code"</f>
        <v>yfs_promotion_award.pos_reason_code</v>
      </c>
      <c r="D1116" s="104" t="str">
        <f t="shared" si="997"/>
        <v>string</v>
      </c>
      <c r="E1116" s="105" t="str">
        <f t="shared" ref="E1116:E1117" si="1006">"100"</f>
        <v>100</v>
      </c>
      <c r="F1116" s="104" t="s">
        <v>911</v>
      </c>
      <c r="G1116" s="103" t="str">
        <f t="shared" si="957"/>
        <v>O</v>
      </c>
      <c r="H1116" s="103" t="str">
        <f t="shared" ref="H1116:H1117" si="1007">"space"</f>
        <v>space</v>
      </c>
      <c r="I1116" s="104" t="str">
        <f t="shared" ref="I1116:J1116" si="1005">""</f>
        <v/>
      </c>
      <c r="J1116" s="104" t="str">
        <f t="shared" si="1005"/>
        <v/>
      </c>
      <c r="K1116" s="104"/>
      <c r="L1116" s="105"/>
      <c r="M1116" s="104"/>
      <c r="N1116" s="104"/>
      <c r="O1116" s="104"/>
      <c r="P1116" s="104"/>
      <c r="Q1116" s="104"/>
      <c r="R1116" s="104"/>
      <c r="S1116" s="104"/>
      <c r="T1116" s="107"/>
      <c r="U1116" s="107"/>
    </row>
    <row r="1117" ht="15.75" hidden="1" customHeight="1">
      <c r="A1117" s="103" t="s">
        <v>92</v>
      </c>
      <c r="B1117" s="104" t="str">
        <f>"PromotionId"</f>
        <v>PromotionId</v>
      </c>
      <c r="C1117" s="104" t="str">
        <f>"yfs_promotion_award.promotion_id"</f>
        <v>yfs_promotion_award.promotion_id</v>
      </c>
      <c r="D1117" s="104" t="str">
        <f t="shared" si="997"/>
        <v>string</v>
      </c>
      <c r="E1117" s="105" t="str">
        <f t="shared" si="1006"/>
        <v>100</v>
      </c>
      <c r="F1117" s="104" t="s">
        <v>912</v>
      </c>
      <c r="G1117" s="103" t="str">
        <f t="shared" si="957"/>
        <v>O</v>
      </c>
      <c r="H1117" s="103" t="str">
        <f t="shared" si="1007"/>
        <v>space</v>
      </c>
      <c r="I1117" s="104" t="str">
        <f t="shared" ref="I1117:J1117" si="1008">""</f>
        <v/>
      </c>
      <c r="J1117" s="104" t="str">
        <f t="shared" si="1008"/>
        <v/>
      </c>
      <c r="K1117" s="104"/>
      <c r="L1117" s="105"/>
      <c r="M1117" s="104"/>
      <c r="N1117" s="104"/>
      <c r="O1117" s="104"/>
      <c r="P1117" s="104"/>
      <c r="Q1117" s="104"/>
      <c r="R1117" s="104"/>
      <c r="S1117" s="104"/>
      <c r="T1117" s="107"/>
      <c r="U1117" s="107"/>
    </row>
    <row r="1118" ht="15.75" hidden="1" customHeight="1">
      <c r="A1118" s="196" t="s">
        <v>92</v>
      </c>
      <c r="B1118" s="170" t="str">
        <f>"/Order/PersonInfoSoldTo/@"</f>
        <v>/Order/PersonInfoSoldTo/@</v>
      </c>
      <c r="C1118" s="170"/>
      <c r="D1118" s="170"/>
      <c r="E1118" s="170"/>
      <c r="F1118" s="170"/>
      <c r="G1118" s="196" t="str">
        <f t="shared" si="957"/>
        <v>O</v>
      </c>
      <c r="H1118" s="170"/>
      <c r="I1118" s="170"/>
      <c r="J1118" s="170"/>
      <c r="K1118" s="170"/>
      <c r="L1118" s="170"/>
      <c r="M1118" s="170"/>
      <c r="N1118" s="170"/>
      <c r="O1118" s="170"/>
      <c r="P1118" s="170"/>
      <c r="Q1118" s="170"/>
      <c r="R1118" s="170"/>
      <c r="S1118" s="170"/>
      <c r="T1118" s="197"/>
      <c r="U1118" s="197"/>
    </row>
    <row r="1119" ht="15.75" hidden="1" customHeight="1">
      <c r="A1119" s="103" t="s">
        <v>92</v>
      </c>
      <c r="B1119" s="104" t="str">
        <f>"AddressID"</f>
        <v>AddressID</v>
      </c>
      <c r="C1119" s="104" t="str">
        <f>"yfs_person_info.address_id"</f>
        <v>yfs_person_info.address_id</v>
      </c>
      <c r="D1119" s="104" t="str">
        <f t="shared" ref="D1119:D1128" si="1010">"string"</f>
        <v>string</v>
      </c>
      <c r="E1119" s="105" t="str">
        <f>"256"</f>
        <v>256</v>
      </c>
      <c r="F1119" s="104" t="s">
        <v>684</v>
      </c>
      <c r="G1119" s="103" t="str">
        <f t="shared" si="957"/>
        <v>O</v>
      </c>
      <c r="H1119" s="103" t="str">
        <f>"null"</f>
        <v>null</v>
      </c>
      <c r="I1119" s="104" t="str">
        <f t="shared" ref="I1119:J1119" si="1009">""</f>
        <v/>
      </c>
      <c r="J1119" s="104" t="str">
        <f t="shared" si="1009"/>
        <v/>
      </c>
      <c r="K1119" s="104"/>
      <c r="L1119" s="105"/>
      <c r="M1119" s="104"/>
      <c r="N1119" s="104"/>
      <c r="O1119" s="104"/>
      <c r="P1119" s="104"/>
      <c r="Q1119" s="104"/>
      <c r="R1119" s="104"/>
      <c r="S1119" s="104"/>
      <c r="T1119" s="107"/>
      <c r="U1119" s="107"/>
    </row>
    <row r="1120" ht="15.75" hidden="1" customHeight="1">
      <c r="A1120" s="103" t="s">
        <v>92</v>
      </c>
      <c r="B1120" s="104" t="str">
        <f>"AddressLine1"</f>
        <v>AddressLine1</v>
      </c>
      <c r="C1120" s="104" t="str">
        <f>"yfs_person_info.address_line1"</f>
        <v>yfs_person_info.address_line1</v>
      </c>
      <c r="D1120" s="104" t="str">
        <f t="shared" si="1010"/>
        <v>string</v>
      </c>
      <c r="E1120" s="105" t="str">
        <f t="shared" ref="E1120:E1125" si="1011">"70"</f>
        <v>70</v>
      </c>
      <c r="F1120" s="104" t="s">
        <v>685</v>
      </c>
      <c r="G1120" s="103" t="str">
        <f t="shared" si="957"/>
        <v>O</v>
      </c>
      <c r="H1120" s="103" t="str">
        <f t="shared" ref="H1120:H1137" si="1012">"space"</f>
        <v>space</v>
      </c>
      <c r="I1120" s="104" t="str">
        <f t="shared" ref="I1120:I1152" si="1013">""</f>
        <v/>
      </c>
      <c r="J1120" s="104" t="str">
        <f>"1 Main Street"</f>
        <v>1 Main Street</v>
      </c>
      <c r="K1120" s="104"/>
      <c r="L1120" s="105"/>
      <c r="M1120" s="104"/>
      <c r="N1120" s="104"/>
      <c r="O1120" s="104"/>
      <c r="P1120" s="104"/>
      <c r="Q1120" s="104"/>
      <c r="R1120" s="104"/>
      <c r="S1120" s="104"/>
      <c r="T1120" s="107"/>
      <c r="U1120" s="107"/>
    </row>
    <row r="1121" ht="15.75" hidden="1" customHeight="1">
      <c r="A1121" s="103" t="s">
        <v>92</v>
      </c>
      <c r="B1121" s="104" t="str">
        <f>"AddressLine2"</f>
        <v>AddressLine2</v>
      </c>
      <c r="C1121" s="104" t="str">
        <f>"yfs_person_info.address_line2"</f>
        <v>yfs_person_info.address_line2</v>
      </c>
      <c r="D1121" s="104" t="str">
        <f t="shared" si="1010"/>
        <v>string</v>
      </c>
      <c r="E1121" s="105" t="str">
        <f t="shared" si="1011"/>
        <v>70</v>
      </c>
      <c r="F1121" s="104" t="s">
        <v>688</v>
      </c>
      <c r="G1121" s="103" t="str">
        <f t="shared" si="957"/>
        <v>O</v>
      </c>
      <c r="H1121" s="103" t="str">
        <f t="shared" si="1012"/>
        <v>space</v>
      </c>
      <c r="I1121" s="104" t="str">
        <f t="shared" si="1013"/>
        <v/>
      </c>
      <c r="J1121" s="104" t="str">
        <f>"Unit A2"</f>
        <v>Unit A2</v>
      </c>
      <c r="K1121" s="104"/>
      <c r="L1121" s="105"/>
      <c r="M1121" s="104"/>
      <c r="N1121" s="104"/>
      <c r="O1121" s="104"/>
      <c r="P1121" s="104"/>
      <c r="Q1121" s="104"/>
      <c r="R1121" s="104"/>
      <c r="S1121" s="104"/>
      <c r="T1121" s="107"/>
      <c r="U1121" s="107"/>
    </row>
    <row r="1122" ht="15.75" hidden="1" customHeight="1">
      <c r="A1122" s="103" t="s">
        <v>92</v>
      </c>
      <c r="B1122" s="104" t="str">
        <f>"AddressLine3"</f>
        <v>AddressLine3</v>
      </c>
      <c r="C1122" s="104" t="str">
        <f>"yfs_person_info.address_line3"</f>
        <v>yfs_person_info.address_line3</v>
      </c>
      <c r="D1122" s="104" t="str">
        <f t="shared" si="1010"/>
        <v>string</v>
      </c>
      <c r="E1122" s="105" t="str">
        <f t="shared" si="1011"/>
        <v>70</v>
      </c>
      <c r="F1122" s="104" t="s">
        <v>691</v>
      </c>
      <c r="G1122" s="103" t="str">
        <f t="shared" si="957"/>
        <v>O</v>
      </c>
      <c r="H1122" s="103" t="str">
        <f t="shared" si="1012"/>
        <v>space</v>
      </c>
      <c r="I1122" s="104" t="str">
        <f t="shared" si="1013"/>
        <v/>
      </c>
      <c r="J1122" s="104" t="str">
        <f t="shared" ref="J1122:J1125" si="1014">""</f>
        <v/>
      </c>
      <c r="K1122" s="104"/>
      <c r="L1122" s="105"/>
      <c r="M1122" s="104"/>
      <c r="N1122" s="104"/>
      <c r="O1122" s="104"/>
      <c r="P1122" s="104"/>
      <c r="Q1122" s="104"/>
      <c r="R1122" s="104"/>
      <c r="S1122" s="104"/>
      <c r="T1122" s="107"/>
      <c r="U1122" s="107"/>
    </row>
    <row r="1123" ht="15.75" hidden="1" customHeight="1">
      <c r="A1123" s="103" t="s">
        <v>92</v>
      </c>
      <c r="B1123" s="104" t="str">
        <f>"AddressLine4"</f>
        <v>AddressLine4</v>
      </c>
      <c r="C1123" s="104" t="str">
        <f>"yfs_person_info.address_line4"</f>
        <v>yfs_person_info.address_line4</v>
      </c>
      <c r="D1123" s="104" t="str">
        <f t="shared" si="1010"/>
        <v>string</v>
      </c>
      <c r="E1123" s="105" t="str">
        <f t="shared" si="1011"/>
        <v>70</v>
      </c>
      <c r="F1123" s="104" t="s">
        <v>693</v>
      </c>
      <c r="G1123" s="103" t="str">
        <f t="shared" si="957"/>
        <v>O</v>
      </c>
      <c r="H1123" s="103" t="str">
        <f t="shared" si="1012"/>
        <v>space</v>
      </c>
      <c r="I1123" s="104" t="str">
        <f t="shared" si="1013"/>
        <v/>
      </c>
      <c r="J1123" s="104" t="str">
        <f t="shared" si="1014"/>
        <v/>
      </c>
      <c r="K1123" s="104"/>
      <c r="L1123" s="105"/>
      <c r="M1123" s="104"/>
      <c r="N1123" s="104"/>
      <c r="O1123" s="104"/>
      <c r="P1123" s="104"/>
      <c r="Q1123" s="104"/>
      <c r="R1123" s="104"/>
      <c r="S1123" s="104"/>
      <c r="T1123" s="107"/>
      <c r="U1123" s="107"/>
    </row>
    <row r="1124" ht="15.75" hidden="1" customHeight="1">
      <c r="A1124" s="103" t="s">
        <v>92</v>
      </c>
      <c r="B1124" s="104" t="str">
        <f>"AddressLine5"</f>
        <v>AddressLine5</v>
      </c>
      <c r="C1124" s="104" t="str">
        <f>"yfs_person_info.address_line5"</f>
        <v>yfs_person_info.address_line5</v>
      </c>
      <c r="D1124" s="104" t="str">
        <f t="shared" si="1010"/>
        <v>string</v>
      </c>
      <c r="E1124" s="105" t="str">
        <f t="shared" si="1011"/>
        <v>70</v>
      </c>
      <c r="F1124" s="104" t="s">
        <v>694</v>
      </c>
      <c r="G1124" s="103" t="str">
        <f t="shared" si="957"/>
        <v>O</v>
      </c>
      <c r="H1124" s="103" t="str">
        <f t="shared" si="1012"/>
        <v>space</v>
      </c>
      <c r="I1124" s="104" t="str">
        <f t="shared" si="1013"/>
        <v/>
      </c>
      <c r="J1124" s="104" t="str">
        <f t="shared" si="1014"/>
        <v/>
      </c>
      <c r="K1124" s="104"/>
      <c r="L1124" s="105"/>
      <c r="M1124" s="104"/>
      <c r="N1124" s="104"/>
      <c r="O1124" s="104"/>
      <c r="P1124" s="104"/>
      <c r="Q1124" s="104"/>
      <c r="R1124" s="104"/>
      <c r="S1124" s="104"/>
      <c r="T1124" s="107"/>
      <c r="U1124" s="107"/>
    </row>
    <row r="1125" ht="15.75" hidden="1" customHeight="1">
      <c r="A1125" s="103" t="s">
        <v>92</v>
      </c>
      <c r="B1125" s="104" t="str">
        <f>"AddressLine6"</f>
        <v>AddressLine6</v>
      </c>
      <c r="C1125" s="104" t="str">
        <f>"yfs_person_info.address_line6"</f>
        <v>yfs_person_info.address_line6</v>
      </c>
      <c r="D1125" s="104" t="str">
        <f t="shared" si="1010"/>
        <v>string</v>
      </c>
      <c r="E1125" s="105" t="str">
        <f t="shared" si="1011"/>
        <v>70</v>
      </c>
      <c r="F1125" s="104" t="s">
        <v>695</v>
      </c>
      <c r="G1125" s="103" t="str">
        <f t="shared" si="957"/>
        <v>O</v>
      </c>
      <c r="H1125" s="103" t="str">
        <f t="shared" si="1012"/>
        <v>space</v>
      </c>
      <c r="I1125" s="104" t="str">
        <f t="shared" si="1013"/>
        <v/>
      </c>
      <c r="J1125" s="104" t="str">
        <f t="shared" si="1014"/>
        <v/>
      </c>
      <c r="K1125" s="104"/>
      <c r="L1125" s="105"/>
      <c r="M1125" s="104"/>
      <c r="N1125" s="104"/>
      <c r="O1125" s="104"/>
      <c r="P1125" s="104"/>
      <c r="Q1125" s="104"/>
      <c r="R1125" s="104"/>
      <c r="S1125" s="104"/>
      <c r="T1125" s="107"/>
      <c r="U1125" s="107"/>
    </row>
    <row r="1126" ht="15.75" hidden="1" customHeight="1">
      <c r="A1126" s="103" t="s">
        <v>92</v>
      </c>
      <c r="B1126" s="104" t="str">
        <f>"AlternateEmailID"</f>
        <v>AlternateEmailID</v>
      </c>
      <c r="C1126" s="104" t="str">
        <f>"yfs_person_info.alternate_emailid"</f>
        <v>yfs_person_info.alternate_emailid</v>
      </c>
      <c r="D1126" s="104" t="str">
        <f t="shared" si="1010"/>
        <v>string</v>
      </c>
      <c r="E1126" s="105" t="str">
        <f>"150"</f>
        <v>150</v>
      </c>
      <c r="F1126" s="104" t="s">
        <v>696</v>
      </c>
      <c r="G1126" s="103" t="str">
        <f t="shared" si="957"/>
        <v>O</v>
      </c>
      <c r="H1126" s="103" t="str">
        <f t="shared" si="1012"/>
        <v>space</v>
      </c>
      <c r="I1126" s="104" t="str">
        <f t="shared" si="1013"/>
        <v/>
      </c>
      <c r="J1126" s="104" t="str">
        <f>"john.doe@workplace.com"</f>
        <v>john.doe@workplace.com</v>
      </c>
      <c r="K1126" s="104"/>
      <c r="L1126" s="105"/>
      <c r="M1126" s="104"/>
      <c r="N1126" s="104"/>
      <c r="O1126" s="104"/>
      <c r="P1126" s="104"/>
      <c r="Q1126" s="104"/>
      <c r="R1126" s="104"/>
      <c r="S1126" s="104"/>
      <c r="T1126" s="107"/>
      <c r="U1126" s="107"/>
    </row>
    <row r="1127" ht="15.75" hidden="1" customHeight="1">
      <c r="A1127" s="103" t="s">
        <v>92</v>
      </c>
      <c r="B1127" s="104" t="str">
        <f>"Beeper"</f>
        <v>Beeper</v>
      </c>
      <c r="C1127" s="104" t="str">
        <f>"yfs_person_info.beeper"</f>
        <v>yfs_person_info.beeper</v>
      </c>
      <c r="D1127" s="104" t="str">
        <f t="shared" si="1010"/>
        <v>string</v>
      </c>
      <c r="E1127" s="105" t="str">
        <f>"40"</f>
        <v>40</v>
      </c>
      <c r="F1127" s="104" t="s">
        <v>697</v>
      </c>
      <c r="G1127" s="103" t="str">
        <f t="shared" si="957"/>
        <v>O</v>
      </c>
      <c r="H1127" s="103" t="str">
        <f t="shared" si="1012"/>
        <v>space</v>
      </c>
      <c r="I1127" s="104" t="str">
        <f t="shared" si="1013"/>
        <v/>
      </c>
      <c r="J1127" s="104" t="str">
        <f>""</f>
        <v/>
      </c>
      <c r="K1127" s="104"/>
      <c r="L1127" s="105"/>
      <c r="M1127" s="104"/>
      <c r="N1127" s="104"/>
      <c r="O1127" s="104"/>
      <c r="P1127" s="104"/>
      <c r="Q1127" s="104"/>
      <c r="R1127" s="104"/>
      <c r="S1127" s="104"/>
      <c r="T1127" s="107"/>
      <c r="U1127" s="107"/>
    </row>
    <row r="1128" ht="15.75" hidden="1" customHeight="1">
      <c r="A1128" s="103" t="s">
        <v>92</v>
      </c>
      <c r="B1128" s="104" t="str">
        <f>"City"</f>
        <v>City</v>
      </c>
      <c r="C1128" s="104" t="str">
        <f>"yfs_person_info.city"</f>
        <v>yfs_person_info.city</v>
      </c>
      <c r="D1128" s="104" t="str">
        <f t="shared" si="1010"/>
        <v>string</v>
      </c>
      <c r="E1128" s="105" t="str">
        <f>"35"</f>
        <v>35</v>
      </c>
      <c r="F1128" s="104" t="s">
        <v>704</v>
      </c>
      <c r="G1128" s="103" t="str">
        <f t="shared" si="957"/>
        <v>O</v>
      </c>
      <c r="H1128" s="103" t="str">
        <f t="shared" si="1012"/>
        <v>space</v>
      </c>
      <c r="I1128" s="104" t="str">
        <f t="shared" si="1013"/>
        <v/>
      </c>
      <c r="J1128" s="104" t="str">
        <f>"Foxboro"</f>
        <v>Foxboro</v>
      </c>
      <c r="K1128" s="104"/>
      <c r="L1128" s="105"/>
      <c r="M1128" s="104"/>
      <c r="N1128" s="104"/>
      <c r="O1128" s="104"/>
      <c r="P1128" s="104"/>
      <c r="Q1128" s="104"/>
      <c r="R1128" s="104"/>
      <c r="S1128" s="104"/>
      <c r="T1128" s="107"/>
      <c r="U1128" s="107"/>
    </row>
    <row r="1129" ht="15.75" hidden="1" customHeight="1">
      <c r="A1129" s="103" t="s">
        <v>92</v>
      </c>
      <c r="B1129" s="104" t="str">
        <f>"Company"</f>
        <v>Company</v>
      </c>
      <c r="C1129" s="104" t="str">
        <f>"yfs_person_info.company"</f>
        <v>yfs_person_info.company</v>
      </c>
      <c r="D1129" s="104" t="str">
        <f>"UNKNOWN"</f>
        <v>UNKNOWN</v>
      </c>
      <c r="E1129" s="105" t="str">
        <f>""</f>
        <v/>
      </c>
      <c r="F1129" s="104" t="s">
        <v>706</v>
      </c>
      <c r="G1129" s="103" t="str">
        <f t="shared" si="957"/>
        <v>O</v>
      </c>
      <c r="H1129" s="103" t="str">
        <f t="shared" si="1012"/>
        <v>space</v>
      </c>
      <c r="I1129" s="104" t="str">
        <f t="shared" si="1013"/>
        <v/>
      </c>
      <c r="J1129" s="104" t="str">
        <f>"Things 'R Us"</f>
        <v>Things 'R Us</v>
      </c>
      <c r="K1129" s="104"/>
      <c r="L1129" s="105"/>
      <c r="M1129" s="104"/>
      <c r="N1129" s="104"/>
      <c r="O1129" s="104"/>
      <c r="P1129" s="104"/>
      <c r="Q1129" s="104"/>
      <c r="R1129" s="104"/>
      <c r="S1129" s="104"/>
      <c r="T1129" s="107"/>
      <c r="U1129" s="107"/>
    </row>
    <row r="1130" ht="15.75" hidden="1" customHeight="1">
      <c r="A1130" s="103" t="s">
        <v>92</v>
      </c>
      <c r="B1130" s="104" t="str">
        <f>"Country"</f>
        <v>Country</v>
      </c>
      <c r="C1130" s="104" t="str">
        <f>"yfs_person_info.country"</f>
        <v>yfs_person_info.country</v>
      </c>
      <c r="D1130" s="104" t="str">
        <f t="shared" ref="D1130:D1132" si="1015">"string"</f>
        <v>string</v>
      </c>
      <c r="E1130" s="105" t="str">
        <f t="shared" ref="E1130:E1132" si="1016">"40"</f>
        <v>40</v>
      </c>
      <c r="F1130" s="104" t="s">
        <v>708</v>
      </c>
      <c r="G1130" s="103" t="str">
        <f t="shared" si="957"/>
        <v>O</v>
      </c>
      <c r="H1130" s="103" t="str">
        <f t="shared" si="1012"/>
        <v>space</v>
      </c>
      <c r="I1130" s="104" t="str">
        <f t="shared" si="1013"/>
        <v/>
      </c>
      <c r="J1130" s="104" t="str">
        <f>"US"</f>
        <v>US</v>
      </c>
      <c r="K1130" s="104"/>
      <c r="L1130" s="105"/>
      <c r="M1130" s="104"/>
      <c r="N1130" s="104"/>
      <c r="O1130" s="104"/>
      <c r="P1130" s="104"/>
      <c r="Q1130" s="104"/>
      <c r="R1130" s="104"/>
      <c r="S1130" s="104"/>
      <c r="T1130" s="107"/>
      <c r="U1130" s="107"/>
    </row>
    <row r="1131" ht="15.75" hidden="1" customHeight="1">
      <c r="A1131" s="103" t="s">
        <v>92</v>
      </c>
      <c r="B1131" s="104" t="str">
        <f>"DayFaxNo"</f>
        <v>DayFaxNo</v>
      </c>
      <c r="C1131" s="104" t="str">
        <f>"yfs_person_info.day_fax_no"</f>
        <v>yfs_person_info.day_fax_no</v>
      </c>
      <c r="D1131" s="104" t="str">
        <f t="shared" si="1015"/>
        <v>string</v>
      </c>
      <c r="E1131" s="105" t="str">
        <f t="shared" si="1016"/>
        <v>40</v>
      </c>
      <c r="F1131" s="104" t="s">
        <v>712</v>
      </c>
      <c r="G1131" s="103" t="str">
        <f t="shared" si="957"/>
        <v>O</v>
      </c>
      <c r="H1131" s="103" t="str">
        <f t="shared" si="1012"/>
        <v>space</v>
      </c>
      <c r="I1131" s="104" t="str">
        <f t="shared" si="1013"/>
        <v/>
      </c>
      <c r="J1131" s="104" t="str">
        <f>""</f>
        <v/>
      </c>
      <c r="K1131" s="104"/>
      <c r="L1131" s="105"/>
      <c r="M1131" s="104"/>
      <c r="N1131" s="104"/>
      <c r="O1131" s="104"/>
      <c r="P1131" s="104"/>
      <c r="Q1131" s="104"/>
      <c r="R1131" s="104"/>
      <c r="S1131" s="104"/>
      <c r="T1131" s="107"/>
      <c r="U1131" s="107"/>
    </row>
    <row r="1132" ht="15.75" hidden="1" customHeight="1">
      <c r="A1132" s="103" t="s">
        <v>92</v>
      </c>
      <c r="B1132" s="104" t="str">
        <f>"DayPhone"</f>
        <v>DayPhone</v>
      </c>
      <c r="C1132" s="104" t="str">
        <f>"yfs_person_info.day_phone"</f>
        <v>yfs_person_info.day_phone</v>
      </c>
      <c r="D1132" s="104" t="str">
        <f t="shared" si="1015"/>
        <v>string</v>
      </c>
      <c r="E1132" s="105" t="str">
        <f t="shared" si="1016"/>
        <v>40</v>
      </c>
      <c r="F1132" s="104" t="s">
        <v>713</v>
      </c>
      <c r="G1132" s="103" t="str">
        <f t="shared" si="957"/>
        <v>O</v>
      </c>
      <c r="H1132" s="103" t="str">
        <f t="shared" si="1012"/>
        <v>space</v>
      </c>
      <c r="I1132" s="104" t="str">
        <f t="shared" si="1013"/>
        <v/>
      </c>
      <c r="J1132" s="104" t="str">
        <f>"(508) 555-1212"</f>
        <v>(508) 555-1212</v>
      </c>
      <c r="K1132" s="104"/>
      <c r="L1132" s="105"/>
      <c r="M1132" s="104"/>
      <c r="N1132" s="104"/>
      <c r="O1132" s="104"/>
      <c r="P1132" s="104"/>
      <c r="Q1132" s="104"/>
      <c r="R1132" s="104"/>
      <c r="S1132" s="104"/>
      <c r="T1132" s="107"/>
      <c r="U1132" s="107"/>
    </row>
    <row r="1133" ht="15.75" hidden="1" customHeight="1">
      <c r="A1133" s="103" t="s">
        <v>92</v>
      </c>
      <c r="B1133" s="104" t="str">
        <f>"Department"</f>
        <v>Department</v>
      </c>
      <c r="C1133" s="104" t="str">
        <f>"yfs_person_info.department"</f>
        <v>yfs_person_info.department</v>
      </c>
      <c r="D1133" s="104" t="str">
        <f>"UNKNOWN"</f>
        <v>UNKNOWN</v>
      </c>
      <c r="E1133" s="105" t="str">
        <f>""</f>
        <v/>
      </c>
      <c r="F1133" s="104" t="s">
        <v>715</v>
      </c>
      <c r="G1133" s="103" t="str">
        <f t="shared" si="957"/>
        <v>O</v>
      </c>
      <c r="H1133" s="103" t="str">
        <f t="shared" si="1012"/>
        <v>space</v>
      </c>
      <c r="I1133" s="104" t="str">
        <f t="shared" si="1013"/>
        <v/>
      </c>
      <c r="J1133" s="104" t="str">
        <f>""</f>
        <v/>
      </c>
      <c r="K1133" s="104"/>
      <c r="L1133" s="105"/>
      <c r="M1133" s="104"/>
      <c r="N1133" s="104"/>
      <c r="O1133" s="104"/>
      <c r="P1133" s="104"/>
      <c r="Q1133" s="104"/>
      <c r="R1133" s="104"/>
      <c r="S1133" s="104"/>
      <c r="T1133" s="107"/>
      <c r="U1133" s="107"/>
    </row>
    <row r="1134" ht="15.75" hidden="1" customHeight="1">
      <c r="A1134" s="103" t="s">
        <v>92</v>
      </c>
      <c r="B1134" s="104" t="str">
        <f>"EMailID"</f>
        <v>EMailID</v>
      </c>
      <c r="C1134" s="104" t="str">
        <f>"yfs_person_info.emailid"</f>
        <v>yfs_person_info.emailid</v>
      </c>
      <c r="D1134" s="104" t="str">
        <f t="shared" ref="D1134:D1136" si="1017">"string"</f>
        <v>string</v>
      </c>
      <c r="E1134" s="105" t="str">
        <f>"150"</f>
        <v>150</v>
      </c>
      <c r="F1134" s="104" t="s">
        <v>716</v>
      </c>
      <c r="G1134" s="103" t="str">
        <f t="shared" si="957"/>
        <v>O</v>
      </c>
      <c r="H1134" s="103" t="str">
        <f t="shared" si="1012"/>
        <v>space</v>
      </c>
      <c r="I1134" s="104" t="str">
        <f t="shared" si="1013"/>
        <v/>
      </c>
      <c r="J1134" s="104" t="str">
        <f>"john.doe@mail.com"</f>
        <v>john.doe@mail.com</v>
      </c>
      <c r="K1134" s="104"/>
      <c r="L1134" s="105"/>
      <c r="M1134" s="104"/>
      <c r="N1134" s="104"/>
      <c r="O1134" s="104"/>
      <c r="P1134" s="104"/>
      <c r="Q1134" s="104"/>
      <c r="R1134" s="104"/>
      <c r="S1134" s="104"/>
      <c r="T1134" s="107"/>
      <c r="U1134" s="107"/>
    </row>
    <row r="1135" ht="15.75" hidden="1" customHeight="1">
      <c r="A1135" s="103" t="s">
        <v>92</v>
      </c>
      <c r="B1135" s="104" t="str">
        <f>"EveningFaxNo"</f>
        <v>EveningFaxNo</v>
      </c>
      <c r="C1135" s="104" t="str">
        <f>"yfs_person_info.evening_fax_no"</f>
        <v>yfs_person_info.evening_fax_no</v>
      </c>
      <c r="D1135" s="104" t="str">
        <f t="shared" si="1017"/>
        <v>string</v>
      </c>
      <c r="E1135" s="105" t="str">
        <f t="shared" ref="E1135:E1136" si="1018">"40"</f>
        <v>40</v>
      </c>
      <c r="F1135" s="104" t="s">
        <v>718</v>
      </c>
      <c r="G1135" s="103" t="str">
        <f t="shared" si="957"/>
        <v>O</v>
      </c>
      <c r="H1135" s="103" t="str">
        <f t="shared" si="1012"/>
        <v>space</v>
      </c>
      <c r="I1135" s="104" t="str">
        <f t="shared" si="1013"/>
        <v/>
      </c>
      <c r="J1135" s="104" t="str">
        <f>"(617) 555-3333"</f>
        <v>(617) 555-3333</v>
      </c>
      <c r="K1135" s="104"/>
      <c r="L1135" s="105"/>
      <c r="M1135" s="104"/>
      <c r="N1135" s="104"/>
      <c r="O1135" s="104"/>
      <c r="P1135" s="104"/>
      <c r="Q1135" s="104"/>
      <c r="R1135" s="104"/>
      <c r="S1135" s="104"/>
      <c r="T1135" s="107"/>
      <c r="U1135" s="107"/>
    </row>
    <row r="1136" ht="15.75" hidden="1" customHeight="1">
      <c r="A1136" s="103" t="s">
        <v>92</v>
      </c>
      <c r="B1136" s="104" t="str">
        <f>"EveningPhone"</f>
        <v>EveningPhone</v>
      </c>
      <c r="C1136" s="104" t="str">
        <f>"yfs_person_info.evening_phone"</f>
        <v>yfs_person_info.evening_phone</v>
      </c>
      <c r="D1136" s="104" t="str">
        <f t="shared" si="1017"/>
        <v>string</v>
      </c>
      <c r="E1136" s="105" t="str">
        <f t="shared" si="1018"/>
        <v>40</v>
      </c>
      <c r="F1136" s="104" t="s">
        <v>719</v>
      </c>
      <c r="G1136" s="103" t="str">
        <f t="shared" si="957"/>
        <v>O</v>
      </c>
      <c r="H1136" s="103" t="str">
        <f t="shared" si="1012"/>
        <v>space</v>
      </c>
      <c r="I1136" s="104" t="str">
        <f t="shared" si="1013"/>
        <v/>
      </c>
      <c r="J1136" s="104" t="str">
        <f>"(617) 555-1212"</f>
        <v>(617) 555-1212</v>
      </c>
      <c r="K1136" s="104"/>
      <c r="L1136" s="105"/>
      <c r="M1136" s="104"/>
      <c r="N1136" s="104"/>
      <c r="O1136" s="104"/>
      <c r="P1136" s="104"/>
      <c r="Q1136" s="104"/>
      <c r="R1136" s="104"/>
      <c r="S1136" s="104"/>
      <c r="T1136" s="107"/>
      <c r="U1136" s="107"/>
    </row>
    <row r="1137" ht="15.75" hidden="1" customHeight="1">
      <c r="A1137" s="103" t="s">
        <v>92</v>
      </c>
      <c r="B1137" s="104" t="str">
        <f>"FirstName"</f>
        <v>FirstName</v>
      </c>
      <c r="C1137" s="104" t="str">
        <f>"yfs_person_info.first_name"</f>
        <v>yfs_person_info.first_name</v>
      </c>
      <c r="D1137" s="104" t="str">
        <f>"UNKNOWN"</f>
        <v>UNKNOWN</v>
      </c>
      <c r="E1137" s="105" t="str">
        <f>""</f>
        <v/>
      </c>
      <c r="F1137" s="104" t="s">
        <v>720</v>
      </c>
      <c r="G1137" s="103" t="str">
        <f t="shared" si="957"/>
        <v>O</v>
      </c>
      <c r="H1137" s="103" t="str">
        <f t="shared" si="1012"/>
        <v>space</v>
      </c>
      <c r="I1137" s="104" t="str">
        <f t="shared" si="1013"/>
        <v/>
      </c>
      <c r="J1137" s="104" t="str">
        <f>"John"</f>
        <v>John</v>
      </c>
      <c r="K1137" s="104"/>
      <c r="L1137" s="105"/>
      <c r="M1137" s="104"/>
      <c r="N1137" s="104"/>
      <c r="O1137" s="104"/>
      <c r="P1137" s="104"/>
      <c r="Q1137" s="104"/>
      <c r="R1137" s="104"/>
      <c r="S1137" s="104"/>
      <c r="T1137" s="107"/>
      <c r="U1137" s="107"/>
    </row>
    <row r="1138" ht="15.75" hidden="1" customHeight="1">
      <c r="A1138" s="103" t="s">
        <v>92</v>
      </c>
      <c r="B1138" s="104" t="str">
        <f>"IsCommercialAddress"</f>
        <v>IsCommercialAddress</v>
      </c>
      <c r="C1138" s="104" t="str">
        <f>"yfs_person_info.is_commercial_address"</f>
        <v>yfs_person_info.is_commercial_address</v>
      </c>
      <c r="D1138" s="104" t="str">
        <f>"string"</f>
        <v>string</v>
      </c>
      <c r="E1138" s="105" t="str">
        <f>"1"</f>
        <v>1</v>
      </c>
      <c r="F1138" s="104" t="s">
        <v>722</v>
      </c>
      <c r="G1138" s="103" t="str">
        <f t="shared" si="957"/>
        <v>O</v>
      </c>
      <c r="H1138" s="103" t="str">
        <f>"null"</f>
        <v>null</v>
      </c>
      <c r="I1138" s="104" t="str">
        <f t="shared" si="1013"/>
        <v/>
      </c>
      <c r="J1138" s="104" t="str">
        <f>"Y"</f>
        <v>Y</v>
      </c>
      <c r="K1138" s="104"/>
      <c r="L1138" s="105"/>
      <c r="M1138" s="104"/>
      <c r="N1138" s="104"/>
      <c r="O1138" s="104"/>
      <c r="P1138" s="104"/>
      <c r="Q1138" s="104"/>
      <c r="R1138" s="104"/>
      <c r="S1138" s="104"/>
      <c r="T1138" s="107"/>
      <c r="U1138" s="107"/>
    </row>
    <row r="1139" ht="15.75" hidden="1" customHeight="1">
      <c r="A1139" s="103" t="s">
        <v>92</v>
      </c>
      <c r="B1139" s="104" t="str">
        <f>"JobTitle"</f>
        <v>JobTitle</v>
      </c>
      <c r="C1139" s="104" t="str">
        <f>"yfs_person_info.job_title"</f>
        <v>yfs_person_info.job_title</v>
      </c>
      <c r="D1139" s="104" t="str">
        <f t="shared" ref="D1139:D1143" si="1019">"UNKNOWN"</f>
        <v>UNKNOWN</v>
      </c>
      <c r="E1139" s="105" t="str">
        <f t="shared" ref="E1139:E1143" si="1020">""</f>
        <v/>
      </c>
      <c r="F1139" s="104" t="s">
        <v>723</v>
      </c>
      <c r="G1139" s="103" t="str">
        <f t="shared" si="957"/>
        <v>O</v>
      </c>
      <c r="H1139" s="103" t="str">
        <f t="shared" ref="H1139:H1140" si="1021">"space"</f>
        <v>space</v>
      </c>
      <c r="I1139" s="104" t="str">
        <f t="shared" si="1013"/>
        <v/>
      </c>
      <c r="J1139" s="104" t="str">
        <f>"Procurement Manager"</f>
        <v>Procurement Manager</v>
      </c>
      <c r="K1139" s="104"/>
      <c r="L1139" s="105"/>
      <c r="M1139" s="104"/>
      <c r="N1139" s="104"/>
      <c r="O1139" s="104"/>
      <c r="P1139" s="104"/>
      <c r="Q1139" s="104"/>
      <c r="R1139" s="104"/>
      <c r="S1139" s="104"/>
      <c r="T1139" s="107"/>
      <c r="U1139" s="107"/>
    </row>
    <row r="1140" ht="15.75" hidden="1" customHeight="1">
      <c r="A1140" s="103" t="s">
        <v>92</v>
      </c>
      <c r="B1140" s="104" t="str">
        <f>"LastName"</f>
        <v>LastName</v>
      </c>
      <c r="C1140" s="104" t="str">
        <f>"yfs_person_info.last_name"</f>
        <v>yfs_person_info.last_name</v>
      </c>
      <c r="D1140" s="104" t="str">
        <f t="shared" si="1019"/>
        <v>UNKNOWN</v>
      </c>
      <c r="E1140" s="105" t="str">
        <f t="shared" si="1020"/>
        <v/>
      </c>
      <c r="F1140" s="104" t="s">
        <v>724</v>
      </c>
      <c r="G1140" s="103" t="str">
        <f t="shared" si="957"/>
        <v>O</v>
      </c>
      <c r="H1140" s="103" t="str">
        <f t="shared" si="1021"/>
        <v>space</v>
      </c>
      <c r="I1140" s="104" t="str">
        <f t="shared" si="1013"/>
        <v/>
      </c>
      <c r="J1140" s="104" t="str">
        <f>"Doe"</f>
        <v>Doe</v>
      </c>
      <c r="K1140" s="104"/>
      <c r="L1140" s="105"/>
      <c r="M1140" s="104"/>
      <c r="N1140" s="104"/>
      <c r="O1140" s="104"/>
      <c r="P1140" s="104"/>
      <c r="Q1140" s="104"/>
      <c r="R1140" s="104"/>
      <c r="S1140" s="104"/>
      <c r="T1140" s="107"/>
      <c r="U1140" s="107"/>
    </row>
    <row r="1141" ht="15.75" hidden="1" customHeight="1">
      <c r="A1141" s="103" t="s">
        <v>92</v>
      </c>
      <c r="B1141" s="104" t="str">
        <f>"Latitude"</f>
        <v>Latitude</v>
      </c>
      <c r="C1141" s="104" t="str">
        <f>"yfs_person_info.latitude"</f>
        <v>yfs_person_info.latitude</v>
      </c>
      <c r="D1141" s="104" t="str">
        <f t="shared" si="1019"/>
        <v>UNKNOWN</v>
      </c>
      <c r="E1141" s="105" t="str">
        <f t="shared" si="1020"/>
        <v/>
      </c>
      <c r="F1141" s="104" t="s">
        <v>1129</v>
      </c>
      <c r="G1141" s="103" t="str">
        <f t="shared" si="957"/>
        <v>O</v>
      </c>
      <c r="H1141" s="103" t="str">
        <f t="shared" ref="H1141:H1142" si="1022">"null"</f>
        <v>null</v>
      </c>
      <c r="I1141" s="104" t="str">
        <f t="shared" si="1013"/>
        <v/>
      </c>
      <c r="J1141" s="104" t="str">
        <f>"42.062204"</f>
        <v>42.062204</v>
      </c>
      <c r="K1141" s="104"/>
      <c r="L1141" s="105"/>
      <c r="M1141" s="104"/>
      <c r="N1141" s="104"/>
      <c r="O1141" s="104"/>
      <c r="P1141" s="104"/>
      <c r="Q1141" s="104"/>
      <c r="R1141" s="104"/>
      <c r="S1141" s="104"/>
      <c r="T1141" s="107"/>
      <c r="U1141" s="107"/>
    </row>
    <row r="1142" ht="15.75" hidden="1" customHeight="1">
      <c r="A1142" s="103" t="s">
        <v>92</v>
      </c>
      <c r="B1142" s="104" t="str">
        <f>"Longitude"</f>
        <v>Longitude</v>
      </c>
      <c r="C1142" s="104" t="str">
        <f>"yfs_person_info.longitude"</f>
        <v>yfs_person_info.longitude</v>
      </c>
      <c r="D1142" s="104" t="str">
        <f t="shared" si="1019"/>
        <v>UNKNOWN</v>
      </c>
      <c r="E1142" s="105" t="str">
        <f t="shared" si="1020"/>
        <v/>
      </c>
      <c r="F1142" s="104" t="s">
        <v>1130</v>
      </c>
      <c r="G1142" s="103" t="str">
        <f t="shared" si="957"/>
        <v>O</v>
      </c>
      <c r="H1142" s="103" t="str">
        <f t="shared" si="1022"/>
        <v>null</v>
      </c>
      <c r="I1142" s="104" t="str">
        <f t="shared" si="1013"/>
        <v/>
      </c>
      <c r="J1142" s="104" t="str">
        <f>"-071.235774"</f>
        <v>-071.235774</v>
      </c>
      <c r="K1142" s="104"/>
      <c r="L1142" s="105"/>
      <c r="M1142" s="104"/>
      <c r="N1142" s="104"/>
      <c r="O1142" s="104"/>
      <c r="P1142" s="104"/>
      <c r="Q1142" s="104"/>
      <c r="R1142" s="104"/>
      <c r="S1142" s="104"/>
      <c r="T1142" s="107"/>
      <c r="U1142" s="107"/>
    </row>
    <row r="1143" ht="15.75" hidden="1" customHeight="1">
      <c r="A1143" s="103" t="s">
        <v>92</v>
      </c>
      <c r="B1143" s="104" t="str">
        <f>"MiddleName"</f>
        <v>MiddleName</v>
      </c>
      <c r="C1143" s="104" t="str">
        <f>"yfs_person_info.middle_name"</f>
        <v>yfs_person_info.middle_name</v>
      </c>
      <c r="D1143" s="104" t="str">
        <f t="shared" si="1019"/>
        <v>UNKNOWN</v>
      </c>
      <c r="E1143" s="105" t="str">
        <f t="shared" si="1020"/>
        <v/>
      </c>
      <c r="F1143" s="104" t="s">
        <v>726</v>
      </c>
      <c r="G1143" s="103" t="str">
        <f t="shared" si="957"/>
        <v>O</v>
      </c>
      <c r="H1143" s="103" t="str">
        <f t="shared" ref="H1143:H1149" si="1023">"space"</f>
        <v>space</v>
      </c>
      <c r="I1143" s="104" t="str">
        <f t="shared" si="1013"/>
        <v/>
      </c>
      <c r="J1143" s="104" t="str">
        <f>"E"</f>
        <v>E</v>
      </c>
      <c r="K1143" s="104"/>
      <c r="L1143" s="105"/>
      <c r="M1143" s="104"/>
      <c r="N1143" s="104"/>
      <c r="O1143" s="104"/>
      <c r="P1143" s="104"/>
      <c r="Q1143" s="104"/>
      <c r="R1143" s="104"/>
      <c r="S1143" s="104"/>
      <c r="T1143" s="107"/>
      <c r="U1143" s="107"/>
    </row>
    <row r="1144" ht="15.75" hidden="1" customHeight="1">
      <c r="A1144" s="103" t="s">
        <v>92</v>
      </c>
      <c r="B1144" s="104" t="str">
        <f>"MobilePhone"</f>
        <v>MobilePhone</v>
      </c>
      <c r="C1144" s="104" t="str">
        <f>"yfs_person_info.mobile_phone"</f>
        <v>yfs_person_info.mobile_phone</v>
      </c>
      <c r="D1144" s="104" t="str">
        <f t="shared" ref="D1144:D1145" si="1024">"string"</f>
        <v>string</v>
      </c>
      <c r="E1144" s="105" t="str">
        <f t="shared" ref="E1144:E1145" si="1025">"40"</f>
        <v>40</v>
      </c>
      <c r="F1144" s="104" t="s">
        <v>730</v>
      </c>
      <c r="G1144" s="103" t="str">
        <f t="shared" si="957"/>
        <v>O</v>
      </c>
      <c r="H1144" s="103" t="str">
        <f t="shared" si="1023"/>
        <v>space</v>
      </c>
      <c r="I1144" s="104" t="str">
        <f t="shared" si="1013"/>
        <v/>
      </c>
      <c r="J1144" s="104" t="str">
        <f>"(978) 555-1212"</f>
        <v>(978) 555-1212</v>
      </c>
      <c r="K1144" s="104"/>
      <c r="L1144" s="105"/>
      <c r="M1144" s="104"/>
      <c r="N1144" s="104"/>
      <c r="O1144" s="104"/>
      <c r="P1144" s="104"/>
      <c r="Q1144" s="104"/>
      <c r="R1144" s="104"/>
      <c r="S1144" s="104"/>
      <c r="T1144" s="107"/>
      <c r="U1144" s="107"/>
    </row>
    <row r="1145" ht="15.75" hidden="1" customHeight="1">
      <c r="A1145" s="103" t="s">
        <v>92</v>
      </c>
      <c r="B1145" s="104" t="str">
        <f>"OtherPhone"</f>
        <v>OtherPhone</v>
      </c>
      <c r="C1145" s="104" t="str">
        <f>"yfs_person_info.other_phone"</f>
        <v>yfs_person_info.other_phone</v>
      </c>
      <c r="D1145" s="104" t="str">
        <f t="shared" si="1024"/>
        <v>string</v>
      </c>
      <c r="E1145" s="105" t="str">
        <f t="shared" si="1025"/>
        <v>40</v>
      </c>
      <c r="F1145" s="104" t="s">
        <v>728</v>
      </c>
      <c r="G1145" s="103" t="str">
        <f t="shared" si="957"/>
        <v>O</v>
      </c>
      <c r="H1145" s="103" t="str">
        <f t="shared" si="1023"/>
        <v>space</v>
      </c>
      <c r="I1145" s="104" t="str">
        <f t="shared" si="1013"/>
        <v/>
      </c>
      <c r="J1145" s="104" t="str">
        <f>"(781) 555-1212"</f>
        <v>(781) 555-1212</v>
      </c>
      <c r="K1145" s="104"/>
      <c r="L1145" s="105"/>
      <c r="M1145" s="104"/>
      <c r="N1145" s="104"/>
      <c r="O1145" s="104"/>
      <c r="P1145" s="104"/>
      <c r="Q1145" s="104"/>
      <c r="R1145" s="104"/>
      <c r="S1145" s="104"/>
      <c r="T1145" s="107"/>
      <c r="U1145" s="107"/>
    </row>
    <row r="1146" ht="15.75" hidden="1" customHeight="1">
      <c r="A1146" s="103" t="s">
        <v>92</v>
      </c>
      <c r="B1146" s="104" t="str">
        <f>"PersonID"</f>
        <v>PersonID</v>
      </c>
      <c r="C1146" s="104" t="str">
        <f>"yfs_person_info.person_id"</f>
        <v>yfs_person_info.person_id</v>
      </c>
      <c r="D1146" s="104" t="str">
        <f>"UNKNOWN"</f>
        <v>UNKNOWN</v>
      </c>
      <c r="E1146" s="105" t="str">
        <f>""</f>
        <v/>
      </c>
      <c r="F1146" s="104" t="s">
        <v>729</v>
      </c>
      <c r="G1146" s="103" t="str">
        <f t="shared" si="957"/>
        <v>O</v>
      </c>
      <c r="H1146" s="103" t="str">
        <f t="shared" si="1023"/>
        <v>space</v>
      </c>
      <c r="I1146" s="104" t="str">
        <f t="shared" si="1013"/>
        <v/>
      </c>
      <c r="J1146" s="104" t="str">
        <f>""</f>
        <v/>
      </c>
      <c r="K1146" s="104"/>
      <c r="L1146" s="105"/>
      <c r="M1146" s="104"/>
      <c r="N1146" s="104"/>
      <c r="O1146" s="104"/>
      <c r="P1146" s="104"/>
      <c r="Q1146" s="104"/>
      <c r="R1146" s="104"/>
      <c r="S1146" s="104"/>
      <c r="T1146" s="107"/>
      <c r="U1146" s="107"/>
    </row>
    <row r="1147" ht="15.75" hidden="1" customHeight="1">
      <c r="A1147" s="103" t="s">
        <v>92</v>
      </c>
      <c r="B1147" s="104" t="str">
        <f>"PersonInfoKey"</f>
        <v>PersonInfoKey</v>
      </c>
      <c r="C1147" s="104" t="str">
        <f>"yfs_person_info.person_info_key"</f>
        <v>yfs_person_info.person_info_key</v>
      </c>
      <c r="D1147" s="104" t="str">
        <f t="shared" ref="D1147:D1148" si="1026">"string"</f>
        <v>string</v>
      </c>
      <c r="E1147" s="105" t="str">
        <f>"24"</f>
        <v>24</v>
      </c>
      <c r="F1147" s="104" t="s">
        <v>1131</v>
      </c>
      <c r="G1147" s="103" t="str">
        <f t="shared" si="957"/>
        <v>O</v>
      </c>
      <c r="H1147" s="103" t="str">
        <f t="shared" si="1023"/>
        <v>space</v>
      </c>
      <c r="I1147" s="104" t="str">
        <f t="shared" si="1013"/>
        <v/>
      </c>
      <c r="J1147" s="104" t="str">
        <f>"2010050314595408336"</f>
        <v>2010050314595408336</v>
      </c>
      <c r="K1147" s="104"/>
      <c r="L1147" s="105"/>
      <c r="M1147" s="104"/>
      <c r="N1147" s="104"/>
      <c r="O1147" s="104"/>
      <c r="P1147" s="104"/>
      <c r="Q1147" s="104"/>
      <c r="R1147" s="104"/>
      <c r="S1147" s="104"/>
      <c r="T1147" s="107"/>
      <c r="U1147" s="107"/>
    </row>
    <row r="1148" ht="15.75" hidden="1" customHeight="1">
      <c r="A1148" s="103" t="s">
        <v>92</v>
      </c>
      <c r="B1148" s="104" t="str">
        <f>"State"</f>
        <v>State</v>
      </c>
      <c r="C1148" s="104" t="str">
        <f>"yfs_person_info.state"</f>
        <v>yfs_person_info.state</v>
      </c>
      <c r="D1148" s="104" t="str">
        <f t="shared" si="1026"/>
        <v>string</v>
      </c>
      <c r="E1148" s="105" t="str">
        <f>"35"</f>
        <v>35</v>
      </c>
      <c r="F1148" s="104" t="s">
        <v>731</v>
      </c>
      <c r="G1148" s="103" t="str">
        <f t="shared" si="957"/>
        <v>O</v>
      </c>
      <c r="H1148" s="103" t="str">
        <f t="shared" si="1023"/>
        <v>space</v>
      </c>
      <c r="I1148" s="104" t="str">
        <f t="shared" si="1013"/>
        <v/>
      </c>
      <c r="J1148" s="104" t="str">
        <f>"MA"</f>
        <v>MA</v>
      </c>
      <c r="K1148" s="104"/>
      <c r="L1148" s="105"/>
      <c r="M1148" s="104"/>
      <c r="N1148" s="104"/>
      <c r="O1148" s="104"/>
      <c r="P1148" s="104"/>
      <c r="Q1148" s="104"/>
      <c r="R1148" s="104"/>
      <c r="S1148" s="104"/>
      <c r="T1148" s="107"/>
      <c r="U1148" s="107"/>
    </row>
    <row r="1149" ht="15.75" hidden="1" customHeight="1">
      <c r="A1149" s="103" t="s">
        <v>92</v>
      </c>
      <c r="B1149" s="104" t="str">
        <f>"Suffix"</f>
        <v>Suffix</v>
      </c>
      <c r="C1149" s="104" t="str">
        <f>"yfs_person_info.suffix"</f>
        <v>yfs_person_info.suffix</v>
      </c>
      <c r="D1149" s="104" t="str">
        <f t="shared" ref="D1149:D1151" si="1027">"UNKNOWN"</f>
        <v>UNKNOWN</v>
      </c>
      <c r="E1149" s="105" t="str">
        <f t="shared" ref="E1149:E1151" si="1028">""</f>
        <v/>
      </c>
      <c r="F1149" s="104" t="s">
        <v>735</v>
      </c>
      <c r="G1149" s="103" t="str">
        <f t="shared" si="957"/>
        <v>O</v>
      </c>
      <c r="H1149" s="103" t="str">
        <f t="shared" si="1023"/>
        <v>space</v>
      </c>
      <c r="I1149" s="104" t="str">
        <f t="shared" si="1013"/>
        <v/>
      </c>
      <c r="J1149" s="104" t="str">
        <f t="shared" ref="J1149:J1150" si="1029">""</f>
        <v/>
      </c>
      <c r="K1149" s="104"/>
      <c r="L1149" s="105"/>
      <c r="M1149" s="104"/>
      <c r="N1149" s="104"/>
      <c r="O1149" s="104"/>
      <c r="P1149" s="104"/>
      <c r="Q1149" s="104"/>
      <c r="R1149" s="104"/>
      <c r="S1149" s="104"/>
      <c r="T1149" s="107"/>
      <c r="U1149" s="107"/>
    </row>
    <row r="1150" ht="15.75" hidden="1" customHeight="1">
      <c r="A1150" s="103" t="s">
        <v>92</v>
      </c>
      <c r="B1150" s="104" t="str">
        <f>"TaxGeoCode"</f>
        <v>TaxGeoCode</v>
      </c>
      <c r="C1150" s="104" t="str">
        <f>"yfs_person_info.tax_geo_code"</f>
        <v>yfs_person_info.tax_geo_code</v>
      </c>
      <c r="D1150" s="104" t="str">
        <f t="shared" si="1027"/>
        <v>UNKNOWN</v>
      </c>
      <c r="E1150" s="105" t="str">
        <f t="shared" si="1028"/>
        <v/>
      </c>
      <c r="F1150" s="104" t="s">
        <v>738</v>
      </c>
      <c r="G1150" s="103" t="str">
        <f t="shared" si="957"/>
        <v>O</v>
      </c>
      <c r="H1150" s="103" t="str">
        <f>"null"</f>
        <v>null</v>
      </c>
      <c r="I1150" s="104" t="str">
        <f t="shared" si="1013"/>
        <v/>
      </c>
      <c r="J1150" s="104" t="str">
        <f t="shared" si="1029"/>
        <v/>
      </c>
      <c r="K1150" s="104"/>
      <c r="L1150" s="105"/>
      <c r="M1150" s="104"/>
      <c r="N1150" s="104"/>
      <c r="O1150" s="104"/>
      <c r="P1150" s="104"/>
      <c r="Q1150" s="104"/>
      <c r="R1150" s="104"/>
      <c r="S1150" s="104"/>
      <c r="T1150" s="107"/>
      <c r="U1150" s="107"/>
    </row>
    <row r="1151" ht="15.75" hidden="1" customHeight="1">
      <c r="A1151" s="103" t="s">
        <v>92</v>
      </c>
      <c r="B1151" s="104" t="str">
        <f>"Title"</f>
        <v>Title</v>
      </c>
      <c r="C1151" s="104" t="str">
        <f>"yfs_person_info.title"</f>
        <v>yfs_person_info.title</v>
      </c>
      <c r="D1151" s="104" t="str">
        <f t="shared" si="1027"/>
        <v>UNKNOWN</v>
      </c>
      <c r="E1151" s="105" t="str">
        <f t="shared" si="1028"/>
        <v/>
      </c>
      <c r="F1151" s="104" t="s">
        <v>739</v>
      </c>
      <c r="G1151" s="103" t="str">
        <f t="shared" si="957"/>
        <v>O</v>
      </c>
      <c r="H1151" s="103" t="str">
        <f t="shared" ref="H1151:H1152" si="1030">"space"</f>
        <v>space</v>
      </c>
      <c r="I1151" s="104" t="str">
        <f t="shared" si="1013"/>
        <v/>
      </c>
      <c r="J1151" s="104" t="str">
        <f>"Mr"</f>
        <v>Mr</v>
      </c>
      <c r="K1151" s="104"/>
      <c r="L1151" s="105"/>
      <c r="M1151" s="104"/>
      <c r="N1151" s="104"/>
      <c r="O1151" s="104"/>
      <c r="P1151" s="104"/>
      <c r="Q1151" s="104"/>
      <c r="R1151" s="104"/>
      <c r="S1151" s="104"/>
      <c r="T1151" s="107"/>
      <c r="U1151" s="107"/>
    </row>
    <row r="1152" ht="15.75" hidden="1" customHeight="1">
      <c r="A1152" s="103" t="s">
        <v>92</v>
      </c>
      <c r="B1152" s="104" t="str">
        <f>"ZipCode"</f>
        <v>ZipCode</v>
      </c>
      <c r="C1152" s="104" t="str">
        <f>"yfs_person_info.zip_code"</f>
        <v>yfs_person_info.zip_code</v>
      </c>
      <c r="D1152" s="104" t="str">
        <f>"string"</f>
        <v>string</v>
      </c>
      <c r="E1152" s="105" t="str">
        <f>"35"</f>
        <v>35</v>
      </c>
      <c r="F1152" s="104" t="s">
        <v>743</v>
      </c>
      <c r="G1152" s="103" t="str">
        <f t="shared" si="957"/>
        <v>O</v>
      </c>
      <c r="H1152" s="103" t="str">
        <f t="shared" si="1030"/>
        <v>space</v>
      </c>
      <c r="I1152" s="104" t="str">
        <f t="shared" si="1013"/>
        <v/>
      </c>
      <c r="J1152" s="104" t="str">
        <f>"02035-2531"</f>
        <v>02035-2531</v>
      </c>
      <c r="K1152" s="104"/>
      <c r="L1152" s="105"/>
      <c r="M1152" s="104"/>
      <c r="N1152" s="104"/>
      <c r="O1152" s="104"/>
      <c r="P1152" s="104"/>
      <c r="Q1152" s="104"/>
      <c r="R1152" s="104"/>
      <c r="S1152" s="104"/>
      <c r="T1152" s="107"/>
      <c r="U1152" s="107"/>
    </row>
    <row r="1153" ht="15.75" hidden="1" customHeight="1">
      <c r="A1153" s="196"/>
      <c r="B1153" s="170" t="str">
        <f>"/Order/OrderTags"</f>
        <v>/Order/OrderTags</v>
      </c>
      <c r="C1153" s="170"/>
      <c r="D1153" s="170"/>
      <c r="E1153" s="170"/>
      <c r="F1153" s="170"/>
      <c r="G1153" s="196" t="str">
        <f t="shared" si="957"/>
        <v>O</v>
      </c>
      <c r="H1153" s="170"/>
      <c r="I1153" s="170"/>
      <c r="J1153" s="170"/>
      <c r="K1153" s="170"/>
      <c r="L1153" s="170"/>
      <c r="M1153" s="170"/>
      <c r="N1153" s="170"/>
      <c r="O1153" s="170"/>
      <c r="P1153" s="170"/>
      <c r="Q1153" s="170"/>
      <c r="R1153" s="170"/>
      <c r="S1153" s="170"/>
      <c r="T1153" s="197"/>
      <c r="U1153" s="197"/>
    </row>
    <row r="1154" ht="15.75" hidden="1" customHeight="1">
      <c r="A1154" s="196"/>
      <c r="B1154" s="170" t="str">
        <f>"/Order/OrderTags/OrderTag/@"</f>
        <v>/Order/OrderTags/OrderTag/@</v>
      </c>
      <c r="C1154" s="170"/>
      <c r="D1154" s="170"/>
      <c r="E1154" s="170"/>
      <c r="F1154" s="170"/>
      <c r="G1154" s="196" t="str">
        <f t="shared" si="957"/>
        <v>O</v>
      </c>
      <c r="H1154" s="170"/>
      <c r="I1154" s="170"/>
      <c r="J1154" s="170"/>
      <c r="K1154" s="170"/>
      <c r="L1154" s="170"/>
      <c r="M1154" s="170"/>
      <c r="N1154" s="170"/>
      <c r="O1154" s="170"/>
      <c r="P1154" s="170"/>
      <c r="Q1154" s="170"/>
      <c r="R1154" s="170"/>
      <c r="S1154" s="170"/>
      <c r="T1154" s="197"/>
      <c r="U1154" s="197"/>
    </row>
    <row r="1155" ht="15.75" hidden="1" customHeight="1">
      <c r="A1155" s="103"/>
      <c r="B1155" s="104" t="str">
        <f>"TagId"</f>
        <v>TagId</v>
      </c>
      <c r="C1155" s="104" t="str">
        <f>"yfs_order_tag.tag_id"</f>
        <v>yfs_order_tag.tag_id</v>
      </c>
      <c r="D1155" s="104" t="str">
        <f t="shared" ref="D1155:D1156" si="1032">"string"</f>
        <v>string</v>
      </c>
      <c r="E1155" s="105" t="str">
        <f t="shared" ref="E1155:E1156" si="1033">"50"</f>
        <v>50</v>
      </c>
      <c r="F1155" s="104" t="s">
        <v>1138</v>
      </c>
      <c r="G1155" s="103" t="str">
        <f t="shared" si="957"/>
        <v>O</v>
      </c>
      <c r="H1155" s="103" t="str">
        <f t="shared" ref="H1155:H1156" si="1034">"space"</f>
        <v>space</v>
      </c>
      <c r="I1155" s="104" t="str">
        <f t="shared" ref="I1155:J1155" si="1031">""</f>
        <v/>
      </c>
      <c r="J1155" s="104" t="str">
        <f t="shared" si="1031"/>
        <v/>
      </c>
      <c r="K1155" s="104"/>
      <c r="L1155" s="105"/>
      <c r="M1155" s="104"/>
      <c r="N1155" s="104"/>
      <c r="O1155" s="104"/>
      <c r="P1155" s="104"/>
      <c r="Q1155" s="104"/>
      <c r="R1155" s="104"/>
      <c r="S1155" s="104"/>
      <c r="T1155" s="107"/>
      <c r="U1155" s="107"/>
    </row>
    <row r="1156" ht="15.75" hidden="1" customHeight="1">
      <c r="A1156" s="103"/>
      <c r="B1156" s="104" t="str">
        <f>"TagType"</f>
        <v>TagType</v>
      </c>
      <c r="C1156" s="104" t="str">
        <f>"yfs_order_tag.tag_type"</f>
        <v>yfs_order_tag.tag_type</v>
      </c>
      <c r="D1156" s="104" t="str">
        <f t="shared" si="1032"/>
        <v>string</v>
      </c>
      <c r="E1156" s="105" t="str">
        <f t="shared" si="1033"/>
        <v>50</v>
      </c>
      <c r="F1156" s="104" t="s">
        <v>1139</v>
      </c>
      <c r="G1156" s="103" t="str">
        <f t="shared" si="957"/>
        <v>O</v>
      </c>
      <c r="H1156" s="103" t="str">
        <f t="shared" si="1034"/>
        <v>space</v>
      </c>
      <c r="I1156" s="104" t="str">
        <f t="shared" ref="I1156:J1156" si="1035">""</f>
        <v/>
      </c>
      <c r="J1156" s="104" t="str">
        <f t="shared" si="1035"/>
        <v/>
      </c>
      <c r="K1156" s="104"/>
      <c r="L1156" s="105"/>
      <c r="M1156" s="104"/>
      <c r="N1156" s="104"/>
      <c r="O1156" s="104"/>
      <c r="P1156" s="104"/>
      <c r="Q1156" s="104"/>
      <c r="R1156" s="104"/>
      <c r="S1156" s="104"/>
      <c r="T1156" s="107"/>
      <c r="U1156" s="107"/>
    </row>
    <row r="1157" ht="15.75" hidden="1" customHeight="1">
      <c r="A1157" s="196" t="s">
        <v>92</v>
      </c>
      <c r="B1157" s="170" t="str">
        <f>"/Order/Opportunity/@"</f>
        <v>/Order/Opportunity/@</v>
      </c>
      <c r="C1157" s="170"/>
      <c r="D1157" s="170"/>
      <c r="E1157" s="170"/>
      <c r="F1157" s="170"/>
      <c r="G1157" s="196" t="str">
        <f t="shared" si="957"/>
        <v>O</v>
      </c>
      <c r="H1157" s="170"/>
      <c r="I1157" s="170"/>
      <c r="J1157" s="170"/>
      <c r="K1157" s="170"/>
      <c r="L1157" s="170"/>
      <c r="M1157" s="170"/>
      <c r="N1157" s="170"/>
      <c r="O1157" s="170"/>
      <c r="P1157" s="170"/>
      <c r="Q1157" s="170"/>
      <c r="R1157" s="170"/>
      <c r="S1157" s="170"/>
      <c r="T1157" s="197"/>
      <c r="U1157" s="197"/>
    </row>
    <row r="1158" ht="15.75" hidden="1" customHeight="1">
      <c r="A1158" s="196" t="s">
        <v>92</v>
      </c>
      <c r="B1158" s="104" t="str">
        <f>"BillToID"</f>
        <v>BillToID</v>
      </c>
      <c r="C1158" s="104" t="str">
        <f>"yfs_opportunity.bill_to_id"</f>
        <v>yfs_opportunity.bill_to_id</v>
      </c>
      <c r="D1158" s="104" t="str">
        <f t="shared" ref="D1158:D1161" si="1037">"string"</f>
        <v>string</v>
      </c>
      <c r="E1158" s="105" t="str">
        <f>"40"</f>
        <v>40</v>
      </c>
      <c r="F1158" s="104" t="s">
        <v>93</v>
      </c>
      <c r="G1158" s="103" t="str">
        <f t="shared" si="957"/>
        <v>O</v>
      </c>
      <c r="H1158" s="103" t="str">
        <f t="shared" ref="H1158:J1158" si="1036">""</f>
        <v/>
      </c>
      <c r="I1158" s="104" t="str">
        <f t="shared" si="1036"/>
        <v/>
      </c>
      <c r="J1158" s="104" t="str">
        <f t="shared" si="1036"/>
        <v/>
      </c>
      <c r="K1158" s="104"/>
      <c r="L1158" s="105"/>
      <c r="M1158" s="104"/>
      <c r="N1158" s="104"/>
      <c r="O1158" s="104"/>
      <c r="P1158" s="104"/>
      <c r="Q1158" s="104"/>
      <c r="R1158" s="104"/>
      <c r="S1158" s="104"/>
      <c r="T1158" s="107"/>
      <c r="U1158" s="107"/>
    </row>
    <row r="1159" ht="15.75" hidden="1" customHeight="1">
      <c r="A1159" s="196" t="s">
        <v>92</v>
      </c>
      <c r="B1159" s="104" t="str">
        <f>"BuyerContactAddressKey"</f>
        <v>BuyerContactAddressKey</v>
      </c>
      <c r="C1159" s="104" t="str">
        <f>"yfs_opportunity.buyer_contact_address_key"</f>
        <v>yfs_opportunity.buyer_contact_address_key</v>
      </c>
      <c r="D1159" s="104" t="str">
        <f t="shared" si="1037"/>
        <v>string</v>
      </c>
      <c r="E1159" s="105" t="str">
        <f t="shared" ref="E1159:E1160" si="1039">"24"</f>
        <v>24</v>
      </c>
      <c r="F1159" s="104" t="s">
        <v>1140</v>
      </c>
      <c r="G1159" s="103" t="str">
        <f t="shared" si="957"/>
        <v>O</v>
      </c>
      <c r="H1159" s="103" t="str">
        <f t="shared" ref="H1159:J1159" si="1038">""</f>
        <v/>
      </c>
      <c r="I1159" s="104" t="str">
        <f t="shared" si="1038"/>
        <v/>
      </c>
      <c r="J1159" s="104" t="str">
        <f t="shared" si="1038"/>
        <v/>
      </c>
      <c r="K1159" s="104"/>
      <c r="L1159" s="105"/>
      <c r="M1159" s="104"/>
      <c r="N1159" s="104"/>
      <c r="O1159" s="104"/>
      <c r="P1159" s="104"/>
      <c r="Q1159" s="104"/>
      <c r="R1159" s="104"/>
      <c r="S1159" s="104"/>
      <c r="T1159" s="107"/>
      <c r="U1159" s="107"/>
    </row>
    <row r="1160" ht="15.75" hidden="1" customHeight="1">
      <c r="A1160" s="196" t="s">
        <v>92</v>
      </c>
      <c r="B1160" s="104" t="str">
        <f>"BuyerOrganizationCode"</f>
        <v>BuyerOrganizationCode</v>
      </c>
      <c r="C1160" s="104" t="str">
        <f>"yfs_opportunity.buyer_organization_code"</f>
        <v>yfs_opportunity.buyer_organization_code</v>
      </c>
      <c r="D1160" s="104" t="str">
        <f t="shared" si="1037"/>
        <v>string</v>
      </c>
      <c r="E1160" s="105" t="str">
        <f t="shared" si="1039"/>
        <v>24</v>
      </c>
      <c r="F1160" s="104" t="s">
        <v>1141</v>
      </c>
      <c r="G1160" s="103" t="str">
        <f t="shared" si="957"/>
        <v>O</v>
      </c>
      <c r="H1160" s="103" t="str">
        <f t="shared" ref="H1160:J1160" si="1040">""</f>
        <v/>
      </c>
      <c r="I1160" s="104" t="str">
        <f t="shared" si="1040"/>
        <v/>
      </c>
      <c r="J1160" s="104" t="str">
        <f t="shared" si="1040"/>
        <v/>
      </c>
      <c r="K1160" s="104"/>
      <c r="L1160" s="105"/>
      <c r="M1160" s="104"/>
      <c r="N1160" s="104"/>
      <c r="O1160" s="104"/>
      <c r="P1160" s="104"/>
      <c r="Q1160" s="104"/>
      <c r="R1160" s="104"/>
      <c r="S1160" s="104"/>
      <c r="T1160" s="107"/>
      <c r="U1160" s="107"/>
    </row>
    <row r="1161" ht="15.75" hidden="1" customHeight="1">
      <c r="A1161" s="196" t="s">
        <v>92</v>
      </c>
      <c r="B1161" s="104" t="str">
        <f>"CoOwnerUserID"</f>
        <v>CoOwnerUserID</v>
      </c>
      <c r="C1161" s="104" t="str">
        <f>"yfs_opportunity.co_owner_user_id"</f>
        <v>yfs_opportunity.co_owner_user_id</v>
      </c>
      <c r="D1161" s="104" t="str">
        <f t="shared" si="1037"/>
        <v>string</v>
      </c>
      <c r="E1161" s="105" t="str">
        <f>"40"</f>
        <v>40</v>
      </c>
      <c r="F1161" s="104" t="s">
        <v>1142</v>
      </c>
      <c r="G1161" s="103" t="str">
        <f t="shared" si="957"/>
        <v>O</v>
      </c>
      <c r="H1161" s="103" t="str">
        <f t="shared" ref="H1161:J1161" si="1041">""</f>
        <v/>
      </c>
      <c r="I1161" s="104" t="str">
        <f t="shared" si="1041"/>
        <v/>
      </c>
      <c r="J1161" s="104" t="str">
        <f t="shared" si="1041"/>
        <v/>
      </c>
      <c r="K1161" s="104"/>
      <c r="L1161" s="105"/>
      <c r="M1161" s="104"/>
      <c r="N1161" s="104"/>
      <c r="O1161" s="104"/>
      <c r="P1161" s="104"/>
      <c r="Q1161" s="104"/>
      <c r="R1161" s="104"/>
      <c r="S1161" s="104"/>
      <c r="T1161" s="107"/>
      <c r="U1161" s="107"/>
    </row>
    <row r="1162" ht="15.75" hidden="1" customHeight="1">
      <c r="A1162" s="196" t="s">
        <v>92</v>
      </c>
      <c r="B1162" s="104" t="str">
        <f>"CurrencyValue"</f>
        <v>CurrencyValue</v>
      </c>
      <c r="C1162" s="104" t="str">
        <f>"yfs_opportunity.currency_value"</f>
        <v>yfs_opportunity.currency_value</v>
      </c>
      <c r="D1162" s="104" t="str">
        <f>"UNKNOWN"</f>
        <v>UNKNOWN</v>
      </c>
      <c r="E1162" s="105" t="str">
        <f>""</f>
        <v/>
      </c>
      <c r="F1162" s="104" t="s">
        <v>1143</v>
      </c>
      <c r="G1162" s="103" t="str">
        <f t="shared" si="957"/>
        <v>O</v>
      </c>
      <c r="H1162" s="103" t="str">
        <f t="shared" ref="H1162:J1162" si="1042">""</f>
        <v/>
      </c>
      <c r="I1162" s="104" t="str">
        <f t="shared" si="1042"/>
        <v/>
      </c>
      <c r="J1162" s="104" t="str">
        <f t="shared" si="1042"/>
        <v/>
      </c>
      <c r="K1162" s="104"/>
      <c r="L1162" s="105"/>
      <c r="M1162" s="104"/>
      <c r="N1162" s="104"/>
      <c r="O1162" s="104"/>
      <c r="P1162" s="104"/>
      <c r="Q1162" s="104"/>
      <c r="R1162" s="104"/>
      <c r="S1162" s="104"/>
      <c r="T1162" s="107"/>
      <c r="U1162" s="107"/>
    </row>
    <row r="1163" ht="15.75" hidden="1" customHeight="1">
      <c r="A1163" s="196" t="s">
        <v>92</v>
      </c>
      <c r="B1163" s="104" t="str">
        <f>"CustomerContactID"</f>
        <v>CustomerContactID</v>
      </c>
      <c r="C1163" s="104" t="str">
        <f>"yfs_opportunity.customer_contact_id"</f>
        <v>yfs_opportunity.customer_contact_id</v>
      </c>
      <c r="D1163" s="104" t="str">
        <f t="shared" ref="D1163:D1166" si="1044">"string"</f>
        <v>string</v>
      </c>
      <c r="E1163" s="105" t="str">
        <f>"40"</f>
        <v>40</v>
      </c>
      <c r="F1163" s="104" t="s">
        <v>1144</v>
      </c>
      <c r="G1163" s="103" t="str">
        <f t="shared" si="957"/>
        <v>O</v>
      </c>
      <c r="H1163" s="103" t="str">
        <f t="shared" ref="H1163:J1163" si="1043">""</f>
        <v/>
      </c>
      <c r="I1163" s="104" t="str">
        <f t="shared" si="1043"/>
        <v/>
      </c>
      <c r="J1163" s="104" t="str">
        <f t="shared" si="1043"/>
        <v/>
      </c>
      <c r="K1163" s="104"/>
      <c r="L1163" s="105"/>
      <c r="M1163" s="104"/>
      <c r="N1163" s="104"/>
      <c r="O1163" s="104"/>
      <c r="P1163" s="104"/>
      <c r="Q1163" s="104"/>
      <c r="R1163" s="104"/>
      <c r="S1163" s="104"/>
      <c r="T1163" s="107"/>
      <c r="U1163" s="107"/>
    </row>
    <row r="1164" ht="15.75" hidden="1" customHeight="1">
      <c r="A1164" s="196" t="s">
        <v>92</v>
      </c>
      <c r="B1164" s="104" t="str">
        <f>"Description"</f>
        <v>Description</v>
      </c>
      <c r="C1164" s="104" t="str">
        <f>"yfs_opportunity.description"</f>
        <v>yfs_opportunity.description</v>
      </c>
      <c r="D1164" s="104" t="str">
        <f t="shared" si="1044"/>
        <v>string</v>
      </c>
      <c r="E1164" s="105" t="str">
        <f>"200"</f>
        <v>200</v>
      </c>
      <c r="F1164" s="104" t="s">
        <v>1145</v>
      </c>
      <c r="G1164" s="103" t="str">
        <f t="shared" si="957"/>
        <v>O</v>
      </c>
      <c r="H1164" s="103" t="str">
        <f t="shared" ref="H1164:J1164" si="1045">""</f>
        <v/>
      </c>
      <c r="I1164" s="104" t="str">
        <f t="shared" si="1045"/>
        <v/>
      </c>
      <c r="J1164" s="104" t="str">
        <f t="shared" si="1045"/>
        <v/>
      </c>
      <c r="K1164" s="104"/>
      <c r="L1164" s="105"/>
      <c r="M1164" s="104"/>
      <c r="N1164" s="104"/>
      <c r="O1164" s="104"/>
      <c r="P1164" s="104"/>
      <c r="Q1164" s="104"/>
      <c r="R1164" s="104"/>
      <c r="S1164" s="104"/>
      <c r="T1164" s="107"/>
      <c r="U1164" s="107"/>
    </row>
    <row r="1165" ht="15.75" hidden="1" customHeight="1">
      <c r="A1165" s="196" t="s">
        <v>92</v>
      </c>
      <c r="B1165" s="104" t="str">
        <f>"DocumentType"</f>
        <v>DocumentType</v>
      </c>
      <c r="C1165" s="104" t="str">
        <f>"yfs_opportunity.document_type"</f>
        <v>yfs_opportunity.document_type</v>
      </c>
      <c r="D1165" s="104" t="str">
        <f t="shared" si="1044"/>
        <v>string</v>
      </c>
      <c r="E1165" s="105" t="str">
        <f>"40"</f>
        <v>40</v>
      </c>
      <c r="F1165" s="104" t="s">
        <v>1146</v>
      </c>
      <c r="G1165" s="103" t="str">
        <f t="shared" si="957"/>
        <v>O</v>
      </c>
      <c r="H1165" s="103" t="str">
        <f t="shared" ref="H1165:J1165" si="1046">""</f>
        <v/>
      </c>
      <c r="I1165" s="104" t="str">
        <f t="shared" si="1046"/>
        <v/>
      </c>
      <c r="J1165" s="104" t="str">
        <f t="shared" si="1046"/>
        <v/>
      </c>
      <c r="K1165" s="104"/>
      <c r="L1165" s="105"/>
      <c r="M1165" s="104"/>
      <c r="N1165" s="104"/>
      <c r="O1165" s="104"/>
      <c r="P1165" s="104"/>
      <c r="Q1165" s="104"/>
      <c r="R1165" s="104"/>
      <c r="S1165" s="104"/>
      <c r="T1165" s="107"/>
      <c r="U1165" s="107"/>
    </row>
    <row r="1166" ht="15.75" hidden="1" customHeight="1">
      <c r="A1166" s="196" t="s">
        <v>92</v>
      </c>
      <c r="B1166" s="104" t="str">
        <f>"EnterpriseCode"</f>
        <v>EnterpriseCode</v>
      </c>
      <c r="C1166" s="104" t="str">
        <f>"yfs_opportunity.enterprise_code"</f>
        <v>yfs_opportunity.enterprise_code</v>
      </c>
      <c r="D1166" s="104" t="str">
        <f t="shared" si="1044"/>
        <v>string</v>
      </c>
      <c r="E1166" s="105" t="str">
        <f>"24"</f>
        <v>24</v>
      </c>
      <c r="F1166" s="104" t="s">
        <v>1147</v>
      </c>
      <c r="G1166" s="103" t="str">
        <f>"M"</f>
        <v>M</v>
      </c>
      <c r="H1166" s="103" t="str">
        <f t="shared" ref="H1166:J1166" si="1047">""</f>
        <v/>
      </c>
      <c r="I1166" s="104" t="str">
        <f t="shared" si="1047"/>
        <v/>
      </c>
      <c r="J1166" s="104" t="str">
        <f t="shared" si="1047"/>
        <v/>
      </c>
      <c r="K1166" s="104"/>
      <c r="L1166" s="105"/>
      <c r="M1166" s="104"/>
      <c r="N1166" s="104"/>
      <c r="O1166" s="104"/>
      <c r="P1166" s="104"/>
      <c r="Q1166" s="104"/>
      <c r="R1166" s="104"/>
      <c r="S1166" s="104"/>
      <c r="T1166" s="107"/>
      <c r="U1166" s="107"/>
    </row>
    <row r="1167" ht="15.75" hidden="1" customHeight="1">
      <c r="A1167" s="196" t="s">
        <v>92</v>
      </c>
      <c r="B1167" s="104" t="str">
        <f>"ExpectedCloseDate"</f>
        <v>ExpectedCloseDate</v>
      </c>
      <c r="C1167" s="104" t="str">
        <f>"yfs_opportunity.expected_close_date"</f>
        <v>yfs_opportunity.expected_close_date</v>
      </c>
      <c r="D1167" s="104" t="str">
        <f>"UNKNOWN"</f>
        <v>UNKNOWN</v>
      </c>
      <c r="E1167" s="105" t="str">
        <f>""</f>
        <v/>
      </c>
      <c r="F1167" s="104" t="s">
        <v>1148</v>
      </c>
      <c r="G1167" s="103" t="str">
        <f t="shared" ref="G1167:G1220" si="1049">"O"</f>
        <v>O</v>
      </c>
      <c r="H1167" s="103" t="str">
        <f t="shared" ref="H1167:J1167" si="1048">""</f>
        <v/>
      </c>
      <c r="I1167" s="104" t="str">
        <f t="shared" si="1048"/>
        <v/>
      </c>
      <c r="J1167" s="104" t="str">
        <f t="shared" si="1048"/>
        <v/>
      </c>
      <c r="K1167" s="104"/>
      <c r="L1167" s="105"/>
      <c r="M1167" s="104"/>
      <c r="N1167" s="104"/>
      <c r="O1167" s="104"/>
      <c r="P1167" s="104"/>
      <c r="Q1167" s="104"/>
      <c r="R1167" s="104"/>
      <c r="S1167" s="104"/>
      <c r="T1167" s="107"/>
      <c r="U1167" s="107"/>
    </row>
    <row r="1168" ht="15.75" hidden="1" customHeight="1">
      <c r="A1168" s="196" t="s">
        <v>92</v>
      </c>
      <c r="B1168" s="104" t="str">
        <f>"LeadOrigin"</f>
        <v>LeadOrigin</v>
      </c>
      <c r="C1168" s="104" t="str">
        <f>"yfs_opportunity.lead_origin"</f>
        <v>yfs_opportunity.lead_origin</v>
      </c>
      <c r="D1168" s="104" t="str">
        <f t="shared" ref="D1168:D1169" si="1051">"string"</f>
        <v>string</v>
      </c>
      <c r="E1168" s="105" t="str">
        <f t="shared" ref="E1168:E1169" si="1052">"40"</f>
        <v>40</v>
      </c>
      <c r="F1168" s="104" t="s">
        <v>1149</v>
      </c>
      <c r="G1168" s="103" t="str">
        <f t="shared" si="1049"/>
        <v>O</v>
      </c>
      <c r="H1168" s="103" t="str">
        <f t="shared" ref="H1168:J1168" si="1050">""</f>
        <v/>
      </c>
      <c r="I1168" s="104" t="str">
        <f t="shared" si="1050"/>
        <v/>
      </c>
      <c r="J1168" s="104" t="str">
        <f t="shared" si="1050"/>
        <v/>
      </c>
      <c r="K1168" s="104"/>
      <c r="L1168" s="105"/>
      <c r="M1168" s="104"/>
      <c r="N1168" s="104"/>
      <c r="O1168" s="104"/>
      <c r="P1168" s="104"/>
      <c r="Q1168" s="104"/>
      <c r="R1168" s="104"/>
      <c r="S1168" s="104"/>
      <c r="T1168" s="107"/>
      <c r="U1168" s="107"/>
    </row>
    <row r="1169" ht="15.75" hidden="1" customHeight="1">
      <c r="A1169" s="196" t="s">
        <v>92</v>
      </c>
      <c r="B1169" s="104" t="str">
        <f>"LostReasonCode"</f>
        <v>LostReasonCode</v>
      </c>
      <c r="C1169" s="104" t="str">
        <f>"yfs_opportunity.lost_reason_code"</f>
        <v>yfs_opportunity.lost_reason_code</v>
      </c>
      <c r="D1169" s="104" t="str">
        <f t="shared" si="1051"/>
        <v>string</v>
      </c>
      <c r="E1169" s="105" t="str">
        <f t="shared" si="1052"/>
        <v>40</v>
      </c>
      <c r="F1169" s="104" t="s">
        <v>1150</v>
      </c>
      <c r="G1169" s="103" t="str">
        <f t="shared" si="1049"/>
        <v>O</v>
      </c>
      <c r="H1169" s="103" t="str">
        <f t="shared" ref="H1169:J1169" si="1053">""</f>
        <v/>
      </c>
      <c r="I1169" s="104" t="str">
        <f t="shared" si="1053"/>
        <v/>
      </c>
      <c r="J1169" s="104" t="str">
        <f t="shared" si="1053"/>
        <v/>
      </c>
      <c r="K1169" s="104"/>
      <c r="L1169" s="105"/>
      <c r="M1169" s="104"/>
      <c r="N1169" s="104"/>
      <c r="O1169" s="104"/>
      <c r="P1169" s="104"/>
      <c r="Q1169" s="104"/>
      <c r="R1169" s="104"/>
      <c r="S1169" s="104"/>
      <c r="T1169" s="107"/>
      <c r="U1169" s="107"/>
    </row>
    <row r="1170" ht="15.75" hidden="1" customHeight="1">
      <c r="A1170" s="196" t="s">
        <v>92</v>
      </c>
      <c r="B1170" s="104" t="str">
        <f>"OpportunityDate"</f>
        <v>OpportunityDate</v>
      </c>
      <c r="C1170" s="104" t="str">
        <f>"yfs_opportunity.opportunity_date"</f>
        <v>yfs_opportunity.opportunity_date</v>
      </c>
      <c r="D1170" s="104" t="str">
        <f>"UNKNOWN"</f>
        <v>UNKNOWN</v>
      </c>
      <c r="E1170" s="105" t="str">
        <f>""</f>
        <v/>
      </c>
      <c r="F1170" s="104" t="s">
        <v>1151</v>
      </c>
      <c r="G1170" s="103" t="str">
        <f t="shared" si="1049"/>
        <v>O</v>
      </c>
      <c r="H1170" s="103" t="str">
        <f t="shared" ref="H1170:J1170" si="1054">""</f>
        <v/>
      </c>
      <c r="I1170" s="104" t="str">
        <f t="shared" si="1054"/>
        <v/>
      </c>
      <c r="J1170" s="104" t="str">
        <f t="shared" si="1054"/>
        <v/>
      </c>
      <c r="K1170" s="104"/>
      <c r="L1170" s="105"/>
      <c r="M1170" s="104"/>
      <c r="N1170" s="104"/>
      <c r="O1170" s="104"/>
      <c r="P1170" s="104"/>
      <c r="Q1170" s="104"/>
      <c r="R1170" s="104"/>
      <c r="S1170" s="104"/>
      <c r="T1170" s="107"/>
      <c r="U1170" s="107"/>
    </row>
    <row r="1171" ht="15.75" hidden="1" customHeight="1">
      <c r="A1171" s="196" t="s">
        <v>92</v>
      </c>
      <c r="B1171" s="104" t="str">
        <f>"OpportunityID"</f>
        <v>OpportunityID</v>
      </c>
      <c r="C1171" s="104" t="str">
        <f>"yfs_opportunity.opportunity_id"</f>
        <v>yfs_opportunity.opportunity_id</v>
      </c>
      <c r="D1171" s="104" t="str">
        <f t="shared" ref="D1171:D1174" si="1056">"string"</f>
        <v>string</v>
      </c>
      <c r="E1171" s="105" t="str">
        <f>"40"</f>
        <v>40</v>
      </c>
      <c r="F1171" s="104" t="s">
        <v>1152</v>
      </c>
      <c r="G1171" s="103" t="str">
        <f t="shared" si="1049"/>
        <v>O</v>
      </c>
      <c r="H1171" s="103" t="str">
        <f t="shared" ref="H1171:J1171" si="1055">""</f>
        <v/>
      </c>
      <c r="I1171" s="104" t="str">
        <f t="shared" si="1055"/>
        <v/>
      </c>
      <c r="J1171" s="104" t="str">
        <f t="shared" si="1055"/>
        <v/>
      </c>
      <c r="K1171" s="104"/>
      <c r="L1171" s="105"/>
      <c r="M1171" s="104"/>
      <c r="N1171" s="104"/>
      <c r="O1171" s="104"/>
      <c r="P1171" s="104"/>
      <c r="Q1171" s="104"/>
      <c r="R1171" s="104"/>
      <c r="S1171" s="104"/>
      <c r="T1171" s="107"/>
      <c r="U1171" s="107"/>
    </row>
    <row r="1172" ht="15.75" hidden="1" customHeight="1">
      <c r="A1172" s="196" t="s">
        <v>92</v>
      </c>
      <c r="B1172" s="104" t="str">
        <f>"OpportunityName"</f>
        <v>OpportunityName</v>
      </c>
      <c r="C1172" s="104" t="str">
        <f>"yfs_opportunity.opportunity_name"</f>
        <v>yfs_opportunity.opportunity_name</v>
      </c>
      <c r="D1172" s="104" t="str">
        <f t="shared" si="1056"/>
        <v>string</v>
      </c>
      <c r="E1172" s="105" t="str">
        <f>"100"</f>
        <v>100</v>
      </c>
      <c r="F1172" s="104" t="s">
        <v>1153</v>
      </c>
      <c r="G1172" s="103" t="str">
        <f t="shared" si="1049"/>
        <v>O</v>
      </c>
      <c r="H1172" s="103" t="str">
        <f t="shared" ref="H1172:J1172" si="1057">""</f>
        <v/>
      </c>
      <c r="I1172" s="104" t="str">
        <f t="shared" si="1057"/>
        <v/>
      </c>
      <c r="J1172" s="104" t="str">
        <f t="shared" si="1057"/>
        <v/>
      </c>
      <c r="K1172" s="104"/>
      <c r="L1172" s="105"/>
      <c r="M1172" s="104"/>
      <c r="N1172" s="104"/>
      <c r="O1172" s="104"/>
      <c r="P1172" s="104"/>
      <c r="Q1172" s="104"/>
      <c r="R1172" s="104"/>
      <c r="S1172" s="104"/>
      <c r="T1172" s="107"/>
      <c r="U1172" s="107"/>
    </row>
    <row r="1173" ht="15.75" hidden="1" customHeight="1">
      <c r="A1173" s="196" t="s">
        <v>92</v>
      </c>
      <c r="B1173" s="104" t="str">
        <f>"OwnerUserID"</f>
        <v>OwnerUserID</v>
      </c>
      <c r="C1173" s="104" t="str">
        <f>"yfs_opportunity.owner_user_id"</f>
        <v>yfs_opportunity.owner_user_id</v>
      </c>
      <c r="D1173" s="104" t="str">
        <f t="shared" si="1056"/>
        <v>string</v>
      </c>
      <c r="E1173" s="105" t="str">
        <f>"40"</f>
        <v>40</v>
      </c>
      <c r="F1173" s="104" t="s">
        <v>1154</v>
      </c>
      <c r="G1173" s="103" t="str">
        <f t="shared" si="1049"/>
        <v>O</v>
      </c>
      <c r="H1173" s="103" t="str">
        <f t="shared" ref="H1173:J1173" si="1058">""</f>
        <v/>
      </c>
      <c r="I1173" s="104" t="str">
        <f t="shared" si="1058"/>
        <v/>
      </c>
      <c r="J1173" s="104" t="str">
        <f t="shared" si="1058"/>
        <v/>
      </c>
      <c r="K1173" s="104"/>
      <c r="L1173" s="105"/>
      <c r="M1173" s="104"/>
      <c r="N1173" s="104"/>
      <c r="O1173" s="104"/>
      <c r="P1173" s="104"/>
      <c r="Q1173" s="104"/>
      <c r="R1173" s="104"/>
      <c r="S1173" s="104"/>
      <c r="T1173" s="107"/>
      <c r="U1173" s="107"/>
    </row>
    <row r="1174" ht="15.75" hidden="1" customHeight="1">
      <c r="A1174" s="196" t="s">
        <v>92</v>
      </c>
      <c r="B1174" s="104" t="str">
        <f>"PipelineKey"</f>
        <v>PipelineKey</v>
      </c>
      <c r="C1174" s="104" t="str">
        <f>"yfs_opportunity.pipeline_key"</f>
        <v>yfs_opportunity.pipeline_key</v>
      </c>
      <c r="D1174" s="104" t="str">
        <f t="shared" si="1056"/>
        <v>string</v>
      </c>
      <c r="E1174" s="105" t="str">
        <f>"24"</f>
        <v>24</v>
      </c>
      <c r="F1174" s="104" t="s">
        <v>1155</v>
      </c>
      <c r="G1174" s="103" t="str">
        <f t="shared" si="1049"/>
        <v>O</v>
      </c>
      <c r="H1174" s="103" t="str">
        <f t="shared" ref="H1174:J1174" si="1059">""</f>
        <v/>
      </c>
      <c r="I1174" s="104" t="str">
        <f t="shared" si="1059"/>
        <v/>
      </c>
      <c r="J1174" s="104" t="str">
        <f t="shared" si="1059"/>
        <v/>
      </c>
      <c r="K1174" s="104"/>
      <c r="L1174" s="105"/>
      <c r="M1174" s="104"/>
      <c r="N1174" s="104"/>
      <c r="O1174" s="104"/>
      <c r="P1174" s="104"/>
      <c r="Q1174" s="104"/>
      <c r="R1174" s="104"/>
      <c r="S1174" s="104"/>
      <c r="T1174" s="107"/>
      <c r="U1174" s="107"/>
    </row>
    <row r="1175" ht="15.75" hidden="1" customHeight="1">
      <c r="A1175" s="196" t="s">
        <v>92</v>
      </c>
      <c r="B1175" s="104" t="str">
        <f>"ProbableSuccessRate"</f>
        <v>ProbableSuccessRate</v>
      </c>
      <c r="C1175" s="104" t="str">
        <f>"yfs_opportunity.probable_success_rate"</f>
        <v>yfs_opportunity.probable_success_rate</v>
      </c>
      <c r="D1175" s="104" t="str">
        <f>"UNKNOWN"</f>
        <v>UNKNOWN</v>
      </c>
      <c r="E1175" s="105" t="str">
        <f>""</f>
        <v/>
      </c>
      <c r="F1175" s="104" t="s">
        <v>1156</v>
      </c>
      <c r="G1175" s="103" t="str">
        <f t="shared" si="1049"/>
        <v>O</v>
      </c>
      <c r="H1175" s="103" t="str">
        <f t="shared" ref="H1175:J1175" si="1060">""</f>
        <v/>
      </c>
      <c r="I1175" s="104" t="str">
        <f t="shared" si="1060"/>
        <v/>
      </c>
      <c r="J1175" s="104" t="str">
        <f t="shared" si="1060"/>
        <v/>
      </c>
      <c r="K1175" s="104"/>
      <c r="L1175" s="105"/>
      <c r="M1175" s="104"/>
      <c r="N1175" s="104"/>
      <c r="O1175" s="104"/>
      <c r="P1175" s="104"/>
      <c r="Q1175" s="104"/>
      <c r="R1175" s="104"/>
      <c r="S1175" s="104"/>
      <c r="T1175" s="107"/>
      <c r="U1175" s="107"/>
    </row>
    <row r="1176" ht="15.75" hidden="1" customHeight="1">
      <c r="A1176" s="196" t="s">
        <v>92</v>
      </c>
      <c r="B1176" s="104" t="str">
        <f>"TeamCode"</f>
        <v>TeamCode</v>
      </c>
      <c r="C1176" s="104" t="str">
        <f>"yfs_opportunity.team_code"</f>
        <v>yfs_opportunity.team_code</v>
      </c>
      <c r="D1176" s="104" t="str">
        <f>"string"</f>
        <v>string</v>
      </c>
      <c r="E1176" s="105" t="str">
        <f>"40"</f>
        <v>40</v>
      </c>
      <c r="F1176" s="104" t="s">
        <v>1157</v>
      </c>
      <c r="G1176" s="103" t="str">
        <f t="shared" si="1049"/>
        <v>O</v>
      </c>
      <c r="H1176" s="103" t="str">
        <f t="shared" ref="H1176:J1176" si="1061">""</f>
        <v/>
      </c>
      <c r="I1176" s="104" t="str">
        <f t="shared" si="1061"/>
        <v/>
      </c>
      <c r="J1176" s="104" t="str">
        <f t="shared" si="1061"/>
        <v/>
      </c>
      <c r="K1176" s="104"/>
      <c r="L1176" s="105"/>
      <c r="M1176" s="104"/>
      <c r="N1176" s="104"/>
      <c r="O1176" s="104"/>
      <c r="P1176" s="104"/>
      <c r="Q1176" s="104"/>
      <c r="R1176" s="104"/>
      <c r="S1176" s="104"/>
      <c r="T1176" s="107"/>
      <c r="U1176" s="107"/>
    </row>
    <row r="1177" ht="15.75" hidden="1" customHeight="1">
      <c r="A1177" s="196" t="s">
        <v>92</v>
      </c>
      <c r="B1177" s="170" t="str">
        <f>"/Order/Opportunity/BuyerContactAddress/@"</f>
        <v>/Order/Opportunity/BuyerContactAddress/@</v>
      </c>
      <c r="C1177" s="170"/>
      <c r="D1177" s="170"/>
      <c r="E1177" s="170"/>
      <c r="F1177" s="170"/>
      <c r="G1177" s="196" t="str">
        <f t="shared" si="1049"/>
        <v>O</v>
      </c>
      <c r="H1177" s="170"/>
      <c r="I1177" s="170"/>
      <c r="J1177" s="170"/>
      <c r="K1177" s="170"/>
      <c r="L1177" s="170"/>
      <c r="M1177" s="170"/>
      <c r="N1177" s="170"/>
      <c r="O1177" s="170"/>
      <c r="P1177" s="170"/>
      <c r="Q1177" s="170"/>
      <c r="R1177" s="170"/>
      <c r="S1177" s="170"/>
      <c r="T1177" s="197"/>
      <c r="U1177" s="197"/>
    </row>
    <row r="1178" ht="15.75" hidden="1" customHeight="1">
      <c r="A1178" s="196" t="s">
        <v>92</v>
      </c>
      <c r="B1178" s="104" t="str">
        <f>"AddressID"</f>
        <v>AddressID</v>
      </c>
      <c r="C1178" s="104" t="str">
        <f>"yfs_person_info.address_id"</f>
        <v>yfs_person_info.address_id</v>
      </c>
      <c r="D1178" s="104" t="str">
        <f t="shared" ref="D1178:D1187" si="1063">"string"</f>
        <v>string</v>
      </c>
      <c r="E1178" s="105" t="str">
        <f>"256"</f>
        <v>256</v>
      </c>
      <c r="F1178" s="104" t="s">
        <v>684</v>
      </c>
      <c r="G1178" s="103" t="str">
        <f t="shared" si="1049"/>
        <v>O</v>
      </c>
      <c r="H1178" s="103" t="str">
        <f>"null"</f>
        <v>null</v>
      </c>
      <c r="I1178" s="104" t="str">
        <f t="shared" ref="I1178:J1178" si="1062">""</f>
        <v/>
      </c>
      <c r="J1178" s="104" t="str">
        <f t="shared" si="1062"/>
        <v/>
      </c>
      <c r="K1178" s="104"/>
      <c r="L1178" s="105"/>
      <c r="M1178" s="104"/>
      <c r="N1178" s="104"/>
      <c r="O1178" s="104"/>
      <c r="P1178" s="104"/>
      <c r="Q1178" s="104"/>
      <c r="R1178" s="104"/>
      <c r="S1178" s="104"/>
      <c r="T1178" s="107"/>
      <c r="U1178" s="107"/>
    </row>
    <row r="1179" ht="15.75" hidden="1" customHeight="1">
      <c r="A1179" s="196" t="s">
        <v>92</v>
      </c>
      <c r="B1179" s="104" t="str">
        <f>"AddressLine1"</f>
        <v>AddressLine1</v>
      </c>
      <c r="C1179" s="104" t="str">
        <f>"yfs_person_info.address_line1"</f>
        <v>yfs_person_info.address_line1</v>
      </c>
      <c r="D1179" s="104" t="str">
        <f t="shared" si="1063"/>
        <v>string</v>
      </c>
      <c r="E1179" s="105" t="str">
        <f t="shared" ref="E1179:E1184" si="1064">"70"</f>
        <v>70</v>
      </c>
      <c r="F1179" s="104" t="s">
        <v>685</v>
      </c>
      <c r="G1179" s="103" t="str">
        <f t="shared" si="1049"/>
        <v>O</v>
      </c>
      <c r="H1179" s="103" t="str">
        <f t="shared" ref="H1179:H1196" si="1065">"space"</f>
        <v>space</v>
      </c>
      <c r="I1179" s="104" t="str">
        <f t="shared" ref="I1179:I1212" si="1066">""</f>
        <v/>
      </c>
      <c r="J1179" s="104" t="str">
        <f>"1 Main Street"</f>
        <v>1 Main Street</v>
      </c>
      <c r="K1179" s="104"/>
      <c r="L1179" s="105"/>
      <c r="M1179" s="104"/>
      <c r="N1179" s="104"/>
      <c r="O1179" s="104"/>
      <c r="P1179" s="104"/>
      <c r="Q1179" s="104"/>
      <c r="R1179" s="104"/>
      <c r="S1179" s="104"/>
      <c r="T1179" s="107"/>
      <c r="U1179" s="107"/>
    </row>
    <row r="1180" ht="15.75" hidden="1" customHeight="1">
      <c r="A1180" s="196" t="s">
        <v>92</v>
      </c>
      <c r="B1180" s="104" t="str">
        <f>"AddressLine2"</f>
        <v>AddressLine2</v>
      </c>
      <c r="C1180" s="104" t="str">
        <f>"yfs_person_info.address_line2"</f>
        <v>yfs_person_info.address_line2</v>
      </c>
      <c r="D1180" s="104" t="str">
        <f t="shared" si="1063"/>
        <v>string</v>
      </c>
      <c r="E1180" s="105" t="str">
        <f t="shared" si="1064"/>
        <v>70</v>
      </c>
      <c r="F1180" s="104" t="s">
        <v>688</v>
      </c>
      <c r="G1180" s="103" t="str">
        <f t="shared" si="1049"/>
        <v>O</v>
      </c>
      <c r="H1180" s="103" t="str">
        <f t="shared" si="1065"/>
        <v>space</v>
      </c>
      <c r="I1180" s="104" t="str">
        <f t="shared" si="1066"/>
        <v/>
      </c>
      <c r="J1180" s="104" t="str">
        <f>"Unit A2"</f>
        <v>Unit A2</v>
      </c>
      <c r="K1180" s="104"/>
      <c r="L1180" s="105"/>
      <c r="M1180" s="104"/>
      <c r="N1180" s="104"/>
      <c r="O1180" s="104"/>
      <c r="P1180" s="104"/>
      <c r="Q1180" s="104"/>
      <c r="R1180" s="104"/>
      <c r="S1180" s="104"/>
      <c r="T1180" s="107"/>
      <c r="U1180" s="107"/>
    </row>
    <row r="1181" ht="15.75" hidden="1" customHeight="1">
      <c r="A1181" s="196" t="s">
        <v>92</v>
      </c>
      <c r="B1181" s="104" t="str">
        <f>"AddressLine3"</f>
        <v>AddressLine3</v>
      </c>
      <c r="C1181" s="104" t="str">
        <f>"yfs_person_info.address_line3"</f>
        <v>yfs_person_info.address_line3</v>
      </c>
      <c r="D1181" s="104" t="str">
        <f t="shared" si="1063"/>
        <v>string</v>
      </c>
      <c r="E1181" s="105" t="str">
        <f t="shared" si="1064"/>
        <v>70</v>
      </c>
      <c r="F1181" s="104" t="s">
        <v>691</v>
      </c>
      <c r="G1181" s="103" t="str">
        <f t="shared" si="1049"/>
        <v>O</v>
      </c>
      <c r="H1181" s="103" t="str">
        <f t="shared" si="1065"/>
        <v>space</v>
      </c>
      <c r="I1181" s="104" t="str">
        <f t="shared" si="1066"/>
        <v/>
      </c>
      <c r="J1181" s="104" t="str">
        <f t="shared" ref="J1181:J1184" si="1067">""</f>
        <v/>
      </c>
      <c r="K1181" s="104"/>
      <c r="L1181" s="105"/>
      <c r="M1181" s="104"/>
      <c r="N1181" s="104"/>
      <c r="O1181" s="104"/>
      <c r="P1181" s="104"/>
      <c r="Q1181" s="104"/>
      <c r="R1181" s="104"/>
      <c r="S1181" s="104"/>
      <c r="T1181" s="107"/>
      <c r="U1181" s="107"/>
    </row>
    <row r="1182" ht="15.75" hidden="1" customHeight="1">
      <c r="A1182" s="196" t="s">
        <v>92</v>
      </c>
      <c r="B1182" s="104" t="str">
        <f>"AddressLine4"</f>
        <v>AddressLine4</v>
      </c>
      <c r="C1182" s="104" t="str">
        <f>"yfs_person_info.address_line4"</f>
        <v>yfs_person_info.address_line4</v>
      </c>
      <c r="D1182" s="104" t="str">
        <f t="shared" si="1063"/>
        <v>string</v>
      </c>
      <c r="E1182" s="105" t="str">
        <f t="shared" si="1064"/>
        <v>70</v>
      </c>
      <c r="F1182" s="104" t="s">
        <v>693</v>
      </c>
      <c r="G1182" s="103" t="str">
        <f t="shared" si="1049"/>
        <v>O</v>
      </c>
      <c r="H1182" s="103" t="str">
        <f t="shared" si="1065"/>
        <v>space</v>
      </c>
      <c r="I1182" s="104" t="str">
        <f t="shared" si="1066"/>
        <v/>
      </c>
      <c r="J1182" s="104" t="str">
        <f t="shared" si="1067"/>
        <v/>
      </c>
      <c r="K1182" s="104"/>
      <c r="L1182" s="105"/>
      <c r="M1182" s="104"/>
      <c r="N1182" s="104"/>
      <c r="O1182" s="104"/>
      <c r="P1182" s="104"/>
      <c r="Q1182" s="104"/>
      <c r="R1182" s="104"/>
      <c r="S1182" s="104"/>
      <c r="T1182" s="107"/>
      <c r="U1182" s="107"/>
    </row>
    <row r="1183" ht="15.75" hidden="1" customHeight="1">
      <c r="A1183" s="196" t="s">
        <v>92</v>
      </c>
      <c r="B1183" s="104" t="str">
        <f>"AddressLine5"</f>
        <v>AddressLine5</v>
      </c>
      <c r="C1183" s="104" t="str">
        <f>"yfs_person_info.address_line5"</f>
        <v>yfs_person_info.address_line5</v>
      </c>
      <c r="D1183" s="104" t="str">
        <f t="shared" si="1063"/>
        <v>string</v>
      </c>
      <c r="E1183" s="105" t="str">
        <f t="shared" si="1064"/>
        <v>70</v>
      </c>
      <c r="F1183" s="104" t="s">
        <v>694</v>
      </c>
      <c r="G1183" s="103" t="str">
        <f t="shared" si="1049"/>
        <v>O</v>
      </c>
      <c r="H1183" s="103" t="str">
        <f t="shared" si="1065"/>
        <v>space</v>
      </c>
      <c r="I1183" s="104" t="str">
        <f t="shared" si="1066"/>
        <v/>
      </c>
      <c r="J1183" s="104" t="str">
        <f t="shared" si="1067"/>
        <v/>
      </c>
      <c r="K1183" s="104"/>
      <c r="L1183" s="105"/>
      <c r="M1183" s="104"/>
      <c r="N1183" s="104"/>
      <c r="O1183" s="104"/>
      <c r="P1183" s="104"/>
      <c r="Q1183" s="104"/>
      <c r="R1183" s="104"/>
      <c r="S1183" s="104"/>
      <c r="T1183" s="107"/>
      <c r="U1183" s="107"/>
    </row>
    <row r="1184" ht="15.75" hidden="1" customHeight="1">
      <c r="A1184" s="196" t="s">
        <v>92</v>
      </c>
      <c r="B1184" s="104" t="str">
        <f>"AddressLine6"</f>
        <v>AddressLine6</v>
      </c>
      <c r="C1184" s="104" t="str">
        <f>"yfs_person_info.address_line6"</f>
        <v>yfs_person_info.address_line6</v>
      </c>
      <c r="D1184" s="104" t="str">
        <f t="shared" si="1063"/>
        <v>string</v>
      </c>
      <c r="E1184" s="105" t="str">
        <f t="shared" si="1064"/>
        <v>70</v>
      </c>
      <c r="F1184" s="104" t="s">
        <v>695</v>
      </c>
      <c r="G1184" s="103" t="str">
        <f t="shared" si="1049"/>
        <v>O</v>
      </c>
      <c r="H1184" s="103" t="str">
        <f t="shared" si="1065"/>
        <v>space</v>
      </c>
      <c r="I1184" s="104" t="str">
        <f t="shared" si="1066"/>
        <v/>
      </c>
      <c r="J1184" s="104" t="str">
        <f t="shared" si="1067"/>
        <v/>
      </c>
      <c r="K1184" s="104"/>
      <c r="L1184" s="105"/>
      <c r="M1184" s="104"/>
      <c r="N1184" s="104"/>
      <c r="O1184" s="104"/>
      <c r="P1184" s="104"/>
      <c r="Q1184" s="104"/>
      <c r="R1184" s="104"/>
      <c r="S1184" s="104"/>
      <c r="T1184" s="107"/>
      <c r="U1184" s="107"/>
    </row>
    <row r="1185" ht="15.75" hidden="1" customHeight="1">
      <c r="A1185" s="196" t="s">
        <v>92</v>
      </c>
      <c r="B1185" s="104" t="str">
        <f>"AlternateEmailID"</f>
        <v>AlternateEmailID</v>
      </c>
      <c r="C1185" s="104" t="str">
        <f>"yfs_person_info.alternate_emailid"</f>
        <v>yfs_person_info.alternate_emailid</v>
      </c>
      <c r="D1185" s="104" t="str">
        <f t="shared" si="1063"/>
        <v>string</v>
      </c>
      <c r="E1185" s="105" t="str">
        <f>"150"</f>
        <v>150</v>
      </c>
      <c r="F1185" s="104" t="s">
        <v>696</v>
      </c>
      <c r="G1185" s="103" t="str">
        <f t="shared" si="1049"/>
        <v>O</v>
      </c>
      <c r="H1185" s="103" t="str">
        <f t="shared" si="1065"/>
        <v>space</v>
      </c>
      <c r="I1185" s="104" t="str">
        <f t="shared" si="1066"/>
        <v/>
      </c>
      <c r="J1185" s="104" t="str">
        <f>"john.doe@workplace.com"</f>
        <v>john.doe@workplace.com</v>
      </c>
      <c r="K1185" s="104"/>
      <c r="L1185" s="105"/>
      <c r="M1185" s="104"/>
      <c r="N1185" s="104"/>
      <c r="O1185" s="104"/>
      <c r="P1185" s="104"/>
      <c r="Q1185" s="104"/>
      <c r="R1185" s="104"/>
      <c r="S1185" s="104"/>
      <c r="T1185" s="107"/>
      <c r="U1185" s="107"/>
    </row>
    <row r="1186" ht="15.75" hidden="1" customHeight="1">
      <c r="A1186" s="196" t="s">
        <v>92</v>
      </c>
      <c r="B1186" s="104" t="str">
        <f>"Beeper"</f>
        <v>Beeper</v>
      </c>
      <c r="C1186" s="104" t="str">
        <f>"yfs_person_info.beeper"</f>
        <v>yfs_person_info.beeper</v>
      </c>
      <c r="D1186" s="104" t="str">
        <f t="shared" si="1063"/>
        <v>string</v>
      </c>
      <c r="E1186" s="105" t="str">
        <f>"40"</f>
        <v>40</v>
      </c>
      <c r="F1186" s="104" t="s">
        <v>697</v>
      </c>
      <c r="G1186" s="103" t="str">
        <f t="shared" si="1049"/>
        <v>O</v>
      </c>
      <c r="H1186" s="103" t="str">
        <f t="shared" si="1065"/>
        <v>space</v>
      </c>
      <c r="I1186" s="104" t="str">
        <f t="shared" si="1066"/>
        <v/>
      </c>
      <c r="J1186" s="104" t="str">
        <f>""</f>
        <v/>
      </c>
      <c r="K1186" s="104"/>
      <c r="L1186" s="105"/>
      <c r="M1186" s="104"/>
      <c r="N1186" s="104"/>
      <c r="O1186" s="104"/>
      <c r="P1186" s="104"/>
      <c r="Q1186" s="104"/>
      <c r="R1186" s="104"/>
      <c r="S1186" s="104"/>
      <c r="T1186" s="107"/>
      <c r="U1186" s="107"/>
    </row>
    <row r="1187" ht="15.75" hidden="1" customHeight="1">
      <c r="A1187" s="196" t="s">
        <v>92</v>
      </c>
      <c r="B1187" s="104" t="str">
        <f>"City"</f>
        <v>City</v>
      </c>
      <c r="C1187" s="104" t="str">
        <f>"yfs_person_info.city"</f>
        <v>yfs_person_info.city</v>
      </c>
      <c r="D1187" s="104" t="str">
        <f t="shared" si="1063"/>
        <v>string</v>
      </c>
      <c r="E1187" s="105" t="str">
        <f>"35"</f>
        <v>35</v>
      </c>
      <c r="F1187" s="104" t="s">
        <v>704</v>
      </c>
      <c r="G1187" s="103" t="str">
        <f t="shared" si="1049"/>
        <v>O</v>
      </c>
      <c r="H1187" s="103" t="str">
        <f t="shared" si="1065"/>
        <v>space</v>
      </c>
      <c r="I1187" s="104" t="str">
        <f t="shared" si="1066"/>
        <v/>
      </c>
      <c r="J1187" s="104" t="str">
        <f>"Foxboro"</f>
        <v>Foxboro</v>
      </c>
      <c r="K1187" s="104"/>
      <c r="L1187" s="105"/>
      <c r="M1187" s="104"/>
      <c r="N1187" s="104"/>
      <c r="O1187" s="104"/>
      <c r="P1187" s="104"/>
      <c r="Q1187" s="104"/>
      <c r="R1187" s="104"/>
      <c r="S1187" s="104"/>
      <c r="T1187" s="107"/>
      <c r="U1187" s="107"/>
    </row>
    <row r="1188" ht="15.75" hidden="1" customHeight="1">
      <c r="A1188" s="196" t="s">
        <v>92</v>
      </c>
      <c r="B1188" s="104" t="str">
        <f>"Company"</f>
        <v>Company</v>
      </c>
      <c r="C1188" s="104" t="str">
        <f>"yfs_person_info.company"</f>
        <v>yfs_person_info.company</v>
      </c>
      <c r="D1188" s="104" t="str">
        <f>"UNKNOWN"</f>
        <v>UNKNOWN</v>
      </c>
      <c r="E1188" s="105" t="str">
        <f>""</f>
        <v/>
      </c>
      <c r="F1188" s="104" t="s">
        <v>706</v>
      </c>
      <c r="G1188" s="103" t="str">
        <f t="shared" si="1049"/>
        <v>O</v>
      </c>
      <c r="H1188" s="103" t="str">
        <f t="shared" si="1065"/>
        <v>space</v>
      </c>
      <c r="I1188" s="104" t="str">
        <f t="shared" si="1066"/>
        <v/>
      </c>
      <c r="J1188" s="104" t="str">
        <f>"Things 'R Us"</f>
        <v>Things 'R Us</v>
      </c>
      <c r="K1188" s="104"/>
      <c r="L1188" s="105"/>
      <c r="M1188" s="104"/>
      <c r="N1188" s="104"/>
      <c r="O1188" s="104"/>
      <c r="P1188" s="104"/>
      <c r="Q1188" s="104"/>
      <c r="R1188" s="104"/>
      <c r="S1188" s="104"/>
      <c r="T1188" s="107"/>
      <c r="U1188" s="107"/>
    </row>
    <row r="1189" ht="15.75" hidden="1" customHeight="1">
      <c r="A1189" s="196" t="s">
        <v>92</v>
      </c>
      <c r="B1189" s="104" t="str">
        <f>"Country"</f>
        <v>Country</v>
      </c>
      <c r="C1189" s="104" t="str">
        <f>"yfs_person_info.country"</f>
        <v>yfs_person_info.country</v>
      </c>
      <c r="D1189" s="104" t="str">
        <f t="shared" ref="D1189:D1191" si="1068">"string"</f>
        <v>string</v>
      </c>
      <c r="E1189" s="105" t="str">
        <f t="shared" ref="E1189:E1191" si="1069">"40"</f>
        <v>40</v>
      </c>
      <c r="F1189" s="104" t="s">
        <v>708</v>
      </c>
      <c r="G1189" s="103" t="str">
        <f t="shared" si="1049"/>
        <v>O</v>
      </c>
      <c r="H1189" s="103" t="str">
        <f t="shared" si="1065"/>
        <v>space</v>
      </c>
      <c r="I1189" s="104" t="str">
        <f t="shared" si="1066"/>
        <v/>
      </c>
      <c r="J1189" s="104" t="str">
        <f>"US"</f>
        <v>US</v>
      </c>
      <c r="K1189" s="104"/>
      <c r="L1189" s="105"/>
      <c r="M1189" s="104"/>
      <c r="N1189" s="104"/>
      <c r="O1189" s="104"/>
      <c r="P1189" s="104"/>
      <c r="Q1189" s="104"/>
      <c r="R1189" s="104"/>
      <c r="S1189" s="104"/>
      <c r="T1189" s="107"/>
      <c r="U1189" s="107"/>
    </row>
    <row r="1190" ht="15.75" hidden="1" customHeight="1">
      <c r="A1190" s="196" t="s">
        <v>92</v>
      </c>
      <c r="B1190" s="104" t="str">
        <f>"DayFaxNo"</f>
        <v>DayFaxNo</v>
      </c>
      <c r="C1190" s="104" t="str">
        <f>"yfs_person_info.day_fax_no"</f>
        <v>yfs_person_info.day_fax_no</v>
      </c>
      <c r="D1190" s="104" t="str">
        <f t="shared" si="1068"/>
        <v>string</v>
      </c>
      <c r="E1190" s="105" t="str">
        <f t="shared" si="1069"/>
        <v>40</v>
      </c>
      <c r="F1190" s="104" t="s">
        <v>712</v>
      </c>
      <c r="G1190" s="103" t="str">
        <f t="shared" si="1049"/>
        <v>O</v>
      </c>
      <c r="H1190" s="103" t="str">
        <f t="shared" si="1065"/>
        <v>space</v>
      </c>
      <c r="I1190" s="104" t="str">
        <f t="shared" si="1066"/>
        <v/>
      </c>
      <c r="J1190" s="104" t="str">
        <f>""</f>
        <v/>
      </c>
      <c r="K1190" s="104"/>
      <c r="L1190" s="105"/>
      <c r="M1190" s="104"/>
      <c r="N1190" s="104"/>
      <c r="O1190" s="104"/>
      <c r="P1190" s="104"/>
      <c r="Q1190" s="104"/>
      <c r="R1190" s="104"/>
      <c r="S1190" s="104"/>
      <c r="T1190" s="107"/>
      <c r="U1190" s="107"/>
    </row>
    <row r="1191" ht="15.75" hidden="1" customHeight="1">
      <c r="A1191" s="196" t="s">
        <v>92</v>
      </c>
      <c r="B1191" s="104" t="str">
        <f>"DayPhone"</f>
        <v>DayPhone</v>
      </c>
      <c r="C1191" s="104" t="str">
        <f>"yfs_person_info.day_phone"</f>
        <v>yfs_person_info.day_phone</v>
      </c>
      <c r="D1191" s="104" t="str">
        <f t="shared" si="1068"/>
        <v>string</v>
      </c>
      <c r="E1191" s="105" t="str">
        <f t="shared" si="1069"/>
        <v>40</v>
      </c>
      <c r="F1191" s="104" t="s">
        <v>713</v>
      </c>
      <c r="G1191" s="103" t="str">
        <f t="shared" si="1049"/>
        <v>O</v>
      </c>
      <c r="H1191" s="103" t="str">
        <f t="shared" si="1065"/>
        <v>space</v>
      </c>
      <c r="I1191" s="104" t="str">
        <f t="shared" si="1066"/>
        <v/>
      </c>
      <c r="J1191" s="104" t="str">
        <f>"(508) 555-1212"</f>
        <v>(508) 555-1212</v>
      </c>
      <c r="K1191" s="104"/>
      <c r="L1191" s="105"/>
      <c r="M1191" s="104"/>
      <c r="N1191" s="104"/>
      <c r="O1191" s="104"/>
      <c r="P1191" s="104"/>
      <c r="Q1191" s="104"/>
      <c r="R1191" s="104"/>
      <c r="S1191" s="104"/>
      <c r="T1191" s="107"/>
      <c r="U1191" s="107"/>
    </row>
    <row r="1192" ht="15.75" hidden="1" customHeight="1">
      <c r="A1192" s="196" t="s">
        <v>92</v>
      </c>
      <c r="B1192" s="104" t="str">
        <f>"Department"</f>
        <v>Department</v>
      </c>
      <c r="C1192" s="104" t="str">
        <f>"yfs_person_info.department"</f>
        <v>yfs_person_info.department</v>
      </c>
      <c r="D1192" s="104" t="str">
        <f>"UNKNOWN"</f>
        <v>UNKNOWN</v>
      </c>
      <c r="E1192" s="105" t="str">
        <f>""</f>
        <v/>
      </c>
      <c r="F1192" s="104" t="s">
        <v>715</v>
      </c>
      <c r="G1192" s="103" t="str">
        <f t="shared" si="1049"/>
        <v>O</v>
      </c>
      <c r="H1192" s="103" t="str">
        <f t="shared" si="1065"/>
        <v>space</v>
      </c>
      <c r="I1192" s="104" t="str">
        <f t="shared" si="1066"/>
        <v/>
      </c>
      <c r="J1192" s="104" t="str">
        <f>""</f>
        <v/>
      </c>
      <c r="K1192" s="104"/>
      <c r="L1192" s="105"/>
      <c r="M1192" s="104"/>
      <c r="N1192" s="104"/>
      <c r="O1192" s="104"/>
      <c r="P1192" s="104"/>
      <c r="Q1192" s="104"/>
      <c r="R1192" s="104"/>
      <c r="S1192" s="104"/>
      <c r="T1192" s="107"/>
      <c r="U1192" s="107"/>
    </row>
    <row r="1193" ht="15.75" hidden="1" customHeight="1">
      <c r="A1193" s="196" t="s">
        <v>92</v>
      </c>
      <c r="B1193" s="104" t="str">
        <f>"EMailID"</f>
        <v>EMailID</v>
      </c>
      <c r="C1193" s="104" t="str">
        <f>"yfs_person_info.emailid"</f>
        <v>yfs_person_info.emailid</v>
      </c>
      <c r="D1193" s="104" t="str">
        <f t="shared" ref="D1193:D1195" si="1070">"string"</f>
        <v>string</v>
      </c>
      <c r="E1193" s="105" t="str">
        <f>"150"</f>
        <v>150</v>
      </c>
      <c r="F1193" s="104" t="s">
        <v>716</v>
      </c>
      <c r="G1193" s="103" t="str">
        <f t="shared" si="1049"/>
        <v>O</v>
      </c>
      <c r="H1193" s="103" t="str">
        <f t="shared" si="1065"/>
        <v>space</v>
      </c>
      <c r="I1193" s="104" t="str">
        <f t="shared" si="1066"/>
        <v/>
      </c>
      <c r="J1193" s="104" t="str">
        <f>"john.doe@mail.com"</f>
        <v>john.doe@mail.com</v>
      </c>
      <c r="K1193" s="104"/>
      <c r="L1193" s="105"/>
      <c r="M1193" s="104"/>
      <c r="N1193" s="104"/>
      <c r="O1193" s="104"/>
      <c r="P1193" s="104"/>
      <c r="Q1193" s="104"/>
      <c r="R1193" s="104"/>
      <c r="S1193" s="104"/>
      <c r="T1193" s="107"/>
      <c r="U1193" s="107"/>
    </row>
    <row r="1194" ht="15.75" hidden="1" customHeight="1">
      <c r="A1194" s="196" t="s">
        <v>92</v>
      </c>
      <c r="B1194" s="104" t="str">
        <f>"EveningFaxNo"</f>
        <v>EveningFaxNo</v>
      </c>
      <c r="C1194" s="104" t="str">
        <f>"yfs_person_info.evening_fax_no"</f>
        <v>yfs_person_info.evening_fax_no</v>
      </c>
      <c r="D1194" s="104" t="str">
        <f t="shared" si="1070"/>
        <v>string</v>
      </c>
      <c r="E1194" s="105" t="str">
        <f t="shared" ref="E1194:E1195" si="1071">"40"</f>
        <v>40</v>
      </c>
      <c r="F1194" s="104" t="s">
        <v>718</v>
      </c>
      <c r="G1194" s="103" t="str">
        <f t="shared" si="1049"/>
        <v>O</v>
      </c>
      <c r="H1194" s="103" t="str">
        <f t="shared" si="1065"/>
        <v>space</v>
      </c>
      <c r="I1194" s="104" t="str">
        <f t="shared" si="1066"/>
        <v/>
      </c>
      <c r="J1194" s="104" t="str">
        <f>"(617) 555-3333"</f>
        <v>(617) 555-3333</v>
      </c>
      <c r="K1194" s="104"/>
      <c r="L1194" s="105"/>
      <c r="M1194" s="104"/>
      <c r="N1194" s="104"/>
      <c r="O1194" s="104"/>
      <c r="P1194" s="104"/>
      <c r="Q1194" s="104"/>
      <c r="R1194" s="104"/>
      <c r="S1194" s="104"/>
      <c r="T1194" s="107"/>
      <c r="U1194" s="107"/>
    </row>
    <row r="1195" ht="15.75" hidden="1" customHeight="1">
      <c r="A1195" s="196" t="s">
        <v>92</v>
      </c>
      <c r="B1195" s="104" t="str">
        <f>"EveningPhone"</f>
        <v>EveningPhone</v>
      </c>
      <c r="C1195" s="104" t="str">
        <f>"yfs_person_info.evening_phone"</f>
        <v>yfs_person_info.evening_phone</v>
      </c>
      <c r="D1195" s="104" t="str">
        <f t="shared" si="1070"/>
        <v>string</v>
      </c>
      <c r="E1195" s="105" t="str">
        <f t="shared" si="1071"/>
        <v>40</v>
      </c>
      <c r="F1195" s="104" t="s">
        <v>719</v>
      </c>
      <c r="G1195" s="103" t="str">
        <f t="shared" si="1049"/>
        <v>O</v>
      </c>
      <c r="H1195" s="103" t="str">
        <f t="shared" si="1065"/>
        <v>space</v>
      </c>
      <c r="I1195" s="104" t="str">
        <f t="shared" si="1066"/>
        <v/>
      </c>
      <c r="J1195" s="104" t="str">
        <f>"(617) 555-1212"</f>
        <v>(617) 555-1212</v>
      </c>
      <c r="K1195" s="104"/>
      <c r="L1195" s="105"/>
      <c r="M1195" s="104"/>
      <c r="N1195" s="104"/>
      <c r="O1195" s="104"/>
      <c r="P1195" s="104"/>
      <c r="Q1195" s="104"/>
      <c r="R1195" s="104"/>
      <c r="S1195" s="104"/>
      <c r="T1195" s="107"/>
      <c r="U1195" s="107"/>
    </row>
    <row r="1196" ht="15.75" hidden="1" customHeight="1">
      <c r="A1196" s="196" t="s">
        <v>92</v>
      </c>
      <c r="B1196" s="104" t="str">
        <f>"FirstName"</f>
        <v>FirstName</v>
      </c>
      <c r="C1196" s="104" t="str">
        <f>"yfs_person_info.first_name"</f>
        <v>yfs_person_info.first_name</v>
      </c>
      <c r="D1196" s="104" t="str">
        <f>"UNKNOWN"</f>
        <v>UNKNOWN</v>
      </c>
      <c r="E1196" s="105" t="str">
        <f>""</f>
        <v/>
      </c>
      <c r="F1196" s="104" t="s">
        <v>720</v>
      </c>
      <c r="G1196" s="103" t="str">
        <f t="shared" si="1049"/>
        <v>O</v>
      </c>
      <c r="H1196" s="103" t="str">
        <f t="shared" si="1065"/>
        <v>space</v>
      </c>
      <c r="I1196" s="104" t="str">
        <f t="shared" si="1066"/>
        <v/>
      </c>
      <c r="J1196" s="104" t="str">
        <f>"John"</f>
        <v>John</v>
      </c>
      <c r="K1196" s="104"/>
      <c r="L1196" s="105"/>
      <c r="M1196" s="104"/>
      <c r="N1196" s="104"/>
      <c r="O1196" s="104"/>
      <c r="P1196" s="104"/>
      <c r="Q1196" s="104"/>
      <c r="R1196" s="104"/>
      <c r="S1196" s="104"/>
      <c r="T1196" s="107"/>
      <c r="U1196" s="107"/>
    </row>
    <row r="1197" ht="15.75" hidden="1" customHeight="1">
      <c r="A1197" s="196" t="s">
        <v>92</v>
      </c>
      <c r="B1197" s="104" t="str">
        <f>"IsAddressVerified"</f>
        <v>IsAddressVerified</v>
      </c>
      <c r="C1197" s="104" t="str">
        <f>"yfs_person_info.is_address_verified"</f>
        <v>yfs_person_info.is_address_verified</v>
      </c>
      <c r="D1197" s="104" t="str">
        <f t="shared" ref="D1197:D1198" si="1072">"string"</f>
        <v>string</v>
      </c>
      <c r="E1197" s="105" t="str">
        <f t="shared" ref="E1197:E1198" si="1073">"1"</f>
        <v>1</v>
      </c>
      <c r="F1197" s="104" t="s">
        <v>1128</v>
      </c>
      <c r="G1197" s="103" t="str">
        <f t="shared" si="1049"/>
        <v>O</v>
      </c>
      <c r="H1197" s="103" t="str">
        <f t="shared" ref="H1197:H1198" si="1074">"null"</f>
        <v>null</v>
      </c>
      <c r="I1197" s="104" t="str">
        <f t="shared" si="1066"/>
        <v/>
      </c>
      <c r="J1197" s="104" t="str">
        <f t="shared" ref="J1197:J1198" si="1075">"Y"</f>
        <v>Y</v>
      </c>
      <c r="K1197" s="104"/>
      <c r="L1197" s="105"/>
      <c r="M1197" s="104"/>
      <c r="N1197" s="104"/>
      <c r="O1197" s="104"/>
      <c r="P1197" s="104"/>
      <c r="Q1197" s="104"/>
      <c r="R1197" s="104"/>
      <c r="S1197" s="104"/>
      <c r="T1197" s="107"/>
      <c r="U1197" s="107"/>
    </row>
    <row r="1198" ht="15.75" hidden="1" customHeight="1">
      <c r="A1198" s="196" t="s">
        <v>92</v>
      </c>
      <c r="B1198" s="104" t="str">
        <f>"IsCommercialAddress"</f>
        <v>IsCommercialAddress</v>
      </c>
      <c r="C1198" s="104" t="str">
        <f>"yfs_person_info.is_commercial_address"</f>
        <v>yfs_person_info.is_commercial_address</v>
      </c>
      <c r="D1198" s="104" t="str">
        <f t="shared" si="1072"/>
        <v>string</v>
      </c>
      <c r="E1198" s="105" t="str">
        <f t="shared" si="1073"/>
        <v>1</v>
      </c>
      <c r="F1198" s="104" t="s">
        <v>722</v>
      </c>
      <c r="G1198" s="103" t="str">
        <f t="shared" si="1049"/>
        <v>O</v>
      </c>
      <c r="H1198" s="103" t="str">
        <f t="shared" si="1074"/>
        <v>null</v>
      </c>
      <c r="I1198" s="104" t="str">
        <f t="shared" si="1066"/>
        <v/>
      </c>
      <c r="J1198" s="104" t="str">
        <f t="shared" si="1075"/>
        <v>Y</v>
      </c>
      <c r="K1198" s="104"/>
      <c r="L1198" s="105"/>
      <c r="M1198" s="104"/>
      <c r="N1198" s="104"/>
      <c r="O1198" s="104"/>
      <c r="P1198" s="104"/>
      <c r="Q1198" s="104"/>
      <c r="R1198" s="104"/>
      <c r="S1198" s="104"/>
      <c r="T1198" s="107"/>
      <c r="U1198" s="107"/>
    </row>
    <row r="1199" ht="15.75" hidden="1" customHeight="1">
      <c r="A1199" s="196" t="s">
        <v>92</v>
      </c>
      <c r="B1199" s="104" t="str">
        <f>"JobTitle"</f>
        <v>JobTitle</v>
      </c>
      <c r="C1199" s="104" t="str">
        <f>"yfs_person_info.job_title"</f>
        <v>yfs_person_info.job_title</v>
      </c>
      <c r="D1199" s="104" t="str">
        <f t="shared" ref="D1199:D1203" si="1076">"UNKNOWN"</f>
        <v>UNKNOWN</v>
      </c>
      <c r="E1199" s="105" t="str">
        <f t="shared" ref="E1199:E1203" si="1077">""</f>
        <v/>
      </c>
      <c r="F1199" s="104" t="s">
        <v>723</v>
      </c>
      <c r="G1199" s="103" t="str">
        <f t="shared" si="1049"/>
        <v>O</v>
      </c>
      <c r="H1199" s="103" t="str">
        <f t="shared" ref="H1199:H1200" si="1078">"space"</f>
        <v>space</v>
      </c>
      <c r="I1199" s="104" t="str">
        <f t="shared" si="1066"/>
        <v/>
      </c>
      <c r="J1199" s="104" t="str">
        <f>"Procurement Manager"</f>
        <v>Procurement Manager</v>
      </c>
      <c r="K1199" s="104"/>
      <c r="L1199" s="105"/>
      <c r="M1199" s="104"/>
      <c r="N1199" s="104"/>
      <c r="O1199" s="104"/>
      <c r="P1199" s="104"/>
      <c r="Q1199" s="104"/>
      <c r="R1199" s="104"/>
      <c r="S1199" s="104"/>
      <c r="T1199" s="107"/>
      <c r="U1199" s="107"/>
    </row>
    <row r="1200" ht="15.75" hidden="1" customHeight="1">
      <c r="A1200" s="196" t="s">
        <v>92</v>
      </c>
      <c r="B1200" s="104" t="str">
        <f>"LastName"</f>
        <v>LastName</v>
      </c>
      <c r="C1200" s="104" t="str">
        <f>"yfs_person_info.last_name"</f>
        <v>yfs_person_info.last_name</v>
      </c>
      <c r="D1200" s="104" t="str">
        <f t="shared" si="1076"/>
        <v>UNKNOWN</v>
      </c>
      <c r="E1200" s="105" t="str">
        <f t="shared" si="1077"/>
        <v/>
      </c>
      <c r="F1200" s="104" t="s">
        <v>724</v>
      </c>
      <c r="G1200" s="103" t="str">
        <f t="shared" si="1049"/>
        <v>O</v>
      </c>
      <c r="H1200" s="103" t="str">
        <f t="shared" si="1078"/>
        <v>space</v>
      </c>
      <c r="I1200" s="104" t="str">
        <f t="shared" si="1066"/>
        <v/>
      </c>
      <c r="J1200" s="104" t="str">
        <f>"Doe"</f>
        <v>Doe</v>
      </c>
      <c r="K1200" s="104"/>
      <c r="L1200" s="105"/>
      <c r="M1200" s="104"/>
      <c r="N1200" s="104"/>
      <c r="O1200" s="104"/>
      <c r="P1200" s="104"/>
      <c r="Q1200" s="104"/>
      <c r="R1200" s="104"/>
      <c r="S1200" s="104"/>
      <c r="T1200" s="107"/>
      <c r="U1200" s="107"/>
    </row>
    <row r="1201" ht="15.75" hidden="1" customHeight="1">
      <c r="A1201" s="196" t="s">
        <v>92</v>
      </c>
      <c r="B1201" s="104" t="str">
        <f>"Latitude"</f>
        <v>Latitude</v>
      </c>
      <c r="C1201" s="104" t="str">
        <f>"yfs_person_info.latitude"</f>
        <v>yfs_person_info.latitude</v>
      </c>
      <c r="D1201" s="104" t="str">
        <f t="shared" si="1076"/>
        <v>UNKNOWN</v>
      </c>
      <c r="E1201" s="105" t="str">
        <f t="shared" si="1077"/>
        <v/>
      </c>
      <c r="F1201" s="104" t="s">
        <v>1129</v>
      </c>
      <c r="G1201" s="103" t="str">
        <f t="shared" si="1049"/>
        <v>O</v>
      </c>
      <c r="H1201" s="103" t="str">
        <f t="shared" ref="H1201:H1202" si="1079">"null"</f>
        <v>null</v>
      </c>
      <c r="I1201" s="104" t="str">
        <f t="shared" si="1066"/>
        <v/>
      </c>
      <c r="J1201" s="104" t="str">
        <f>"42.062204"</f>
        <v>42.062204</v>
      </c>
      <c r="K1201" s="104"/>
      <c r="L1201" s="105"/>
      <c r="M1201" s="104"/>
      <c r="N1201" s="104"/>
      <c r="O1201" s="104"/>
      <c r="P1201" s="104"/>
      <c r="Q1201" s="104"/>
      <c r="R1201" s="104"/>
      <c r="S1201" s="104"/>
      <c r="T1201" s="107"/>
      <c r="U1201" s="107"/>
    </row>
    <row r="1202" ht="15.75" hidden="1" customHeight="1">
      <c r="A1202" s="196" t="s">
        <v>92</v>
      </c>
      <c r="B1202" s="104" t="str">
        <f>"Longitude"</f>
        <v>Longitude</v>
      </c>
      <c r="C1202" s="104" t="str">
        <f>"yfs_person_info.longitude"</f>
        <v>yfs_person_info.longitude</v>
      </c>
      <c r="D1202" s="104" t="str">
        <f t="shared" si="1076"/>
        <v>UNKNOWN</v>
      </c>
      <c r="E1202" s="105" t="str">
        <f t="shared" si="1077"/>
        <v/>
      </c>
      <c r="F1202" s="104" t="s">
        <v>1130</v>
      </c>
      <c r="G1202" s="103" t="str">
        <f t="shared" si="1049"/>
        <v>O</v>
      </c>
      <c r="H1202" s="103" t="str">
        <f t="shared" si="1079"/>
        <v>null</v>
      </c>
      <c r="I1202" s="104" t="str">
        <f t="shared" si="1066"/>
        <v/>
      </c>
      <c r="J1202" s="104" t="str">
        <f>"-071.235774"</f>
        <v>-071.235774</v>
      </c>
      <c r="K1202" s="104"/>
      <c r="L1202" s="105"/>
      <c r="M1202" s="104"/>
      <c r="N1202" s="104"/>
      <c r="O1202" s="104"/>
      <c r="P1202" s="104"/>
      <c r="Q1202" s="104"/>
      <c r="R1202" s="104"/>
      <c r="S1202" s="104"/>
      <c r="T1202" s="107"/>
      <c r="U1202" s="107"/>
    </row>
    <row r="1203" ht="15.75" hidden="1" customHeight="1">
      <c r="A1203" s="196" t="s">
        <v>92</v>
      </c>
      <c r="B1203" s="104" t="str">
        <f>"MiddleName"</f>
        <v>MiddleName</v>
      </c>
      <c r="C1203" s="104" t="str">
        <f>"yfs_person_info.middle_name"</f>
        <v>yfs_person_info.middle_name</v>
      </c>
      <c r="D1203" s="104" t="str">
        <f t="shared" si="1076"/>
        <v>UNKNOWN</v>
      </c>
      <c r="E1203" s="105" t="str">
        <f t="shared" si="1077"/>
        <v/>
      </c>
      <c r="F1203" s="104" t="s">
        <v>726</v>
      </c>
      <c r="G1203" s="103" t="str">
        <f t="shared" si="1049"/>
        <v>O</v>
      </c>
      <c r="H1203" s="103" t="str">
        <f t="shared" ref="H1203:H1209" si="1080">"space"</f>
        <v>space</v>
      </c>
      <c r="I1203" s="104" t="str">
        <f t="shared" si="1066"/>
        <v/>
      </c>
      <c r="J1203" s="104" t="str">
        <f>"E"</f>
        <v>E</v>
      </c>
      <c r="K1203" s="104"/>
      <c r="L1203" s="105"/>
      <c r="M1203" s="104"/>
      <c r="N1203" s="104"/>
      <c r="O1203" s="104"/>
      <c r="P1203" s="104"/>
      <c r="Q1203" s="104"/>
      <c r="R1203" s="104"/>
      <c r="S1203" s="104"/>
      <c r="T1203" s="107"/>
      <c r="U1203" s="107"/>
    </row>
    <row r="1204" ht="15.75" hidden="1" customHeight="1">
      <c r="A1204" s="196" t="s">
        <v>92</v>
      </c>
      <c r="B1204" s="104" t="str">
        <f>"MobilePhone"</f>
        <v>MobilePhone</v>
      </c>
      <c r="C1204" s="104" t="str">
        <f>"yfs_person_info.mobile_phone"</f>
        <v>yfs_person_info.mobile_phone</v>
      </c>
      <c r="D1204" s="104" t="str">
        <f t="shared" ref="D1204:D1205" si="1081">"string"</f>
        <v>string</v>
      </c>
      <c r="E1204" s="105" t="str">
        <f t="shared" ref="E1204:E1205" si="1082">"40"</f>
        <v>40</v>
      </c>
      <c r="F1204" s="104" t="s">
        <v>730</v>
      </c>
      <c r="G1204" s="103" t="str">
        <f t="shared" si="1049"/>
        <v>O</v>
      </c>
      <c r="H1204" s="103" t="str">
        <f t="shared" si="1080"/>
        <v>space</v>
      </c>
      <c r="I1204" s="104" t="str">
        <f t="shared" si="1066"/>
        <v/>
      </c>
      <c r="J1204" s="104" t="str">
        <f>"(978) 555-1212"</f>
        <v>(978) 555-1212</v>
      </c>
      <c r="K1204" s="104"/>
      <c r="L1204" s="105"/>
      <c r="M1204" s="104"/>
      <c r="N1204" s="104"/>
      <c r="O1204" s="104"/>
      <c r="P1204" s="104"/>
      <c r="Q1204" s="104"/>
      <c r="R1204" s="104"/>
      <c r="S1204" s="104"/>
      <c r="T1204" s="107"/>
      <c r="U1204" s="107"/>
    </row>
    <row r="1205" ht="15.75" hidden="1" customHeight="1">
      <c r="A1205" s="196" t="s">
        <v>92</v>
      </c>
      <c r="B1205" s="104" t="str">
        <f>"OtherPhone"</f>
        <v>OtherPhone</v>
      </c>
      <c r="C1205" s="104" t="str">
        <f>"yfs_person_info.other_phone"</f>
        <v>yfs_person_info.other_phone</v>
      </c>
      <c r="D1205" s="104" t="str">
        <f t="shared" si="1081"/>
        <v>string</v>
      </c>
      <c r="E1205" s="105" t="str">
        <f t="shared" si="1082"/>
        <v>40</v>
      </c>
      <c r="F1205" s="104" t="s">
        <v>728</v>
      </c>
      <c r="G1205" s="103" t="str">
        <f t="shared" si="1049"/>
        <v>O</v>
      </c>
      <c r="H1205" s="103" t="str">
        <f t="shared" si="1080"/>
        <v>space</v>
      </c>
      <c r="I1205" s="104" t="str">
        <f t="shared" si="1066"/>
        <v/>
      </c>
      <c r="J1205" s="104" t="str">
        <f>"(781) 555-1212"</f>
        <v>(781) 555-1212</v>
      </c>
      <c r="K1205" s="104"/>
      <c r="L1205" s="105"/>
      <c r="M1205" s="104"/>
      <c r="N1205" s="104"/>
      <c r="O1205" s="104"/>
      <c r="P1205" s="104"/>
      <c r="Q1205" s="104"/>
      <c r="R1205" s="104"/>
      <c r="S1205" s="104"/>
      <c r="T1205" s="107"/>
      <c r="U1205" s="107"/>
    </row>
    <row r="1206" ht="15.75" hidden="1" customHeight="1">
      <c r="A1206" s="196" t="s">
        <v>92</v>
      </c>
      <c r="B1206" s="104" t="str">
        <f>"PersonID"</f>
        <v>PersonID</v>
      </c>
      <c r="C1206" s="104" t="str">
        <f>"yfs_person_info.person_id"</f>
        <v>yfs_person_info.person_id</v>
      </c>
      <c r="D1206" s="104" t="str">
        <f>"UNKNOWN"</f>
        <v>UNKNOWN</v>
      </c>
      <c r="E1206" s="105" t="str">
        <f>""</f>
        <v/>
      </c>
      <c r="F1206" s="104" t="s">
        <v>729</v>
      </c>
      <c r="G1206" s="103" t="str">
        <f t="shared" si="1049"/>
        <v>O</v>
      </c>
      <c r="H1206" s="103" t="str">
        <f t="shared" si="1080"/>
        <v>space</v>
      </c>
      <c r="I1206" s="104" t="str">
        <f t="shared" si="1066"/>
        <v/>
      </c>
      <c r="J1206" s="104" t="str">
        <f>""</f>
        <v/>
      </c>
      <c r="K1206" s="104"/>
      <c r="L1206" s="105"/>
      <c r="M1206" s="104"/>
      <c r="N1206" s="104"/>
      <c r="O1206" s="104"/>
      <c r="P1206" s="104"/>
      <c r="Q1206" s="104"/>
      <c r="R1206" s="104"/>
      <c r="S1206" s="104"/>
      <c r="T1206" s="107"/>
      <c r="U1206" s="107"/>
    </row>
    <row r="1207" ht="15.75" hidden="1" customHeight="1">
      <c r="A1207" s="196" t="s">
        <v>92</v>
      </c>
      <c r="B1207" s="104" t="str">
        <f>"PersonInfoKey"</f>
        <v>PersonInfoKey</v>
      </c>
      <c r="C1207" s="104" t="str">
        <f>"yfs_person_info.person_info_key"</f>
        <v>yfs_person_info.person_info_key</v>
      </c>
      <c r="D1207" s="104" t="str">
        <f t="shared" ref="D1207:D1208" si="1083">"string"</f>
        <v>string</v>
      </c>
      <c r="E1207" s="105" t="str">
        <f>"24"</f>
        <v>24</v>
      </c>
      <c r="F1207" s="104" t="s">
        <v>1131</v>
      </c>
      <c r="G1207" s="103" t="str">
        <f t="shared" si="1049"/>
        <v>O</v>
      </c>
      <c r="H1207" s="103" t="str">
        <f t="shared" si="1080"/>
        <v>space</v>
      </c>
      <c r="I1207" s="104" t="str">
        <f t="shared" si="1066"/>
        <v/>
      </c>
      <c r="J1207" s="104" t="str">
        <f>"2010050314595408336"</f>
        <v>2010050314595408336</v>
      </c>
      <c r="K1207" s="104"/>
      <c r="L1207" s="105"/>
      <c r="M1207" s="104"/>
      <c r="N1207" s="104"/>
      <c r="O1207" s="104"/>
      <c r="P1207" s="104"/>
      <c r="Q1207" s="104"/>
      <c r="R1207" s="104"/>
      <c r="S1207" s="104"/>
      <c r="T1207" s="107"/>
      <c r="U1207" s="107"/>
    </row>
    <row r="1208" ht="15.75" hidden="1" customHeight="1">
      <c r="A1208" s="196" t="s">
        <v>92</v>
      </c>
      <c r="B1208" s="104" t="str">
        <f>"State"</f>
        <v>State</v>
      </c>
      <c r="C1208" s="104" t="str">
        <f>"yfs_person_info.state"</f>
        <v>yfs_person_info.state</v>
      </c>
      <c r="D1208" s="104" t="str">
        <f t="shared" si="1083"/>
        <v>string</v>
      </c>
      <c r="E1208" s="105" t="str">
        <f>"35"</f>
        <v>35</v>
      </c>
      <c r="F1208" s="104" t="s">
        <v>731</v>
      </c>
      <c r="G1208" s="103" t="str">
        <f t="shared" si="1049"/>
        <v>O</v>
      </c>
      <c r="H1208" s="103" t="str">
        <f t="shared" si="1080"/>
        <v>space</v>
      </c>
      <c r="I1208" s="104" t="str">
        <f t="shared" si="1066"/>
        <v/>
      </c>
      <c r="J1208" s="104" t="str">
        <f>"MA"</f>
        <v>MA</v>
      </c>
      <c r="K1208" s="104"/>
      <c r="L1208" s="105"/>
      <c r="M1208" s="104"/>
      <c r="N1208" s="104"/>
      <c r="O1208" s="104"/>
      <c r="P1208" s="104"/>
      <c r="Q1208" s="104"/>
      <c r="R1208" s="104"/>
      <c r="S1208" s="104"/>
      <c r="T1208" s="107"/>
      <c r="U1208" s="107"/>
    </row>
    <row r="1209" ht="15.75" hidden="1" customHeight="1">
      <c r="A1209" s="196" t="s">
        <v>92</v>
      </c>
      <c r="B1209" s="104" t="str">
        <f>"Suffix"</f>
        <v>Suffix</v>
      </c>
      <c r="C1209" s="104" t="str">
        <f>"yfs_person_info.suffix"</f>
        <v>yfs_person_info.suffix</v>
      </c>
      <c r="D1209" s="104" t="str">
        <f t="shared" ref="D1209:D1211" si="1084">"UNKNOWN"</f>
        <v>UNKNOWN</v>
      </c>
      <c r="E1209" s="105" t="str">
        <f t="shared" ref="E1209:E1211" si="1085">""</f>
        <v/>
      </c>
      <c r="F1209" s="104" t="s">
        <v>735</v>
      </c>
      <c r="G1209" s="103" t="str">
        <f t="shared" si="1049"/>
        <v>O</v>
      </c>
      <c r="H1209" s="103" t="str">
        <f t="shared" si="1080"/>
        <v>space</v>
      </c>
      <c r="I1209" s="104" t="str">
        <f t="shared" si="1066"/>
        <v/>
      </c>
      <c r="J1209" s="104" t="str">
        <f t="shared" ref="J1209:J1210" si="1086">""</f>
        <v/>
      </c>
      <c r="K1209" s="104"/>
      <c r="L1209" s="105"/>
      <c r="M1209" s="104"/>
      <c r="N1209" s="104"/>
      <c r="O1209" s="104"/>
      <c r="P1209" s="104"/>
      <c r="Q1209" s="104"/>
      <c r="R1209" s="104"/>
      <c r="S1209" s="104"/>
      <c r="T1209" s="107"/>
      <c r="U1209" s="107"/>
    </row>
    <row r="1210" ht="15.75" hidden="1" customHeight="1">
      <c r="A1210" s="196" t="s">
        <v>92</v>
      </c>
      <c r="B1210" s="104" t="str">
        <f>"TaxGeoCode"</f>
        <v>TaxGeoCode</v>
      </c>
      <c r="C1210" s="104" t="str">
        <f>"yfs_person_info.tax_geo_code"</f>
        <v>yfs_person_info.tax_geo_code</v>
      </c>
      <c r="D1210" s="104" t="str">
        <f t="shared" si="1084"/>
        <v>UNKNOWN</v>
      </c>
      <c r="E1210" s="105" t="str">
        <f t="shared" si="1085"/>
        <v/>
      </c>
      <c r="F1210" s="104" t="s">
        <v>738</v>
      </c>
      <c r="G1210" s="103" t="str">
        <f t="shared" si="1049"/>
        <v>O</v>
      </c>
      <c r="H1210" s="103" t="str">
        <f>"null"</f>
        <v>null</v>
      </c>
      <c r="I1210" s="104" t="str">
        <f t="shared" si="1066"/>
        <v/>
      </c>
      <c r="J1210" s="104" t="str">
        <f t="shared" si="1086"/>
        <v/>
      </c>
      <c r="K1210" s="104"/>
      <c r="L1210" s="105"/>
      <c r="M1210" s="104"/>
      <c r="N1210" s="104"/>
      <c r="O1210" s="104"/>
      <c r="P1210" s="104"/>
      <c r="Q1210" s="104"/>
      <c r="R1210" s="104"/>
      <c r="S1210" s="104"/>
      <c r="T1210" s="107"/>
      <c r="U1210" s="107"/>
    </row>
    <row r="1211" ht="15.75" hidden="1" customHeight="1">
      <c r="A1211" s="196" t="s">
        <v>92</v>
      </c>
      <c r="B1211" s="104" t="str">
        <f>"Title"</f>
        <v>Title</v>
      </c>
      <c r="C1211" s="104" t="str">
        <f>"yfs_person_info.title"</f>
        <v>yfs_person_info.title</v>
      </c>
      <c r="D1211" s="104" t="str">
        <f t="shared" si="1084"/>
        <v>UNKNOWN</v>
      </c>
      <c r="E1211" s="105" t="str">
        <f t="shared" si="1085"/>
        <v/>
      </c>
      <c r="F1211" s="104" t="s">
        <v>739</v>
      </c>
      <c r="G1211" s="103" t="str">
        <f t="shared" si="1049"/>
        <v>O</v>
      </c>
      <c r="H1211" s="103" t="str">
        <f t="shared" ref="H1211:H1212" si="1087">"space"</f>
        <v>space</v>
      </c>
      <c r="I1211" s="104" t="str">
        <f t="shared" si="1066"/>
        <v/>
      </c>
      <c r="J1211" s="104" t="str">
        <f>"Mr"</f>
        <v>Mr</v>
      </c>
      <c r="K1211" s="104"/>
      <c r="L1211" s="105"/>
      <c r="M1211" s="104"/>
      <c r="N1211" s="104"/>
      <c r="O1211" s="104"/>
      <c r="P1211" s="104"/>
      <c r="Q1211" s="104"/>
      <c r="R1211" s="104"/>
      <c r="S1211" s="104"/>
      <c r="T1211" s="107"/>
      <c r="U1211" s="107"/>
    </row>
    <row r="1212" ht="15.75" hidden="1" customHeight="1">
      <c r="A1212" s="196" t="s">
        <v>92</v>
      </c>
      <c r="B1212" s="104" t="str">
        <f>"ZipCode"</f>
        <v>ZipCode</v>
      </c>
      <c r="C1212" s="104" t="str">
        <f>"yfs_person_info.zip_code"</f>
        <v>yfs_person_info.zip_code</v>
      </c>
      <c r="D1212" s="104" t="str">
        <f>"string"</f>
        <v>string</v>
      </c>
      <c r="E1212" s="105" t="str">
        <f>"35"</f>
        <v>35</v>
      </c>
      <c r="F1212" s="104" t="s">
        <v>743</v>
      </c>
      <c r="G1212" s="103" t="str">
        <f t="shared" si="1049"/>
        <v>O</v>
      </c>
      <c r="H1212" s="103" t="str">
        <f t="shared" si="1087"/>
        <v>space</v>
      </c>
      <c r="I1212" s="104" t="str">
        <f t="shared" si="1066"/>
        <v/>
      </c>
      <c r="J1212" s="104" t="str">
        <f>"02035-2531"</f>
        <v>02035-2531</v>
      </c>
      <c r="K1212" s="104"/>
      <c r="L1212" s="105"/>
      <c r="M1212" s="104"/>
      <c r="N1212" s="104"/>
      <c r="O1212" s="104"/>
      <c r="P1212" s="104"/>
      <c r="Q1212" s="104"/>
      <c r="R1212" s="104"/>
      <c r="S1212" s="104"/>
      <c r="T1212" s="107"/>
      <c r="U1212" s="107"/>
    </row>
    <row r="1213" ht="15.75" hidden="1" customHeight="1">
      <c r="A1213" s="196" t="s">
        <v>92</v>
      </c>
      <c r="B1213" s="170" t="str">
        <f>"/Order/Opportunity/Notes"</f>
        <v>/Order/Opportunity/Notes</v>
      </c>
      <c r="C1213" s="170"/>
      <c r="D1213" s="170"/>
      <c r="E1213" s="170"/>
      <c r="F1213" s="170"/>
      <c r="G1213" s="196" t="str">
        <f t="shared" si="1049"/>
        <v>O</v>
      </c>
      <c r="H1213" s="170"/>
      <c r="I1213" s="170"/>
      <c r="J1213" s="170"/>
      <c r="K1213" s="170"/>
      <c r="L1213" s="170"/>
      <c r="M1213" s="170"/>
      <c r="N1213" s="170"/>
      <c r="O1213" s="170"/>
      <c r="P1213" s="170"/>
      <c r="Q1213" s="170"/>
      <c r="R1213" s="170"/>
      <c r="S1213" s="170"/>
      <c r="T1213" s="197"/>
      <c r="U1213" s="197"/>
    </row>
    <row r="1214" ht="15.75" hidden="1" customHeight="1">
      <c r="A1214" s="196" t="s">
        <v>92</v>
      </c>
      <c r="B1214" s="170" t="str">
        <f>"/Order/Opportunity/Notes/Note/@"</f>
        <v>/Order/Opportunity/Notes/Note/@</v>
      </c>
      <c r="C1214" s="170"/>
      <c r="D1214" s="170"/>
      <c r="E1214" s="170"/>
      <c r="F1214" s="170"/>
      <c r="G1214" s="196" t="str">
        <f t="shared" si="1049"/>
        <v>O</v>
      </c>
      <c r="H1214" s="170"/>
      <c r="I1214" s="170"/>
      <c r="J1214" s="170"/>
      <c r="K1214" s="170"/>
      <c r="L1214" s="170"/>
      <c r="M1214" s="170"/>
      <c r="N1214" s="170"/>
      <c r="O1214" s="170"/>
      <c r="P1214" s="170"/>
      <c r="Q1214" s="170"/>
      <c r="R1214" s="170"/>
      <c r="S1214" s="170"/>
      <c r="T1214" s="197"/>
      <c r="U1214" s="197"/>
    </row>
    <row r="1215" ht="15.75" hidden="1" customHeight="1">
      <c r="A1215" s="196" t="s">
        <v>92</v>
      </c>
      <c r="B1215" s="104" t="str">
        <f>"AuditTransactionId"</f>
        <v>AuditTransactionId</v>
      </c>
      <c r="C1215" s="104" t="str">
        <f>"yfs_notes.audit_transaction_id"</f>
        <v>yfs_notes.audit_transaction_id</v>
      </c>
      <c r="D1215" s="104" t="str">
        <f>"string"</f>
        <v>string</v>
      </c>
      <c r="E1215" s="105" t="str">
        <f>"40"</f>
        <v>40</v>
      </c>
      <c r="F1215" s="104" t="s">
        <v>916</v>
      </c>
      <c r="G1215" s="103" t="str">
        <f t="shared" si="1049"/>
        <v>O</v>
      </c>
      <c r="H1215" s="103" t="str">
        <f t="shared" ref="H1215:H1216" si="1089">"space"</f>
        <v>space</v>
      </c>
      <c r="I1215" s="104" t="str">
        <f t="shared" ref="I1215:J1215" si="1088">""</f>
        <v/>
      </c>
      <c r="J1215" s="104" t="str">
        <f t="shared" si="1088"/>
        <v/>
      </c>
      <c r="K1215" s="104"/>
      <c r="L1215" s="105"/>
      <c r="M1215" s="104"/>
      <c r="N1215" s="104"/>
      <c r="O1215" s="104"/>
      <c r="P1215" s="104"/>
      <c r="Q1215" s="104"/>
      <c r="R1215" s="104"/>
      <c r="S1215" s="104"/>
      <c r="T1215" s="107"/>
      <c r="U1215" s="107"/>
    </row>
    <row r="1216" ht="15.75" hidden="1" customHeight="1">
      <c r="A1216" s="196" t="s">
        <v>92</v>
      </c>
      <c r="B1216" s="104" t="str">
        <f>"ContactReference"</f>
        <v>ContactReference</v>
      </c>
      <c r="C1216" s="104" t="str">
        <f>"yfs_notes.contact_reference"</f>
        <v>yfs_notes.contact_reference</v>
      </c>
      <c r="D1216" s="104" t="str">
        <f>"UNKNOWN"</f>
        <v>UNKNOWN</v>
      </c>
      <c r="E1216" s="105" t="str">
        <f>""</f>
        <v/>
      </c>
      <c r="F1216" s="104" t="s">
        <v>917</v>
      </c>
      <c r="G1216" s="103" t="str">
        <f t="shared" si="1049"/>
        <v>O</v>
      </c>
      <c r="H1216" s="103" t="str">
        <f t="shared" si="1089"/>
        <v>space</v>
      </c>
      <c r="I1216" s="104" t="str">
        <f t="shared" ref="I1216:J1216" si="1090">""</f>
        <v/>
      </c>
      <c r="J1216" s="104" t="str">
        <f t="shared" si="1090"/>
        <v/>
      </c>
      <c r="K1216" s="104"/>
      <c r="L1216" s="105"/>
      <c r="M1216" s="104"/>
      <c r="N1216" s="104"/>
      <c r="O1216" s="104"/>
      <c r="P1216" s="104"/>
      <c r="Q1216" s="104"/>
      <c r="R1216" s="104"/>
      <c r="S1216" s="104"/>
      <c r="T1216" s="107"/>
      <c r="U1216" s="107"/>
    </row>
    <row r="1217" ht="15.75" hidden="1" customHeight="1">
      <c r="A1217" s="196" t="s">
        <v>92</v>
      </c>
      <c r="B1217" s="104" t="str">
        <f>"ContactTime"</f>
        <v>ContactTime</v>
      </c>
      <c r="C1217" s="104" t="str">
        <f>"yfs_notes.contact_time"</f>
        <v>yfs_notes.contact_time</v>
      </c>
      <c r="D1217" s="104" t="str">
        <f>"dateTime"</f>
        <v>dateTime</v>
      </c>
      <c r="E1217" s="105" t="str">
        <f>"25"</f>
        <v>25</v>
      </c>
      <c r="F1217" s="104" t="s">
        <v>918</v>
      </c>
      <c r="G1217" s="103" t="str">
        <f t="shared" si="1049"/>
        <v>O</v>
      </c>
      <c r="H1217" s="103" t="str">
        <f>"sysdate "</f>
        <v>sysdate </v>
      </c>
      <c r="I1217" s="104" t="str">
        <f t="shared" ref="I1217:J1217" si="1091">""</f>
        <v/>
      </c>
      <c r="J1217" s="104" t="str">
        <f t="shared" si="1091"/>
        <v/>
      </c>
      <c r="K1217" s="104"/>
      <c r="L1217" s="105"/>
      <c r="M1217" s="104"/>
      <c r="N1217" s="104"/>
      <c r="O1217" s="104"/>
      <c r="P1217" s="104"/>
      <c r="Q1217" s="104"/>
      <c r="R1217" s="104"/>
      <c r="S1217" s="104"/>
      <c r="T1217" s="107"/>
      <c r="U1217" s="107"/>
    </row>
    <row r="1218" ht="15.75" hidden="1" customHeight="1">
      <c r="A1218" s="196" t="s">
        <v>92</v>
      </c>
      <c r="B1218" s="104" t="str">
        <f>"ContactType"</f>
        <v>ContactType</v>
      </c>
      <c r="C1218" s="104" t="str">
        <f>"yfs_notes.contact_type"</f>
        <v>yfs_notes.contact_type</v>
      </c>
      <c r="D1218" s="104" t="str">
        <f t="shared" ref="D1218:D1219" si="1093">"string"</f>
        <v>string</v>
      </c>
      <c r="E1218" s="105" t="str">
        <f>"100"</f>
        <v>100</v>
      </c>
      <c r="F1218" s="104" t="s">
        <v>919</v>
      </c>
      <c r="G1218" s="103" t="str">
        <f t="shared" si="1049"/>
        <v>O</v>
      </c>
      <c r="H1218" s="103" t="str">
        <f t="shared" ref="H1218:H1221" si="1094">"space"</f>
        <v>space</v>
      </c>
      <c r="I1218" s="104" t="str">
        <f t="shared" ref="I1218:J1218" si="1092">""</f>
        <v/>
      </c>
      <c r="J1218" s="104" t="str">
        <f t="shared" si="1092"/>
        <v/>
      </c>
      <c r="K1218" s="104"/>
      <c r="L1218" s="105"/>
      <c r="M1218" s="104"/>
      <c r="N1218" s="104"/>
      <c r="O1218" s="104"/>
      <c r="P1218" s="104"/>
      <c r="Q1218" s="104"/>
      <c r="R1218" s="104"/>
      <c r="S1218" s="104"/>
      <c r="T1218" s="107"/>
      <c r="U1218" s="107"/>
    </row>
    <row r="1219" ht="15.75" hidden="1" customHeight="1">
      <c r="A1219" s="196" t="s">
        <v>92</v>
      </c>
      <c r="B1219" s="104" t="str">
        <f>"ContactUser"</f>
        <v>ContactUser</v>
      </c>
      <c r="C1219" s="104" t="str">
        <f>"yfs_notes.contact_user"</f>
        <v>yfs_notes.contact_user</v>
      </c>
      <c r="D1219" s="104" t="str">
        <f t="shared" si="1093"/>
        <v>string</v>
      </c>
      <c r="E1219" s="105" t="str">
        <f>"40"</f>
        <v>40</v>
      </c>
      <c r="F1219" s="104" t="s">
        <v>920</v>
      </c>
      <c r="G1219" s="103" t="str">
        <f t="shared" si="1049"/>
        <v>O</v>
      </c>
      <c r="H1219" s="103" t="str">
        <f t="shared" si="1094"/>
        <v>space</v>
      </c>
      <c r="I1219" s="104" t="str">
        <f t="shared" ref="I1219:J1219" si="1095">""</f>
        <v/>
      </c>
      <c r="J1219" s="104" t="str">
        <f t="shared" si="1095"/>
        <v/>
      </c>
      <c r="K1219" s="104"/>
      <c r="L1219" s="105"/>
      <c r="M1219" s="104"/>
      <c r="N1219" s="104"/>
      <c r="O1219" s="104"/>
      <c r="P1219" s="104"/>
      <c r="Q1219" s="104"/>
      <c r="R1219" s="104"/>
      <c r="S1219" s="104"/>
      <c r="T1219" s="107"/>
      <c r="U1219" s="107"/>
    </row>
    <row r="1220" ht="15.75" hidden="1" customHeight="1">
      <c r="A1220" s="196" t="s">
        <v>92</v>
      </c>
      <c r="B1220" s="104" t="str">
        <f>"CustomerSatIndicator"</f>
        <v>CustomerSatIndicator</v>
      </c>
      <c r="C1220" s="104" t="str">
        <f>"yfs_notes.customer_sat_indicator"</f>
        <v>yfs_notes.customer_sat_indicator</v>
      </c>
      <c r="D1220" s="104" t="str">
        <f t="shared" ref="D1220:D1221" si="1097">"UNKNOWN"</f>
        <v>UNKNOWN</v>
      </c>
      <c r="E1220" s="105" t="str">
        <f t="shared" ref="E1220:E1221" si="1098">""</f>
        <v/>
      </c>
      <c r="F1220" s="104" t="s">
        <v>921</v>
      </c>
      <c r="G1220" s="103" t="str">
        <f t="shared" si="1049"/>
        <v>O</v>
      </c>
      <c r="H1220" s="103" t="str">
        <f t="shared" si="1094"/>
        <v>space</v>
      </c>
      <c r="I1220" s="104" t="str">
        <f t="shared" ref="I1220:J1220" si="1096">""</f>
        <v/>
      </c>
      <c r="J1220" s="104" t="str">
        <f t="shared" si="1096"/>
        <v/>
      </c>
      <c r="K1220" s="104"/>
      <c r="L1220" s="105"/>
      <c r="M1220" s="104"/>
      <c r="N1220" s="104"/>
      <c r="O1220" s="104"/>
      <c r="P1220" s="104"/>
      <c r="Q1220" s="104"/>
      <c r="R1220" s="104"/>
      <c r="S1220" s="104"/>
      <c r="T1220" s="107"/>
      <c r="U1220" s="107"/>
    </row>
    <row r="1221" ht="15.75" hidden="1" customHeight="1">
      <c r="A1221" s="196" t="s">
        <v>92</v>
      </c>
      <c r="B1221" s="104" t="str">
        <f>"NoteText"</f>
        <v>NoteText</v>
      </c>
      <c r="C1221" s="104" t="str">
        <f>"yfs_notes.note_text"</f>
        <v>yfs_notes.note_text</v>
      </c>
      <c r="D1221" s="104" t="str">
        <f t="shared" si="1097"/>
        <v>UNKNOWN</v>
      </c>
      <c r="E1221" s="105" t="str">
        <f t="shared" si="1098"/>
        <v/>
      </c>
      <c r="F1221" s="104" t="s">
        <v>922</v>
      </c>
      <c r="G1221" s="103" t="str">
        <f>"M"</f>
        <v>M</v>
      </c>
      <c r="H1221" s="103" t="str">
        <f t="shared" si="1094"/>
        <v>space</v>
      </c>
      <c r="I1221" s="104" t="str">
        <f t="shared" ref="I1221:J1221" si="1099">""</f>
        <v/>
      </c>
      <c r="J1221" s="104" t="str">
        <f t="shared" si="1099"/>
        <v/>
      </c>
      <c r="K1221" s="104"/>
      <c r="L1221" s="105"/>
      <c r="M1221" s="104"/>
      <c r="N1221" s="104"/>
      <c r="O1221" s="104"/>
      <c r="P1221" s="104"/>
      <c r="Q1221" s="104"/>
      <c r="R1221" s="104"/>
      <c r="S1221" s="104"/>
      <c r="T1221" s="107"/>
      <c r="U1221" s="107"/>
    </row>
    <row r="1222" ht="15.75" hidden="1" customHeight="1">
      <c r="A1222" s="196" t="s">
        <v>92</v>
      </c>
      <c r="B1222" s="104" t="str">
        <f>"Priority"</f>
        <v>Priority</v>
      </c>
      <c r="C1222" s="104" t="str">
        <f>"yfs_notes.priority"</f>
        <v>yfs_notes.priority</v>
      </c>
      <c r="D1222" s="104" t="str">
        <f>"decimal"</f>
        <v>decimal</v>
      </c>
      <c r="E1222" s="105" t="str">
        <f>"10,2"</f>
        <v>10,2</v>
      </c>
      <c r="F1222" s="104" t="s">
        <v>923</v>
      </c>
      <c r="G1222" s="103" t="str">
        <f t="shared" ref="G1222:G1283" si="1101">"O"</f>
        <v>O</v>
      </c>
      <c r="H1222" s="103" t="str">
        <f>"0"</f>
        <v>0</v>
      </c>
      <c r="I1222" s="104" t="str">
        <f t="shared" ref="I1222:J1222" si="1100">""</f>
        <v/>
      </c>
      <c r="J1222" s="104" t="str">
        <f t="shared" si="1100"/>
        <v/>
      </c>
      <c r="K1222" s="104"/>
      <c r="L1222" s="105"/>
      <c r="M1222" s="104"/>
      <c r="N1222" s="104"/>
      <c r="O1222" s="104"/>
      <c r="P1222" s="104"/>
      <c r="Q1222" s="104"/>
      <c r="R1222" s="104"/>
      <c r="S1222" s="104"/>
      <c r="T1222" s="107"/>
      <c r="U1222" s="107"/>
    </row>
    <row r="1223" ht="15.75" hidden="1" customHeight="1">
      <c r="A1223" s="196" t="s">
        <v>92</v>
      </c>
      <c r="B1223" s="104" t="str">
        <f>"ReasonCode"</f>
        <v>ReasonCode</v>
      </c>
      <c r="C1223" s="104" t="str">
        <f>"yfs_notes.reason_code"</f>
        <v>yfs_notes.reason_code</v>
      </c>
      <c r="D1223" s="104" t="str">
        <f>"string"</f>
        <v>string</v>
      </c>
      <c r="E1223" s="105" t="str">
        <f>"40"</f>
        <v>40</v>
      </c>
      <c r="F1223" s="104" t="s">
        <v>924</v>
      </c>
      <c r="G1223" s="103" t="str">
        <f t="shared" si="1101"/>
        <v>O</v>
      </c>
      <c r="H1223" s="103" t="str">
        <f>"space"</f>
        <v>space</v>
      </c>
      <c r="I1223" s="104" t="str">
        <f t="shared" ref="I1223:J1223" si="1102">""</f>
        <v/>
      </c>
      <c r="J1223" s="104" t="str">
        <f t="shared" si="1102"/>
        <v/>
      </c>
      <c r="K1223" s="104"/>
      <c r="L1223" s="105"/>
      <c r="M1223" s="104"/>
      <c r="N1223" s="104"/>
      <c r="O1223" s="104"/>
      <c r="P1223" s="104"/>
      <c r="Q1223" s="104"/>
      <c r="R1223" s="104"/>
      <c r="S1223" s="104"/>
      <c r="T1223" s="107"/>
      <c r="U1223" s="107"/>
    </row>
    <row r="1224" ht="15.75" hidden="1" customHeight="1">
      <c r="A1224" s="196" t="s">
        <v>92</v>
      </c>
      <c r="B1224" s="104" t="str">
        <f>"SequenceNo"</f>
        <v>SequenceNo</v>
      </c>
      <c r="C1224" s="104" t="str">
        <f>"yfs_notes.sequence_no"</f>
        <v>yfs_notes.sequence_no</v>
      </c>
      <c r="D1224" s="104" t="str">
        <f>"nonNegativeInteger"</f>
        <v>nonNegativeInteger</v>
      </c>
      <c r="E1224" s="105" t="str">
        <f>"5"</f>
        <v>5</v>
      </c>
      <c r="F1224" s="104" t="s">
        <v>925</v>
      </c>
      <c r="G1224" s="103" t="str">
        <f t="shared" si="1101"/>
        <v>O</v>
      </c>
      <c r="H1224" s="103" t="str">
        <f>"0 "</f>
        <v>0 </v>
      </c>
      <c r="I1224" s="104" t="str">
        <f t="shared" ref="I1224:J1224" si="1103">""</f>
        <v/>
      </c>
      <c r="J1224" s="104" t="str">
        <f t="shared" si="1103"/>
        <v/>
      </c>
      <c r="K1224" s="104"/>
      <c r="L1224" s="105"/>
      <c r="M1224" s="104"/>
      <c r="N1224" s="104"/>
      <c r="O1224" s="104"/>
      <c r="P1224" s="104"/>
      <c r="Q1224" s="104"/>
      <c r="R1224" s="104"/>
      <c r="S1224" s="104"/>
      <c r="T1224" s="107"/>
      <c r="U1224" s="107"/>
    </row>
    <row r="1225" ht="15.75" hidden="1" customHeight="1">
      <c r="A1225" s="196" t="s">
        <v>92</v>
      </c>
      <c r="B1225" s="104" t="str">
        <f>"Tranid"</f>
        <v>Tranid</v>
      </c>
      <c r="C1225" s="104" t="str">
        <f>"yfs_notes.tranid"</f>
        <v>yfs_notes.tranid</v>
      </c>
      <c r="D1225" s="104" t="str">
        <f t="shared" ref="D1225:D1226" si="1105">"string"</f>
        <v>string</v>
      </c>
      <c r="E1225" s="105" t="str">
        <f>"40"</f>
        <v>40</v>
      </c>
      <c r="F1225" s="104" t="s">
        <v>1158</v>
      </c>
      <c r="G1225" s="103" t="str">
        <f t="shared" si="1101"/>
        <v>O</v>
      </c>
      <c r="H1225" s="103" t="str">
        <f>"space"</f>
        <v>space</v>
      </c>
      <c r="I1225" s="104" t="str">
        <f t="shared" ref="I1225:J1225" si="1104">""</f>
        <v/>
      </c>
      <c r="J1225" s="104" t="str">
        <f t="shared" si="1104"/>
        <v/>
      </c>
      <c r="K1225" s="104"/>
      <c r="L1225" s="105"/>
      <c r="M1225" s="104"/>
      <c r="N1225" s="104"/>
      <c r="O1225" s="104"/>
      <c r="P1225" s="104"/>
      <c r="Q1225" s="104"/>
      <c r="R1225" s="104"/>
      <c r="S1225" s="104"/>
      <c r="T1225" s="107"/>
      <c r="U1225" s="107"/>
    </row>
    <row r="1226" ht="15.75" hidden="1" customHeight="1">
      <c r="A1226" s="196" t="s">
        <v>92</v>
      </c>
      <c r="B1226" s="104" t="str">
        <f>"VisibleToAll"</f>
        <v>VisibleToAll</v>
      </c>
      <c r="C1226" s="104" t="str">
        <f>"yfs_notes.visible_to_all"</f>
        <v>yfs_notes.visible_to_all</v>
      </c>
      <c r="D1226" s="104" t="str">
        <f t="shared" si="1105"/>
        <v>string</v>
      </c>
      <c r="E1226" s="105" t="str">
        <f>"1"</f>
        <v>1</v>
      </c>
      <c r="F1226" s="104" t="s">
        <v>926</v>
      </c>
      <c r="G1226" s="103" t="str">
        <f t="shared" si="1101"/>
        <v>O</v>
      </c>
      <c r="H1226" s="103" t="str">
        <f>"null"</f>
        <v>null</v>
      </c>
      <c r="I1226" s="104" t="str">
        <f t="shared" ref="I1226:J1226" si="1106">""</f>
        <v/>
      </c>
      <c r="J1226" s="104" t="str">
        <f t="shared" si="1106"/>
        <v/>
      </c>
      <c r="K1226" s="104"/>
      <c r="L1226" s="105"/>
      <c r="M1226" s="104"/>
      <c r="N1226" s="104"/>
      <c r="O1226" s="104"/>
      <c r="P1226" s="104"/>
      <c r="Q1226" s="104"/>
      <c r="R1226" s="104"/>
      <c r="S1226" s="104"/>
      <c r="T1226" s="107"/>
      <c r="U1226" s="107"/>
    </row>
    <row r="1227" ht="15.75" hidden="1" customHeight="1">
      <c r="A1227" s="196"/>
      <c r="B1227" s="170" t="str">
        <f>"/Order/Opportunity/CustomAttributes"</f>
        <v>/Order/Opportunity/CustomAttributes</v>
      </c>
      <c r="C1227" s="170"/>
      <c r="D1227" s="170"/>
      <c r="E1227" s="170"/>
      <c r="F1227" s="170"/>
      <c r="G1227" s="196" t="str">
        <f t="shared" si="1101"/>
        <v>O</v>
      </c>
      <c r="H1227" s="170"/>
      <c r="I1227" s="170"/>
      <c r="J1227" s="170"/>
      <c r="K1227" s="170"/>
      <c r="L1227" s="170"/>
      <c r="M1227" s="170"/>
      <c r="N1227" s="170"/>
      <c r="O1227" s="170"/>
      <c r="P1227" s="170"/>
      <c r="Q1227" s="170"/>
      <c r="R1227" s="170"/>
      <c r="S1227" s="170"/>
      <c r="T1227" s="197"/>
      <c r="U1227" s="197"/>
    </row>
    <row r="1228" ht="15.75" hidden="1" customHeight="1">
      <c r="A1228" s="196"/>
      <c r="B1228" s="170" t="str">
        <f>"/Order/FileAttachments/@"</f>
        <v>/Order/FileAttachments/@</v>
      </c>
      <c r="C1228" s="170"/>
      <c r="D1228" s="170"/>
      <c r="E1228" s="170"/>
      <c r="F1228" s="170"/>
      <c r="G1228" s="196" t="str">
        <f t="shared" si="1101"/>
        <v>O</v>
      </c>
      <c r="H1228" s="170"/>
      <c r="I1228" s="170"/>
      <c r="J1228" s="170"/>
      <c r="K1228" s="170"/>
      <c r="L1228" s="170"/>
      <c r="M1228" s="170"/>
      <c r="N1228" s="170"/>
      <c r="O1228" s="170"/>
      <c r="P1228" s="170"/>
      <c r="Q1228" s="170"/>
      <c r="R1228" s="170"/>
      <c r="S1228" s="170"/>
      <c r="T1228" s="197"/>
      <c r="U1228" s="197"/>
    </row>
    <row r="1229" ht="15.75" hidden="1" customHeight="1">
      <c r="A1229" s="103"/>
      <c r="B1229" s="104" t="str">
        <f>"TotalNumberOfRecords"</f>
        <v>TotalNumberOfRecords</v>
      </c>
      <c r="C1229" s="104" t="str">
        <f>""</f>
        <v/>
      </c>
      <c r="D1229" s="104" t="str">
        <f>"decimal"</f>
        <v>decimal</v>
      </c>
      <c r="E1229" s="105" t="str">
        <f>"14,4"</f>
        <v>14,4</v>
      </c>
      <c r="F1229" s="104" t="s">
        <v>1159</v>
      </c>
      <c r="G1229" s="103" t="str">
        <f t="shared" si="1101"/>
        <v>O</v>
      </c>
      <c r="H1229" s="103" t="str">
        <f t="shared" ref="H1229:J1229" si="1107">""</f>
        <v/>
      </c>
      <c r="I1229" s="104" t="str">
        <f t="shared" si="1107"/>
        <v/>
      </c>
      <c r="J1229" s="104" t="str">
        <f t="shared" si="1107"/>
        <v/>
      </c>
      <c r="K1229" s="104"/>
      <c r="L1229" s="105"/>
      <c r="M1229" s="104"/>
      <c r="N1229" s="104"/>
      <c r="O1229" s="104"/>
      <c r="P1229" s="104"/>
      <c r="Q1229" s="104"/>
      <c r="R1229" s="104"/>
      <c r="S1229" s="104"/>
      <c r="T1229" s="107"/>
      <c r="U1229" s="107"/>
    </row>
    <row r="1230" ht="15.75" hidden="1" customHeight="1">
      <c r="A1230" s="196"/>
      <c r="B1230" s="170" t="str">
        <f>"/Order/FileAttachments/FileAttachment/@"</f>
        <v>/Order/FileAttachments/FileAttachment/@</v>
      </c>
      <c r="C1230" s="170"/>
      <c r="D1230" s="170"/>
      <c r="E1230" s="170"/>
      <c r="F1230" s="170"/>
      <c r="G1230" s="196" t="str">
        <f t="shared" si="1101"/>
        <v>O</v>
      </c>
      <c r="H1230" s="170"/>
      <c r="I1230" s="170"/>
      <c r="J1230" s="170"/>
      <c r="K1230" s="170"/>
      <c r="L1230" s="170"/>
      <c r="M1230" s="170"/>
      <c r="N1230" s="170"/>
      <c r="O1230" s="170"/>
      <c r="P1230" s="170"/>
      <c r="Q1230" s="170"/>
      <c r="R1230" s="170"/>
      <c r="S1230" s="170"/>
      <c r="T1230" s="197"/>
      <c r="U1230" s="197"/>
    </row>
    <row r="1231" ht="15.75" hidden="1" customHeight="1">
      <c r="A1231" s="103"/>
      <c r="B1231" s="104" t="str">
        <f>"FileAttachmentKey"</f>
        <v>FileAttachmentKey</v>
      </c>
      <c r="C1231" s="104" t="str">
        <f>"plt_file_attachment.file_attachment_key"</f>
        <v>plt_file_attachment.file_attachment_key</v>
      </c>
      <c r="D1231" s="104" t="str">
        <f>"string"</f>
        <v>string</v>
      </c>
      <c r="E1231" s="105" t="str">
        <f>"24"</f>
        <v>24</v>
      </c>
      <c r="F1231" s="104" t="s">
        <v>1160</v>
      </c>
      <c r="G1231" s="103" t="str">
        <f t="shared" si="1101"/>
        <v>O</v>
      </c>
      <c r="H1231" s="103" t="str">
        <f t="shared" ref="H1231:J1231" si="1108">""</f>
        <v/>
      </c>
      <c r="I1231" s="104" t="str">
        <f t="shared" si="1108"/>
        <v/>
      </c>
      <c r="J1231" s="104" t="str">
        <f t="shared" si="1108"/>
        <v/>
      </c>
      <c r="K1231" s="104"/>
      <c r="L1231" s="105"/>
      <c r="M1231" s="104"/>
      <c r="N1231" s="104"/>
      <c r="O1231" s="104"/>
      <c r="P1231" s="104"/>
      <c r="Q1231" s="104"/>
      <c r="R1231" s="104"/>
      <c r="S1231" s="104"/>
      <c r="T1231" s="107"/>
      <c r="U1231" s="107"/>
    </row>
    <row r="1232" ht="15.75" hidden="1" customHeight="1">
      <c r="A1232" s="103"/>
      <c r="B1232" s="104" t="str">
        <f>"FileContentType"</f>
        <v>FileContentType</v>
      </c>
      <c r="C1232" s="104" t="str">
        <f>"plt_file_attachment.file_content_type"</f>
        <v>plt_file_attachment.file_content_type</v>
      </c>
      <c r="D1232" s="104" t="str">
        <f t="shared" ref="D1232:D1234" si="1110">"UNKNOWN"</f>
        <v>UNKNOWN</v>
      </c>
      <c r="E1232" s="105" t="str">
        <f t="shared" ref="E1232:E1234" si="1111">""</f>
        <v/>
      </c>
      <c r="F1232" s="104" t="s">
        <v>1161</v>
      </c>
      <c r="G1232" s="103" t="str">
        <f t="shared" si="1101"/>
        <v>O</v>
      </c>
      <c r="H1232" s="103" t="str">
        <f t="shared" ref="H1232:J1232" si="1109">""</f>
        <v/>
      </c>
      <c r="I1232" s="104" t="str">
        <f t="shared" si="1109"/>
        <v/>
      </c>
      <c r="J1232" s="104" t="str">
        <f t="shared" si="1109"/>
        <v/>
      </c>
      <c r="K1232" s="104"/>
      <c r="L1232" s="105"/>
      <c r="M1232" s="104"/>
      <c r="N1232" s="104"/>
      <c r="O1232" s="104"/>
      <c r="P1232" s="104"/>
      <c r="Q1232" s="104"/>
      <c r="R1232" s="104"/>
      <c r="S1232" s="104"/>
      <c r="T1232" s="107"/>
      <c r="U1232" s="107"/>
    </row>
    <row r="1233" ht="15.75" hidden="1" customHeight="1">
      <c r="A1233" s="103"/>
      <c r="B1233" s="104" t="str">
        <f>"FileDescription"</f>
        <v>FileDescription</v>
      </c>
      <c r="C1233" s="104" t="str">
        <f>"plt_file_attachment.file_description"</f>
        <v>plt_file_attachment.file_description</v>
      </c>
      <c r="D1233" s="104" t="str">
        <f t="shared" si="1110"/>
        <v>UNKNOWN</v>
      </c>
      <c r="E1233" s="105" t="str">
        <f t="shared" si="1111"/>
        <v/>
      </c>
      <c r="F1233" s="104" t="s">
        <v>1162</v>
      </c>
      <c r="G1233" s="103" t="str">
        <f t="shared" si="1101"/>
        <v>O</v>
      </c>
      <c r="H1233" s="103" t="str">
        <f t="shared" ref="H1233:J1233" si="1112">""</f>
        <v/>
      </c>
      <c r="I1233" s="104" t="str">
        <f t="shared" si="1112"/>
        <v/>
      </c>
      <c r="J1233" s="104" t="str">
        <f t="shared" si="1112"/>
        <v/>
      </c>
      <c r="K1233" s="104"/>
      <c r="L1233" s="105"/>
      <c r="M1233" s="104"/>
      <c r="N1233" s="104"/>
      <c r="O1233" s="104"/>
      <c r="P1233" s="104"/>
      <c r="Q1233" s="104"/>
      <c r="R1233" s="104"/>
      <c r="S1233" s="104"/>
      <c r="T1233" s="107"/>
      <c r="U1233" s="107"/>
    </row>
    <row r="1234" ht="15.75" hidden="1" customHeight="1">
      <c r="A1234" s="103"/>
      <c r="B1234" s="104" t="str">
        <f>"FileLocation"</f>
        <v>FileLocation</v>
      </c>
      <c r="C1234" s="104" t="str">
        <f>""</f>
        <v/>
      </c>
      <c r="D1234" s="104" t="str">
        <f t="shared" si="1110"/>
        <v>UNKNOWN</v>
      </c>
      <c r="E1234" s="105" t="str">
        <f t="shared" si="1111"/>
        <v/>
      </c>
      <c r="F1234" s="104" t="s">
        <v>1163</v>
      </c>
      <c r="G1234" s="103" t="str">
        <f t="shared" si="1101"/>
        <v>O</v>
      </c>
      <c r="H1234" s="103" t="str">
        <f t="shared" ref="H1234:J1234" si="1113">""</f>
        <v/>
      </c>
      <c r="I1234" s="104" t="str">
        <f t="shared" si="1113"/>
        <v/>
      </c>
      <c r="J1234" s="104" t="str">
        <f t="shared" si="1113"/>
        <v/>
      </c>
      <c r="K1234" s="104"/>
      <c r="L1234" s="105"/>
      <c r="M1234" s="104"/>
      <c r="N1234" s="104"/>
      <c r="O1234" s="104"/>
      <c r="P1234" s="104"/>
      <c r="Q1234" s="104"/>
      <c r="R1234" s="104"/>
      <c r="S1234" s="104"/>
      <c r="T1234" s="107"/>
      <c r="U1234" s="107"/>
    </row>
    <row r="1235" ht="15.75" hidden="1" customHeight="1">
      <c r="A1235" s="103"/>
      <c r="B1235" s="104" t="str">
        <f>"FileName"</f>
        <v>FileName</v>
      </c>
      <c r="C1235" s="104" t="str">
        <f>"plt_file_attachment.file_name"</f>
        <v>plt_file_attachment.file_name</v>
      </c>
      <c r="D1235" s="104" t="str">
        <f>"string"</f>
        <v>string</v>
      </c>
      <c r="E1235" s="105" t="str">
        <f>"100"</f>
        <v>100</v>
      </c>
      <c r="F1235" s="104" t="s">
        <v>1164</v>
      </c>
      <c r="G1235" s="103" t="str">
        <f t="shared" si="1101"/>
        <v>O</v>
      </c>
      <c r="H1235" s="103" t="str">
        <f t="shared" ref="H1235:J1235" si="1114">""</f>
        <v/>
      </c>
      <c r="I1235" s="104" t="str">
        <f t="shared" si="1114"/>
        <v/>
      </c>
      <c r="J1235" s="104" t="str">
        <f t="shared" si="1114"/>
        <v/>
      </c>
      <c r="K1235" s="104"/>
      <c r="L1235" s="105"/>
      <c r="M1235" s="104"/>
      <c r="N1235" s="104"/>
      <c r="O1235" s="104"/>
      <c r="P1235" s="104"/>
      <c r="Q1235" s="104"/>
      <c r="R1235" s="104"/>
      <c r="S1235" s="104"/>
      <c r="T1235" s="107"/>
      <c r="U1235" s="107"/>
    </row>
    <row r="1236" ht="15.75" hidden="1" customHeight="1">
      <c r="A1236" s="103"/>
      <c r="B1236" s="104" t="str">
        <f>"FileSize"</f>
        <v>FileSize</v>
      </c>
      <c r="C1236" s="104" t="str">
        <f>"plt_file_attachment.file_size"</f>
        <v>plt_file_attachment.file_size</v>
      </c>
      <c r="D1236" s="104" t="str">
        <f>"UNKNOWN"</f>
        <v>UNKNOWN</v>
      </c>
      <c r="E1236" s="105" t="str">
        <f t="shared" ref="E1236:E1237" si="1116">""</f>
        <v/>
      </c>
      <c r="F1236" s="104" t="s">
        <v>1165</v>
      </c>
      <c r="G1236" s="103" t="str">
        <f t="shared" si="1101"/>
        <v>O</v>
      </c>
      <c r="H1236" s="103" t="str">
        <f t="shared" ref="H1236:J1236" si="1115">""</f>
        <v/>
      </c>
      <c r="I1236" s="104" t="str">
        <f t="shared" si="1115"/>
        <v/>
      </c>
      <c r="J1236" s="104" t="str">
        <f t="shared" si="1115"/>
        <v/>
      </c>
      <c r="K1236" s="104"/>
      <c r="L1236" s="105"/>
      <c r="M1236" s="104"/>
      <c r="N1236" s="104"/>
      <c r="O1236" s="104"/>
      <c r="P1236" s="104"/>
      <c r="Q1236" s="104"/>
      <c r="R1236" s="104"/>
      <c r="S1236" s="104"/>
      <c r="T1236" s="107"/>
      <c r="U1236" s="107"/>
    </row>
    <row r="1237" ht="15.75" hidden="1" customHeight="1">
      <c r="A1237" s="103"/>
      <c r="B1237" s="104" t="str">
        <f>"Operation"</f>
        <v>Operation</v>
      </c>
      <c r="C1237" s="104" t="str">
        <f>""</f>
        <v/>
      </c>
      <c r="D1237" s="104" t="str">
        <f>"string"</f>
        <v>string</v>
      </c>
      <c r="E1237" s="105" t="str">
        <f t="shared" si="1116"/>
        <v/>
      </c>
      <c r="F1237" s="104" t="s">
        <v>1166</v>
      </c>
      <c r="G1237" s="103" t="str">
        <f t="shared" si="1101"/>
        <v>O</v>
      </c>
      <c r="H1237" s="103" t="str">
        <f t="shared" ref="H1237:J1237" si="1117">""</f>
        <v/>
      </c>
      <c r="I1237" s="104" t="str">
        <f t="shared" si="1117"/>
        <v/>
      </c>
      <c r="J1237" s="104" t="str">
        <f t="shared" si="1117"/>
        <v/>
      </c>
      <c r="K1237" s="104"/>
      <c r="L1237" s="105"/>
      <c r="M1237" s="104"/>
      <c r="N1237" s="104"/>
      <c r="O1237" s="104"/>
      <c r="P1237" s="104"/>
      <c r="Q1237" s="104"/>
      <c r="R1237" s="104"/>
      <c r="S1237" s="104"/>
      <c r="T1237" s="107"/>
      <c r="U1237" s="107"/>
    </row>
    <row r="1238" ht="15.75" hidden="1" customHeight="1">
      <c r="A1238" s="196"/>
      <c r="B1238" s="170" t="str">
        <f>"/Order/CustomAttributes"</f>
        <v>/Order/CustomAttributes</v>
      </c>
      <c r="C1238" s="170"/>
      <c r="D1238" s="170"/>
      <c r="E1238" s="170"/>
      <c r="F1238" s="170"/>
      <c r="G1238" s="196" t="str">
        <f t="shared" si="1101"/>
        <v>O</v>
      </c>
      <c r="H1238" s="170"/>
      <c r="I1238" s="170"/>
      <c r="J1238" s="170"/>
      <c r="K1238" s="170"/>
      <c r="L1238" s="170"/>
      <c r="M1238" s="170"/>
      <c r="N1238" s="170"/>
      <c r="O1238" s="170"/>
      <c r="P1238" s="170"/>
      <c r="Q1238" s="170"/>
      <c r="R1238" s="170"/>
      <c r="S1238" s="170"/>
      <c r="T1238" s="197"/>
      <c r="U1238" s="197"/>
    </row>
    <row r="1239" ht="15.75" hidden="1" customHeight="1">
      <c r="A1239" s="117"/>
      <c r="B1239" s="170" t="str">
        <f>"/Order/OrderSearchConditions/@"</f>
        <v>/Order/OrderSearchConditions/@</v>
      </c>
      <c r="C1239" s="170"/>
      <c r="D1239" s="170"/>
      <c r="E1239" s="170"/>
      <c r="F1239" s="170"/>
      <c r="G1239" s="196" t="str">
        <f t="shared" si="1101"/>
        <v>O</v>
      </c>
      <c r="H1239" s="170"/>
      <c r="I1239" s="170"/>
      <c r="J1239" s="170"/>
      <c r="K1239" s="170"/>
      <c r="L1239" s="170"/>
      <c r="M1239" s="170"/>
      <c r="N1239" s="170"/>
      <c r="O1239" s="170"/>
      <c r="P1239" s="170"/>
      <c r="Q1239" s="170"/>
      <c r="R1239" s="170"/>
      <c r="S1239" s="170"/>
      <c r="T1239" s="197"/>
      <c r="U1239" s="197"/>
    </row>
    <row r="1240" ht="15.75" hidden="1" customHeight="1">
      <c r="A1240" s="103"/>
      <c r="B1240" s="104" t="str">
        <f>"Reset"</f>
        <v>Reset</v>
      </c>
      <c r="C1240" s="104" t="str">
        <f>""</f>
        <v/>
      </c>
      <c r="D1240" s="104" t="str">
        <f>"string"</f>
        <v>string</v>
      </c>
      <c r="E1240" s="105" t="str">
        <f>"1"</f>
        <v>1</v>
      </c>
      <c r="F1240" s="104" t="s">
        <v>1167</v>
      </c>
      <c r="G1240" s="103" t="str">
        <f t="shared" si="1101"/>
        <v>O</v>
      </c>
      <c r="H1240" s="103" t="str">
        <f>""</f>
        <v/>
      </c>
      <c r="I1240" s="104" t="str">
        <f>"N, Y"</f>
        <v>N, Y</v>
      </c>
      <c r="J1240" s="104" t="str">
        <f>""</f>
        <v/>
      </c>
      <c r="K1240" s="104"/>
      <c r="L1240" s="105"/>
      <c r="M1240" s="104"/>
      <c r="N1240" s="104"/>
      <c r="O1240" s="104"/>
      <c r="P1240" s="104"/>
      <c r="Q1240" s="104"/>
      <c r="R1240" s="104"/>
      <c r="S1240" s="104"/>
      <c r="T1240" s="107"/>
      <c r="U1240" s="107"/>
    </row>
    <row r="1241" ht="15.75" hidden="1" customHeight="1">
      <c r="A1241" s="196"/>
      <c r="B1241" s="170" t="str">
        <f>"/Order/OrderSearchConditions/OrderSearchCondition/@"</f>
        <v>/Order/OrderSearchConditions/OrderSearchCondition/@</v>
      </c>
      <c r="C1241" s="170"/>
      <c r="D1241" s="170"/>
      <c r="E1241" s="170"/>
      <c r="F1241" s="170"/>
      <c r="G1241" s="196" t="str">
        <f t="shared" si="1101"/>
        <v>O</v>
      </c>
      <c r="H1241" s="170"/>
      <c r="I1241" s="170"/>
      <c r="J1241" s="170"/>
      <c r="K1241" s="170"/>
      <c r="L1241" s="170"/>
      <c r="M1241" s="170"/>
      <c r="N1241" s="170"/>
      <c r="O1241" s="170"/>
      <c r="P1241" s="170"/>
      <c r="Q1241" s="170"/>
      <c r="R1241" s="170"/>
      <c r="S1241" s="170"/>
      <c r="T1241" s="197"/>
      <c r="U1241" s="197"/>
    </row>
    <row r="1242" ht="15.75" hidden="1" customHeight="1">
      <c r="A1242" s="103"/>
      <c r="B1242" s="104" t="str">
        <f>"DocumentType"</f>
        <v>DocumentType</v>
      </c>
      <c r="C1242" s="104" t="str">
        <f>"yfs_order_search_condition.document_type"</f>
        <v>yfs_order_search_condition.document_type</v>
      </c>
      <c r="D1242" s="104" t="str">
        <f t="shared" ref="D1242:D1248" si="1119">"string"</f>
        <v>string</v>
      </c>
      <c r="E1242" s="105" t="str">
        <f>"40"</f>
        <v>40</v>
      </c>
      <c r="F1242" s="104" t="s">
        <v>1168</v>
      </c>
      <c r="G1242" s="103" t="str">
        <f t="shared" si="1101"/>
        <v>O</v>
      </c>
      <c r="H1242" s="103" t="str">
        <f t="shared" ref="H1242:J1242" si="1118">""</f>
        <v/>
      </c>
      <c r="I1242" s="104" t="str">
        <f t="shared" si="1118"/>
        <v/>
      </c>
      <c r="J1242" s="104" t="str">
        <f t="shared" si="1118"/>
        <v/>
      </c>
      <c r="K1242" s="104"/>
      <c r="L1242" s="105"/>
      <c r="M1242" s="104"/>
      <c r="N1242" s="104"/>
      <c r="O1242" s="104"/>
      <c r="P1242" s="104"/>
      <c r="Q1242" s="104"/>
      <c r="R1242" s="104"/>
      <c r="S1242" s="104"/>
      <c r="T1242" s="107"/>
      <c r="U1242" s="107"/>
    </row>
    <row r="1243" ht="15.75" hidden="1" customHeight="1">
      <c r="A1243" s="103"/>
      <c r="B1243" s="104" t="str">
        <f>"EnterpriseCode"</f>
        <v>EnterpriseCode</v>
      </c>
      <c r="C1243" s="104" t="str">
        <f>"yfs_order_search_condition.enterprise_code"</f>
        <v>yfs_order_search_condition.enterprise_code</v>
      </c>
      <c r="D1243" s="104" t="str">
        <f t="shared" si="1119"/>
        <v>string</v>
      </c>
      <c r="E1243" s="105" t="str">
        <f>"24"</f>
        <v>24</v>
      </c>
      <c r="F1243" s="104" t="s">
        <v>1169</v>
      </c>
      <c r="G1243" s="103" t="str">
        <f t="shared" si="1101"/>
        <v>O</v>
      </c>
      <c r="H1243" s="103" t="str">
        <f t="shared" ref="H1243:J1243" si="1120">""</f>
        <v/>
      </c>
      <c r="I1243" s="104" t="str">
        <f t="shared" si="1120"/>
        <v/>
      </c>
      <c r="J1243" s="104" t="str">
        <f t="shared" si="1120"/>
        <v/>
      </c>
      <c r="K1243" s="104"/>
      <c r="L1243" s="105"/>
      <c r="M1243" s="104"/>
      <c r="N1243" s="104"/>
      <c r="O1243" s="104"/>
      <c r="P1243" s="104"/>
      <c r="Q1243" s="104"/>
      <c r="R1243" s="104"/>
      <c r="S1243" s="104"/>
      <c r="T1243" s="107"/>
      <c r="U1243" s="107"/>
    </row>
    <row r="1244" ht="15.75" hidden="1" customHeight="1">
      <c r="A1244" s="103"/>
      <c r="B1244" s="104" t="str">
        <f>"EntityAttributeName"</f>
        <v>EntityAttributeName</v>
      </c>
      <c r="C1244" s="104" t="str">
        <f>"yfs_order_search_condition.entity_attr_name"</f>
        <v>yfs_order_search_condition.entity_attr_name</v>
      </c>
      <c r="D1244" s="104" t="str">
        <f t="shared" si="1119"/>
        <v>string</v>
      </c>
      <c r="E1244" s="105" t="str">
        <f t="shared" ref="E1244:E1245" si="1122">"400"</f>
        <v>400</v>
      </c>
      <c r="F1244" s="104" t="s">
        <v>1170</v>
      </c>
      <c r="G1244" s="103" t="str">
        <f t="shared" si="1101"/>
        <v>O</v>
      </c>
      <c r="H1244" s="103" t="str">
        <f t="shared" ref="H1244:J1244" si="1121">""</f>
        <v/>
      </c>
      <c r="I1244" s="104" t="str">
        <f t="shared" si="1121"/>
        <v/>
      </c>
      <c r="J1244" s="104" t="str">
        <f t="shared" si="1121"/>
        <v/>
      </c>
      <c r="K1244" s="104"/>
      <c r="L1244" s="105"/>
      <c r="M1244" s="104"/>
      <c r="N1244" s="104"/>
      <c r="O1244" s="104"/>
      <c r="P1244" s="104"/>
      <c r="Q1244" s="104"/>
      <c r="R1244" s="104"/>
      <c r="S1244" s="104"/>
      <c r="T1244" s="107"/>
      <c r="U1244" s="107"/>
    </row>
    <row r="1245" ht="15.75" hidden="1" customHeight="1">
      <c r="A1245" s="103"/>
      <c r="B1245" s="104" t="str">
        <f>"EntityAttributeValue"</f>
        <v>EntityAttributeValue</v>
      </c>
      <c r="C1245" s="104" t="str">
        <f>"yfs_order_search_condition.entity_attr_value"</f>
        <v>yfs_order_search_condition.entity_attr_value</v>
      </c>
      <c r="D1245" s="104" t="str">
        <f t="shared" si="1119"/>
        <v>string</v>
      </c>
      <c r="E1245" s="105" t="str">
        <f t="shared" si="1122"/>
        <v>400</v>
      </c>
      <c r="F1245" s="104" t="s">
        <v>1171</v>
      </c>
      <c r="G1245" s="103" t="str">
        <f t="shared" si="1101"/>
        <v>O</v>
      </c>
      <c r="H1245" s="103" t="str">
        <f t="shared" ref="H1245:J1245" si="1123">""</f>
        <v/>
      </c>
      <c r="I1245" s="104" t="str">
        <f t="shared" si="1123"/>
        <v/>
      </c>
      <c r="J1245" s="104" t="str">
        <f t="shared" si="1123"/>
        <v/>
      </c>
      <c r="K1245" s="104"/>
      <c r="L1245" s="105"/>
      <c r="M1245" s="104"/>
      <c r="N1245" s="104"/>
      <c r="O1245" s="104"/>
      <c r="P1245" s="104"/>
      <c r="Q1245" s="104"/>
      <c r="R1245" s="104"/>
      <c r="S1245" s="104"/>
      <c r="T1245" s="107"/>
      <c r="U1245" s="107"/>
    </row>
    <row r="1246" ht="15.75" hidden="1" customHeight="1">
      <c r="A1246" s="103"/>
      <c r="B1246" s="104" t="str">
        <f>"Operation"</f>
        <v>Operation</v>
      </c>
      <c r="C1246" s="104" t="str">
        <f>""</f>
        <v/>
      </c>
      <c r="D1246" s="104" t="str">
        <f t="shared" si="1119"/>
        <v>string</v>
      </c>
      <c r="E1246" s="105" t="str">
        <f>""</f>
        <v/>
      </c>
      <c r="F1246" s="104" t="s">
        <v>83</v>
      </c>
      <c r="G1246" s="103" t="str">
        <f t="shared" si="1101"/>
        <v>O</v>
      </c>
      <c r="H1246" s="103" t="str">
        <f t="shared" ref="H1246:H1248" si="1124">""</f>
        <v/>
      </c>
      <c r="I1246" s="104" t="str">
        <f>"Manage, Delete"</f>
        <v>Manage, Delete</v>
      </c>
      <c r="J1246" s="104" t="str">
        <f>""</f>
        <v/>
      </c>
      <c r="K1246" s="104"/>
      <c r="L1246" s="105"/>
      <c r="M1246" s="104"/>
      <c r="N1246" s="104"/>
      <c r="O1246" s="104"/>
      <c r="P1246" s="104"/>
      <c r="Q1246" s="104"/>
      <c r="R1246" s="104"/>
      <c r="S1246" s="104"/>
      <c r="T1246" s="107"/>
      <c r="U1246" s="107"/>
    </row>
    <row r="1247" ht="15.75" hidden="1" customHeight="1">
      <c r="A1247" s="103"/>
      <c r="B1247" s="104" t="str">
        <f>"OrderNo"</f>
        <v>OrderNo</v>
      </c>
      <c r="C1247" s="104" t="str">
        <f>"yfs_order_search_condition.order_no"</f>
        <v>yfs_order_search_condition.order_no</v>
      </c>
      <c r="D1247" s="104" t="str">
        <f t="shared" si="1119"/>
        <v>string</v>
      </c>
      <c r="E1247" s="105" t="str">
        <f>"40"</f>
        <v>40</v>
      </c>
      <c r="F1247" s="104" t="s">
        <v>1172</v>
      </c>
      <c r="G1247" s="103" t="str">
        <f t="shared" si="1101"/>
        <v>O</v>
      </c>
      <c r="H1247" s="103" t="str">
        <f t="shared" si="1124"/>
        <v/>
      </c>
      <c r="I1247" s="104" t="str">
        <f t="shared" ref="I1247:J1247" si="1125">""</f>
        <v/>
      </c>
      <c r="J1247" s="104" t="str">
        <f t="shared" si="1125"/>
        <v/>
      </c>
      <c r="K1247" s="104"/>
      <c r="L1247" s="105"/>
      <c r="M1247" s="104"/>
      <c r="N1247" s="104"/>
      <c r="O1247" s="104"/>
      <c r="P1247" s="104"/>
      <c r="Q1247" s="104"/>
      <c r="R1247" s="104"/>
      <c r="S1247" s="104"/>
      <c r="T1247" s="107"/>
      <c r="U1247" s="107"/>
    </row>
    <row r="1248" ht="15.75" hidden="1" customHeight="1">
      <c r="A1248" s="103"/>
      <c r="B1248" s="104" t="str">
        <f>"OrderSearchConditionKey"</f>
        <v>OrderSearchConditionKey</v>
      </c>
      <c r="C1248" s="104" t="str">
        <f>"yfs_order_search_condition.order_search_cond_key"</f>
        <v>yfs_order_search_condition.order_search_cond_key</v>
      </c>
      <c r="D1248" s="104" t="str">
        <f t="shared" si="1119"/>
        <v>string</v>
      </c>
      <c r="E1248" s="105" t="str">
        <f>"24"</f>
        <v>24</v>
      </c>
      <c r="F1248" s="104" t="s">
        <v>1173</v>
      </c>
      <c r="G1248" s="103" t="str">
        <f t="shared" si="1101"/>
        <v>O</v>
      </c>
      <c r="H1248" s="103" t="str">
        <f t="shared" si="1124"/>
        <v/>
      </c>
      <c r="I1248" s="104" t="str">
        <f t="shared" ref="I1248:J1248" si="1126">""</f>
        <v/>
      </c>
      <c r="J1248" s="104" t="str">
        <f t="shared" si="1126"/>
        <v/>
      </c>
      <c r="K1248" s="104"/>
      <c r="L1248" s="105"/>
      <c r="M1248" s="104"/>
      <c r="N1248" s="104"/>
      <c r="O1248" s="104"/>
      <c r="P1248" s="104"/>
      <c r="Q1248" s="104"/>
      <c r="R1248" s="104"/>
      <c r="S1248" s="104"/>
      <c r="T1248" s="107"/>
      <c r="U1248" s="107"/>
    </row>
    <row r="1249" ht="15.75" hidden="1" customHeight="1">
      <c r="A1249" s="196"/>
      <c r="B1249" s="170" t="str">
        <f>"/Order/OrderAudits"</f>
        <v>/Order/OrderAudits</v>
      </c>
      <c r="C1249" s="170"/>
      <c r="D1249" s="170"/>
      <c r="E1249" s="170"/>
      <c r="F1249" s="170"/>
      <c r="G1249" s="196" t="str">
        <f t="shared" si="1101"/>
        <v>O</v>
      </c>
      <c r="H1249" s="170"/>
      <c r="I1249" s="170"/>
      <c r="J1249" s="170"/>
      <c r="K1249" s="170"/>
      <c r="L1249" s="170"/>
      <c r="M1249" s="170"/>
      <c r="N1249" s="170"/>
      <c r="O1249" s="170"/>
      <c r="P1249" s="170"/>
      <c r="Q1249" s="170"/>
      <c r="R1249" s="170"/>
      <c r="S1249" s="170"/>
      <c r="T1249" s="197"/>
      <c r="U1249" s="197"/>
    </row>
    <row r="1250" ht="15.75" hidden="1" customHeight="1">
      <c r="A1250" s="196"/>
      <c r="B1250" s="170" t="str">
        <f>"/Order/OrderAudits/OrderAudit/@"</f>
        <v>/Order/OrderAudits/OrderAudit/@</v>
      </c>
      <c r="C1250" s="170"/>
      <c r="D1250" s="170"/>
      <c r="E1250" s="170"/>
      <c r="F1250" s="170"/>
      <c r="G1250" s="196" t="str">
        <f t="shared" si="1101"/>
        <v>O</v>
      </c>
      <c r="H1250" s="170"/>
      <c r="I1250" s="170"/>
      <c r="J1250" s="170"/>
      <c r="K1250" s="170"/>
      <c r="L1250" s="170"/>
      <c r="M1250" s="170"/>
      <c r="N1250" s="170"/>
      <c r="O1250" s="170"/>
      <c r="P1250" s="170"/>
      <c r="Q1250" s="170"/>
      <c r="R1250" s="170"/>
      <c r="S1250" s="170"/>
      <c r="T1250" s="197"/>
      <c r="U1250" s="197"/>
    </row>
    <row r="1251" ht="15.75" hidden="1" customHeight="1">
      <c r="A1251" s="103"/>
      <c r="B1251" s="104" t="str">
        <f>"AuditTransactionId"</f>
        <v>AuditTransactionId</v>
      </c>
      <c r="C1251" s="104" t="str">
        <f>"yfs_order_audit.audit_transaction_id"</f>
        <v>yfs_order_audit.audit_transaction_id</v>
      </c>
      <c r="D1251" s="104" t="str">
        <f>"string"</f>
        <v>string</v>
      </c>
      <c r="E1251" s="105" t="str">
        <f>"40"</f>
        <v>40</v>
      </c>
      <c r="F1251" s="104" t="s">
        <v>1174</v>
      </c>
      <c r="G1251" s="103" t="str">
        <f t="shared" si="1101"/>
        <v>O</v>
      </c>
      <c r="H1251" s="103" t="str">
        <f>"space"</f>
        <v>space</v>
      </c>
      <c r="I1251" s="104" t="str">
        <f t="shared" ref="I1251:J1251" si="1127">""</f>
        <v/>
      </c>
      <c r="J1251" s="104" t="str">
        <f t="shared" si="1127"/>
        <v/>
      </c>
      <c r="K1251" s="104"/>
      <c r="L1251" s="105"/>
      <c r="M1251" s="104"/>
      <c r="N1251" s="104"/>
      <c r="O1251" s="104"/>
      <c r="P1251" s="104"/>
      <c r="Q1251" s="104"/>
      <c r="R1251" s="104"/>
      <c r="S1251" s="104"/>
      <c r="T1251" s="107"/>
      <c r="U1251" s="107"/>
    </row>
    <row r="1252" ht="15.75" hidden="1" customHeight="1">
      <c r="A1252" s="103"/>
      <c r="B1252" s="104" t="str">
        <f>"Createts"</f>
        <v>Createts</v>
      </c>
      <c r="C1252" s="104" t="str">
        <f>"yfs_order_audit.createts"</f>
        <v>yfs_order_audit.createts</v>
      </c>
      <c r="D1252" s="104" t="str">
        <f>"dateTime"</f>
        <v>dateTime</v>
      </c>
      <c r="E1252" s="105" t="str">
        <f>"25"</f>
        <v>25</v>
      </c>
      <c r="F1252" s="104" t="s">
        <v>1175</v>
      </c>
      <c r="G1252" s="103" t="str">
        <f t="shared" si="1101"/>
        <v>O</v>
      </c>
      <c r="H1252" s="103" t="str">
        <f>"sysdate"</f>
        <v>sysdate</v>
      </c>
      <c r="I1252" s="104" t="str">
        <f t="shared" ref="I1252:J1252" si="1128">""</f>
        <v/>
      </c>
      <c r="J1252" s="104" t="str">
        <f t="shared" si="1128"/>
        <v/>
      </c>
      <c r="K1252" s="104"/>
      <c r="L1252" s="105"/>
      <c r="M1252" s="104"/>
      <c r="N1252" s="104"/>
      <c r="O1252" s="104"/>
      <c r="P1252" s="104"/>
      <c r="Q1252" s="104"/>
      <c r="R1252" s="104"/>
      <c r="S1252" s="104"/>
      <c r="T1252" s="107"/>
      <c r="U1252" s="107"/>
    </row>
    <row r="1253" ht="15.75" hidden="1" customHeight="1">
      <c r="A1253" s="103"/>
      <c r="B1253" s="104" t="str">
        <f>"Createuserid"</f>
        <v>Createuserid</v>
      </c>
      <c r="C1253" s="104" t="str">
        <f>"yfs_order_audit.createuserid"</f>
        <v>yfs_order_audit.createuserid</v>
      </c>
      <c r="D1253" s="104" t="str">
        <f t="shared" ref="D1253:D1265" si="1130">"string"</f>
        <v>string</v>
      </c>
      <c r="E1253" s="105" t="str">
        <f t="shared" ref="E1253:E1254" si="1131">"40"</f>
        <v>40</v>
      </c>
      <c r="F1253" s="104" t="s">
        <v>1176</v>
      </c>
      <c r="G1253" s="103" t="str">
        <f t="shared" si="1101"/>
        <v>O</v>
      </c>
      <c r="H1253" s="103" t="str">
        <f t="shared" ref="H1253:H1264" si="1132">"space"</f>
        <v>space</v>
      </c>
      <c r="I1253" s="104" t="str">
        <f t="shared" ref="I1253:J1253" si="1129">""</f>
        <v/>
      </c>
      <c r="J1253" s="104" t="str">
        <f t="shared" si="1129"/>
        <v/>
      </c>
      <c r="K1253" s="104"/>
      <c r="L1253" s="105"/>
      <c r="M1253" s="104"/>
      <c r="N1253" s="104"/>
      <c r="O1253" s="104"/>
      <c r="P1253" s="104"/>
      <c r="Q1253" s="104"/>
      <c r="R1253" s="104"/>
      <c r="S1253" s="104"/>
      <c r="T1253" s="107"/>
      <c r="U1253" s="107"/>
    </row>
    <row r="1254" ht="15.75" hidden="1" customHeight="1">
      <c r="A1254" s="103"/>
      <c r="B1254" s="104" t="str">
        <f>"Modifyuserid"</f>
        <v>Modifyuserid</v>
      </c>
      <c r="C1254" s="104" t="str">
        <f>"yfs_order_audit.modifyuserid"</f>
        <v>yfs_order_audit.modifyuserid</v>
      </c>
      <c r="D1254" s="104" t="str">
        <f t="shared" si="1130"/>
        <v>string</v>
      </c>
      <c r="E1254" s="105" t="str">
        <f t="shared" si="1131"/>
        <v>40</v>
      </c>
      <c r="F1254" s="104" t="s">
        <v>1177</v>
      </c>
      <c r="G1254" s="103" t="str">
        <f t="shared" si="1101"/>
        <v>O</v>
      </c>
      <c r="H1254" s="103" t="str">
        <f t="shared" si="1132"/>
        <v>space</v>
      </c>
      <c r="I1254" s="104" t="str">
        <f t="shared" ref="I1254:J1254" si="1133">""</f>
        <v/>
      </c>
      <c r="J1254" s="104" t="str">
        <f t="shared" si="1133"/>
        <v/>
      </c>
      <c r="K1254" s="104"/>
      <c r="L1254" s="105"/>
      <c r="M1254" s="104"/>
      <c r="N1254" s="104"/>
      <c r="O1254" s="104"/>
      <c r="P1254" s="104"/>
      <c r="Q1254" s="104"/>
      <c r="R1254" s="104"/>
      <c r="S1254" s="104"/>
      <c r="T1254" s="107"/>
      <c r="U1254" s="107"/>
    </row>
    <row r="1255" ht="15.75" hidden="1" customHeight="1">
      <c r="A1255" s="103"/>
      <c r="B1255" s="104" t="str">
        <f>"NewBuffer"</f>
        <v>NewBuffer</v>
      </c>
      <c r="C1255" s="104" t="str">
        <f>"yfs_order_audit.new_buffer"</f>
        <v>yfs_order_audit.new_buffer</v>
      </c>
      <c r="D1255" s="104" t="str">
        <f t="shared" si="1130"/>
        <v>string</v>
      </c>
      <c r="E1255" s="105" t="str">
        <f t="shared" ref="E1255:E1256" si="1135">"1500"</f>
        <v>1500</v>
      </c>
      <c r="F1255" s="104" t="s">
        <v>1178</v>
      </c>
      <c r="G1255" s="103" t="str">
        <f t="shared" si="1101"/>
        <v>O</v>
      </c>
      <c r="H1255" s="103" t="str">
        <f t="shared" si="1132"/>
        <v>space</v>
      </c>
      <c r="I1255" s="104" t="str">
        <f t="shared" ref="I1255:J1255" si="1134">""</f>
        <v/>
      </c>
      <c r="J1255" s="104" t="str">
        <f t="shared" si="1134"/>
        <v/>
      </c>
      <c r="K1255" s="104"/>
      <c r="L1255" s="105"/>
      <c r="M1255" s="104"/>
      <c r="N1255" s="104"/>
      <c r="O1255" s="104"/>
      <c r="P1255" s="104"/>
      <c r="Q1255" s="104"/>
      <c r="R1255" s="104"/>
      <c r="S1255" s="104"/>
      <c r="T1255" s="107"/>
      <c r="U1255" s="107"/>
    </row>
    <row r="1256" ht="15.75" hidden="1" customHeight="1">
      <c r="A1256" s="103"/>
      <c r="B1256" s="104" t="str">
        <f>"OldBuffer"</f>
        <v>OldBuffer</v>
      </c>
      <c r="C1256" s="104" t="str">
        <f>"yfs_order_audit.old_buffer"</f>
        <v>yfs_order_audit.old_buffer</v>
      </c>
      <c r="D1256" s="104" t="str">
        <f t="shared" si="1130"/>
        <v>string</v>
      </c>
      <c r="E1256" s="105" t="str">
        <f t="shared" si="1135"/>
        <v>1500</v>
      </c>
      <c r="F1256" s="104" t="s">
        <v>1179</v>
      </c>
      <c r="G1256" s="103" t="str">
        <f t="shared" si="1101"/>
        <v>O</v>
      </c>
      <c r="H1256" s="103" t="str">
        <f t="shared" si="1132"/>
        <v>space</v>
      </c>
      <c r="I1256" s="104" t="str">
        <f t="shared" ref="I1256:J1256" si="1136">""</f>
        <v/>
      </c>
      <c r="J1256" s="104" t="str">
        <f t="shared" si="1136"/>
        <v/>
      </c>
      <c r="K1256" s="104"/>
      <c r="L1256" s="105"/>
      <c r="M1256" s="104"/>
      <c r="N1256" s="104"/>
      <c r="O1256" s="104"/>
      <c r="P1256" s="104"/>
      <c r="Q1256" s="104"/>
      <c r="R1256" s="104"/>
      <c r="S1256" s="104"/>
      <c r="T1256" s="107"/>
      <c r="U1256" s="107"/>
    </row>
    <row r="1257" ht="15.75" hidden="1" customHeight="1">
      <c r="A1257" s="103"/>
      <c r="B1257" s="104" t="str">
        <f>"OrderHeaderKey"</f>
        <v>OrderHeaderKey</v>
      </c>
      <c r="C1257" s="104" t="str">
        <f>"yfs_order_audit.order_header_key"</f>
        <v>yfs_order_audit.order_header_key</v>
      </c>
      <c r="D1257" s="104" t="str">
        <f t="shared" si="1130"/>
        <v>string</v>
      </c>
      <c r="E1257" s="105" t="str">
        <f>"24"</f>
        <v>24</v>
      </c>
      <c r="F1257" s="104" t="s">
        <v>1180</v>
      </c>
      <c r="G1257" s="103" t="str">
        <f t="shared" si="1101"/>
        <v>O</v>
      </c>
      <c r="H1257" s="103" t="str">
        <f t="shared" si="1132"/>
        <v>space</v>
      </c>
      <c r="I1257" s="104" t="str">
        <f t="shared" ref="I1257:I1264" si="1137">""</f>
        <v/>
      </c>
      <c r="J1257" s="104" t="str">
        <f>"2010050314595405091"</f>
        <v>2010050314595405091</v>
      </c>
      <c r="K1257" s="104"/>
      <c r="L1257" s="105"/>
      <c r="M1257" s="104"/>
      <c r="N1257" s="104"/>
      <c r="O1257" s="104"/>
      <c r="P1257" s="104"/>
      <c r="Q1257" s="104"/>
      <c r="R1257" s="104"/>
      <c r="S1257" s="104"/>
      <c r="T1257" s="107"/>
      <c r="U1257" s="107"/>
    </row>
    <row r="1258" ht="15.75" hidden="1" customHeight="1">
      <c r="A1258" s="103"/>
      <c r="B1258" s="104" t="str">
        <f>"ReasonCode"</f>
        <v>ReasonCode</v>
      </c>
      <c r="C1258" s="104" t="str">
        <f>"yfs_order_audit.reason_code"</f>
        <v>yfs_order_audit.reason_code</v>
      </c>
      <c r="D1258" s="104" t="str">
        <f t="shared" si="1130"/>
        <v>string</v>
      </c>
      <c r="E1258" s="105" t="str">
        <f>"40"</f>
        <v>40</v>
      </c>
      <c r="F1258" s="104" t="s">
        <v>1181</v>
      </c>
      <c r="G1258" s="103" t="str">
        <f t="shared" si="1101"/>
        <v>O</v>
      </c>
      <c r="H1258" s="103" t="str">
        <f t="shared" si="1132"/>
        <v>space</v>
      </c>
      <c r="I1258" s="104" t="str">
        <f t="shared" si="1137"/>
        <v/>
      </c>
      <c r="J1258" s="104" t="str">
        <f t="shared" ref="J1258:J1264" si="1138">""</f>
        <v/>
      </c>
      <c r="K1258" s="104"/>
      <c r="L1258" s="105"/>
      <c r="M1258" s="104"/>
      <c r="N1258" s="104"/>
      <c r="O1258" s="104"/>
      <c r="P1258" s="104"/>
      <c r="Q1258" s="104"/>
      <c r="R1258" s="104"/>
      <c r="S1258" s="104"/>
      <c r="T1258" s="107"/>
      <c r="U1258" s="107"/>
    </row>
    <row r="1259" ht="15.75" hidden="1" customHeight="1">
      <c r="A1259" s="103"/>
      <c r="B1259" s="104" t="str">
        <f>"ReasonText"</f>
        <v>ReasonText</v>
      </c>
      <c r="C1259" s="104" t="str">
        <f>"yfs_order_audit.reason_text"</f>
        <v>yfs_order_audit.reason_text</v>
      </c>
      <c r="D1259" s="104" t="str">
        <f t="shared" si="1130"/>
        <v>string</v>
      </c>
      <c r="E1259" s="105" t="str">
        <f>"255"</f>
        <v>255</v>
      </c>
      <c r="F1259" s="104" t="s">
        <v>1182</v>
      </c>
      <c r="G1259" s="103" t="str">
        <f t="shared" si="1101"/>
        <v>O</v>
      </c>
      <c r="H1259" s="103" t="str">
        <f t="shared" si="1132"/>
        <v>space</v>
      </c>
      <c r="I1259" s="104" t="str">
        <f t="shared" si="1137"/>
        <v/>
      </c>
      <c r="J1259" s="104" t="str">
        <f t="shared" si="1138"/>
        <v/>
      </c>
      <c r="K1259" s="104"/>
      <c r="L1259" s="105"/>
      <c r="M1259" s="104"/>
      <c r="N1259" s="104"/>
      <c r="O1259" s="104"/>
      <c r="P1259" s="104"/>
      <c r="Q1259" s="104"/>
      <c r="R1259" s="104"/>
      <c r="S1259" s="104"/>
      <c r="T1259" s="107"/>
      <c r="U1259" s="107"/>
    </row>
    <row r="1260" ht="15.75" hidden="1" customHeight="1">
      <c r="A1260" s="103"/>
      <c r="B1260" s="104" t="str">
        <f>"Reference1"</f>
        <v>Reference1</v>
      </c>
      <c r="C1260" s="104" t="str">
        <f>"yfs_order_audit.reference_1"</f>
        <v>yfs_order_audit.reference_1</v>
      </c>
      <c r="D1260" s="104" t="str">
        <f t="shared" si="1130"/>
        <v>string</v>
      </c>
      <c r="E1260" s="105" t="str">
        <f t="shared" ref="E1260:E1263" si="1139">"254"</f>
        <v>254</v>
      </c>
      <c r="F1260" s="104" t="s">
        <v>1183</v>
      </c>
      <c r="G1260" s="103" t="str">
        <f t="shared" si="1101"/>
        <v>O</v>
      </c>
      <c r="H1260" s="103" t="str">
        <f t="shared" si="1132"/>
        <v>space</v>
      </c>
      <c r="I1260" s="104" t="str">
        <f t="shared" si="1137"/>
        <v/>
      </c>
      <c r="J1260" s="104" t="str">
        <f t="shared" si="1138"/>
        <v/>
      </c>
      <c r="K1260" s="104"/>
      <c r="L1260" s="105"/>
      <c r="M1260" s="104"/>
      <c r="N1260" s="104"/>
      <c r="O1260" s="104"/>
      <c r="P1260" s="104"/>
      <c r="Q1260" s="104"/>
      <c r="R1260" s="104"/>
      <c r="S1260" s="104"/>
      <c r="T1260" s="107"/>
      <c r="U1260" s="107"/>
    </row>
    <row r="1261" ht="15.75" hidden="1" customHeight="1">
      <c r="A1261" s="103"/>
      <c r="B1261" s="104" t="str">
        <f>"Reference2"</f>
        <v>Reference2</v>
      </c>
      <c r="C1261" s="104" t="str">
        <f>"yfs_order_audit.reference_2"</f>
        <v>yfs_order_audit.reference_2</v>
      </c>
      <c r="D1261" s="104" t="str">
        <f t="shared" si="1130"/>
        <v>string</v>
      </c>
      <c r="E1261" s="105" t="str">
        <f t="shared" si="1139"/>
        <v>254</v>
      </c>
      <c r="F1261" s="104" t="s">
        <v>1183</v>
      </c>
      <c r="G1261" s="103" t="str">
        <f t="shared" si="1101"/>
        <v>O</v>
      </c>
      <c r="H1261" s="103" t="str">
        <f t="shared" si="1132"/>
        <v>space</v>
      </c>
      <c r="I1261" s="104" t="str">
        <f t="shared" si="1137"/>
        <v/>
      </c>
      <c r="J1261" s="104" t="str">
        <f t="shared" si="1138"/>
        <v/>
      </c>
      <c r="K1261" s="104"/>
      <c r="L1261" s="105"/>
      <c r="M1261" s="104"/>
      <c r="N1261" s="104"/>
      <c r="O1261" s="104"/>
      <c r="P1261" s="104"/>
      <c r="Q1261" s="104"/>
      <c r="R1261" s="104"/>
      <c r="S1261" s="104"/>
      <c r="T1261" s="107"/>
      <c r="U1261" s="107"/>
    </row>
    <row r="1262" ht="15.75" hidden="1" customHeight="1">
      <c r="A1262" s="103"/>
      <c r="B1262" s="104" t="str">
        <f>"Reference3"</f>
        <v>Reference3</v>
      </c>
      <c r="C1262" s="104" t="str">
        <f>"yfs_order_audit.reference_3"</f>
        <v>yfs_order_audit.reference_3</v>
      </c>
      <c r="D1262" s="104" t="str">
        <f t="shared" si="1130"/>
        <v>string</v>
      </c>
      <c r="E1262" s="105" t="str">
        <f t="shared" si="1139"/>
        <v>254</v>
      </c>
      <c r="F1262" s="104" t="s">
        <v>1184</v>
      </c>
      <c r="G1262" s="103" t="str">
        <f t="shared" si="1101"/>
        <v>O</v>
      </c>
      <c r="H1262" s="103" t="str">
        <f t="shared" si="1132"/>
        <v>space</v>
      </c>
      <c r="I1262" s="104" t="str">
        <f t="shared" si="1137"/>
        <v/>
      </c>
      <c r="J1262" s="104" t="str">
        <f t="shared" si="1138"/>
        <v/>
      </c>
      <c r="K1262" s="104"/>
      <c r="L1262" s="105"/>
      <c r="M1262" s="104"/>
      <c r="N1262" s="104"/>
      <c r="O1262" s="104"/>
      <c r="P1262" s="104"/>
      <c r="Q1262" s="104"/>
      <c r="R1262" s="104"/>
      <c r="S1262" s="104"/>
      <c r="T1262" s="107"/>
      <c r="U1262" s="107"/>
    </row>
    <row r="1263" ht="15.75" hidden="1" customHeight="1">
      <c r="A1263" s="103"/>
      <c r="B1263" s="104" t="str">
        <f>"Reference4"</f>
        <v>Reference4</v>
      </c>
      <c r="C1263" s="104" t="str">
        <f>"yfs_order_audit.reference_4"</f>
        <v>yfs_order_audit.reference_4</v>
      </c>
      <c r="D1263" s="104" t="str">
        <f t="shared" si="1130"/>
        <v>string</v>
      </c>
      <c r="E1263" s="105" t="str">
        <f t="shared" si="1139"/>
        <v>254</v>
      </c>
      <c r="F1263" s="104" t="s">
        <v>1184</v>
      </c>
      <c r="G1263" s="103" t="str">
        <f t="shared" si="1101"/>
        <v>O</v>
      </c>
      <c r="H1263" s="103" t="str">
        <f t="shared" si="1132"/>
        <v>space</v>
      </c>
      <c r="I1263" s="104" t="str">
        <f t="shared" si="1137"/>
        <v/>
      </c>
      <c r="J1263" s="104" t="str">
        <f t="shared" si="1138"/>
        <v/>
      </c>
      <c r="K1263" s="104"/>
      <c r="L1263" s="105"/>
      <c r="M1263" s="104"/>
      <c r="N1263" s="104"/>
      <c r="O1263" s="104"/>
      <c r="P1263" s="104"/>
      <c r="Q1263" s="104"/>
      <c r="R1263" s="104"/>
      <c r="S1263" s="104"/>
      <c r="T1263" s="107"/>
      <c r="U1263" s="107"/>
    </row>
    <row r="1264" ht="15.75" hidden="1" customHeight="1">
      <c r="A1264" s="103"/>
      <c r="B1264" s="104" t="str">
        <f>"XMLFlag"</f>
        <v>XMLFlag</v>
      </c>
      <c r="C1264" s="104" t="str">
        <f>"yfs_order_audit.xml_format"</f>
        <v>yfs_order_audit.xml_format</v>
      </c>
      <c r="D1264" s="104" t="str">
        <f t="shared" si="1130"/>
        <v>string</v>
      </c>
      <c r="E1264" s="105" t="str">
        <f>"1"</f>
        <v>1</v>
      </c>
      <c r="F1264" s="104" t="s">
        <v>1185</v>
      </c>
      <c r="G1264" s="103" t="str">
        <f t="shared" si="1101"/>
        <v>O</v>
      </c>
      <c r="H1264" s="103" t="str">
        <f t="shared" si="1132"/>
        <v>space</v>
      </c>
      <c r="I1264" s="104" t="str">
        <f t="shared" si="1137"/>
        <v/>
      </c>
      <c r="J1264" s="104" t="str">
        <f t="shared" si="1138"/>
        <v/>
      </c>
      <c r="K1264" s="104"/>
      <c r="L1264" s="105"/>
      <c r="M1264" s="104"/>
      <c r="N1264" s="104"/>
      <c r="O1264" s="104"/>
      <c r="P1264" s="104"/>
      <c r="Q1264" s="104"/>
      <c r="R1264" s="104"/>
      <c r="S1264" s="104"/>
      <c r="T1264" s="107"/>
      <c r="U1264" s="107"/>
    </row>
    <row r="1265" ht="15.75" hidden="1" customHeight="1">
      <c r="A1265" s="103"/>
      <c r="B1265" s="104" t="str">
        <f>"isHistory"</f>
        <v>isHistory</v>
      </c>
      <c r="C1265" s="104" t="str">
        <f>""</f>
        <v/>
      </c>
      <c r="D1265" s="104" t="str">
        <f t="shared" si="1130"/>
        <v>string</v>
      </c>
      <c r="E1265" s="105" t="str">
        <f>""</f>
        <v/>
      </c>
      <c r="F1265" s="104" t="s">
        <v>83</v>
      </c>
      <c r="G1265" s="103" t="str">
        <f t="shared" si="1101"/>
        <v>O</v>
      </c>
      <c r="H1265" s="103" t="str">
        <f t="shared" ref="H1265:J1265" si="1140">""</f>
        <v/>
      </c>
      <c r="I1265" s="104" t="str">
        <f t="shared" si="1140"/>
        <v/>
      </c>
      <c r="J1265" s="104" t="str">
        <f t="shared" si="1140"/>
        <v/>
      </c>
      <c r="K1265" s="104"/>
      <c r="L1265" s="105"/>
      <c r="M1265" s="104"/>
      <c r="N1265" s="104"/>
      <c r="O1265" s="104"/>
      <c r="P1265" s="104"/>
      <c r="Q1265" s="104"/>
      <c r="R1265" s="104"/>
      <c r="S1265" s="104"/>
      <c r="T1265" s="107"/>
      <c r="U1265" s="107"/>
    </row>
    <row r="1266" ht="15.75" hidden="1" customHeight="1">
      <c r="A1266" s="196"/>
      <c r="B1266" s="170" t="str">
        <f>"/Order/OrderAudits/OrderAudit/OrderAuditLevels"</f>
        <v>/Order/OrderAudits/OrderAudit/OrderAuditLevels</v>
      </c>
      <c r="C1266" s="170"/>
      <c r="D1266" s="170"/>
      <c r="E1266" s="170"/>
      <c r="F1266" s="170"/>
      <c r="G1266" s="196" t="str">
        <f t="shared" si="1101"/>
        <v>O</v>
      </c>
      <c r="H1266" s="170"/>
      <c r="I1266" s="170"/>
      <c r="J1266" s="170"/>
      <c r="K1266" s="170"/>
      <c r="L1266" s="170"/>
      <c r="M1266" s="170"/>
      <c r="N1266" s="170"/>
      <c r="O1266" s="170"/>
      <c r="P1266" s="170"/>
      <c r="Q1266" s="170"/>
      <c r="R1266" s="170"/>
      <c r="S1266" s="170"/>
      <c r="T1266" s="197"/>
      <c r="U1266" s="197"/>
    </row>
    <row r="1267" ht="15.75" hidden="1" customHeight="1">
      <c r="A1267" s="196"/>
      <c r="B1267" s="170" t="str">
        <f>"/Order/OrderAudits/OrderAudit/OrderAuditLevels/OrderAuditLevel/@"</f>
        <v>/Order/OrderAudits/OrderAudit/OrderAuditLevels/OrderAuditLevel/@</v>
      </c>
      <c r="C1267" s="170"/>
      <c r="D1267" s="170"/>
      <c r="E1267" s="170"/>
      <c r="F1267" s="170"/>
      <c r="G1267" s="196" t="str">
        <f t="shared" si="1101"/>
        <v>O</v>
      </c>
      <c r="H1267" s="170"/>
      <c r="I1267" s="170"/>
      <c r="J1267" s="170"/>
      <c r="K1267" s="170"/>
      <c r="L1267" s="170"/>
      <c r="M1267" s="170"/>
      <c r="N1267" s="170"/>
      <c r="O1267" s="170"/>
      <c r="P1267" s="170"/>
      <c r="Q1267" s="170"/>
      <c r="R1267" s="170"/>
      <c r="S1267" s="170"/>
      <c r="T1267" s="197"/>
      <c r="U1267" s="197"/>
    </row>
    <row r="1268" ht="15.75" hidden="1" customHeight="1">
      <c r="A1268" s="103"/>
      <c r="B1268" s="104" t="str">
        <f>"ModificationLevel"</f>
        <v>ModificationLevel</v>
      </c>
      <c r="C1268" s="104" t="str">
        <f>"yfs_order_audit_level.modification_level"</f>
        <v>yfs_order_audit_level.modification_level</v>
      </c>
      <c r="D1268" s="104" t="str">
        <f t="shared" ref="D1268:D1270" si="1142">"string"</f>
        <v>string</v>
      </c>
      <c r="E1268" s="105" t="str">
        <f>"40"</f>
        <v>40</v>
      </c>
      <c r="F1268" s="104" t="s">
        <v>1186</v>
      </c>
      <c r="G1268" s="103" t="str">
        <f t="shared" si="1101"/>
        <v>O</v>
      </c>
      <c r="H1268" s="103" t="str">
        <f t="shared" ref="H1268:H1270" si="1143">"space"</f>
        <v>space</v>
      </c>
      <c r="I1268" s="104" t="str">
        <f t="shared" ref="I1268:J1268" si="1141">""</f>
        <v/>
      </c>
      <c r="J1268" s="104" t="str">
        <f t="shared" si="1141"/>
        <v/>
      </c>
      <c r="K1268" s="104"/>
      <c r="L1268" s="105"/>
      <c r="M1268" s="104"/>
      <c r="N1268" s="104"/>
      <c r="O1268" s="104"/>
      <c r="P1268" s="104"/>
      <c r="Q1268" s="104"/>
      <c r="R1268" s="104"/>
      <c r="S1268" s="104"/>
      <c r="T1268" s="107"/>
      <c r="U1268" s="107"/>
    </row>
    <row r="1269" ht="15.75" hidden="1" customHeight="1">
      <c r="A1269" s="103"/>
      <c r="B1269" s="104" t="str">
        <f>"ModificationType"</f>
        <v>ModificationType</v>
      </c>
      <c r="C1269" s="104" t="str">
        <f>"yfs_order_audit_level.modification_type"</f>
        <v>yfs_order_audit_level.modification_type</v>
      </c>
      <c r="D1269" s="104" t="str">
        <f t="shared" si="1142"/>
        <v>string</v>
      </c>
      <c r="E1269" s="105" t="str">
        <f>"4000"</f>
        <v>4000</v>
      </c>
      <c r="F1269" s="104" t="s">
        <v>1187</v>
      </c>
      <c r="G1269" s="103" t="str">
        <f t="shared" si="1101"/>
        <v>O</v>
      </c>
      <c r="H1269" s="103" t="str">
        <f t="shared" si="1143"/>
        <v>space</v>
      </c>
      <c r="I1269" s="104" t="str">
        <f t="shared" ref="I1269:J1269" si="1144">""</f>
        <v/>
      </c>
      <c r="J1269" s="104" t="str">
        <f t="shared" si="1144"/>
        <v/>
      </c>
      <c r="K1269" s="104"/>
      <c r="L1269" s="105"/>
      <c r="M1269" s="104"/>
      <c r="N1269" s="104"/>
      <c r="O1269" s="104"/>
      <c r="P1269" s="104"/>
      <c r="Q1269" s="104"/>
      <c r="R1269" s="104"/>
      <c r="S1269" s="104"/>
      <c r="T1269" s="107"/>
      <c r="U1269" s="107"/>
    </row>
    <row r="1270" ht="15.75" hidden="1" customHeight="1">
      <c r="A1270" s="103"/>
      <c r="B1270" s="104" t="str">
        <f>"OrderLineKey"</f>
        <v>OrderLineKey</v>
      </c>
      <c r="C1270" s="104" t="str">
        <f>"yfs_order_audit_level.order_line_key"</f>
        <v>yfs_order_audit_level.order_line_key</v>
      </c>
      <c r="D1270" s="104" t="str">
        <f t="shared" si="1142"/>
        <v>string</v>
      </c>
      <c r="E1270" s="105" t="str">
        <f>"24"</f>
        <v>24</v>
      </c>
      <c r="F1270" s="104" t="s">
        <v>1188</v>
      </c>
      <c r="G1270" s="103" t="str">
        <f t="shared" si="1101"/>
        <v>O</v>
      </c>
      <c r="H1270" s="103" t="str">
        <f t="shared" si="1143"/>
        <v>space</v>
      </c>
      <c r="I1270" s="104" t="str">
        <f>""</f>
        <v/>
      </c>
      <c r="J1270" s="104" t="str">
        <f>"2010050314595405299"</f>
        <v>2010050314595405299</v>
      </c>
      <c r="K1270" s="104"/>
      <c r="L1270" s="105"/>
      <c r="M1270" s="104"/>
      <c r="N1270" s="104"/>
      <c r="O1270" s="104"/>
      <c r="P1270" s="104"/>
      <c r="Q1270" s="104"/>
      <c r="R1270" s="104"/>
      <c r="S1270" s="104"/>
      <c r="T1270" s="107"/>
      <c r="U1270" s="107"/>
    </row>
    <row r="1271" ht="15.75" hidden="1" customHeight="1">
      <c r="A1271" s="196"/>
      <c r="B1271" s="170" t="str">
        <f>"/Order/OrderAudits/OrderAudit/OrderAuditLevels/OrderAuditLevel/OrderLine/@"</f>
        <v>/Order/OrderAudits/OrderAudit/OrderAuditLevels/OrderAuditLevel/OrderLine/@</v>
      </c>
      <c r="C1271" s="170"/>
      <c r="D1271" s="170"/>
      <c r="E1271" s="170"/>
      <c r="F1271" s="170"/>
      <c r="G1271" s="196" t="str">
        <f t="shared" si="1101"/>
        <v>O</v>
      </c>
      <c r="H1271" s="170"/>
      <c r="I1271" s="170"/>
      <c r="J1271" s="170"/>
      <c r="K1271" s="170"/>
      <c r="L1271" s="170"/>
      <c r="M1271" s="170"/>
      <c r="N1271" s="170"/>
      <c r="O1271" s="170"/>
      <c r="P1271" s="170"/>
      <c r="Q1271" s="170"/>
      <c r="R1271" s="170"/>
      <c r="S1271" s="170"/>
      <c r="T1271" s="197"/>
      <c r="U1271" s="197"/>
    </row>
    <row r="1272" ht="15.75" hidden="1" customHeight="1">
      <c r="A1272" s="103"/>
      <c r="B1272" s="104" t="str">
        <f>"PrimeLineNo"</f>
        <v>PrimeLineNo</v>
      </c>
      <c r="C1272" s="104" t="str">
        <f>"yfs_order_line.prime_line_no"</f>
        <v>yfs_order_line.prime_line_no</v>
      </c>
      <c r="D1272" s="104" t="str">
        <f t="shared" ref="D1272:D1273" si="1145">"nonNegativeInteger"</f>
        <v>nonNegativeInteger</v>
      </c>
      <c r="E1272" s="105" t="str">
        <f t="shared" ref="E1272:E1273" si="1146">"5"</f>
        <v>5</v>
      </c>
      <c r="F1272" s="104" t="s">
        <v>511</v>
      </c>
      <c r="G1272" s="103" t="str">
        <f t="shared" si="1101"/>
        <v>O</v>
      </c>
      <c r="H1272" s="103" t="str">
        <f t="shared" ref="H1272:H1273" si="1147">"0 "</f>
        <v>0 </v>
      </c>
      <c r="I1272" s="104" t="str">
        <f t="shared" ref="I1272:I1273" si="1148">""</f>
        <v/>
      </c>
      <c r="J1272" s="104" t="str">
        <f t="shared" ref="J1272:J1273" si="1149">"1"</f>
        <v>1</v>
      </c>
      <c r="K1272" s="104"/>
      <c r="L1272" s="105"/>
      <c r="M1272" s="104"/>
      <c r="N1272" s="104"/>
      <c r="O1272" s="104"/>
      <c r="P1272" s="104"/>
      <c r="Q1272" s="104"/>
      <c r="R1272" s="104"/>
      <c r="S1272" s="104"/>
      <c r="T1272" s="107"/>
      <c r="U1272" s="107"/>
    </row>
    <row r="1273" ht="15.75" hidden="1" customHeight="1">
      <c r="A1273" s="103"/>
      <c r="B1273" s="104" t="str">
        <f>"SubLineNo"</f>
        <v>SubLineNo</v>
      </c>
      <c r="C1273" s="104" t="str">
        <f>"yfs_order_line.sub_line_no"</f>
        <v>yfs_order_line.sub_line_no</v>
      </c>
      <c r="D1273" s="104" t="str">
        <f t="shared" si="1145"/>
        <v>nonNegativeInteger</v>
      </c>
      <c r="E1273" s="105" t="str">
        <f t="shared" si="1146"/>
        <v>5</v>
      </c>
      <c r="F1273" s="104" t="s">
        <v>512</v>
      </c>
      <c r="G1273" s="103" t="str">
        <f t="shared" si="1101"/>
        <v>O</v>
      </c>
      <c r="H1273" s="103" t="str">
        <f t="shared" si="1147"/>
        <v>0 </v>
      </c>
      <c r="I1273" s="104" t="str">
        <f t="shared" si="1148"/>
        <v/>
      </c>
      <c r="J1273" s="104" t="str">
        <f t="shared" si="1149"/>
        <v>1</v>
      </c>
      <c r="K1273" s="104"/>
      <c r="L1273" s="105"/>
      <c r="M1273" s="104"/>
      <c r="N1273" s="104"/>
      <c r="O1273" s="104"/>
      <c r="P1273" s="104"/>
      <c r="Q1273" s="104"/>
      <c r="R1273" s="104"/>
      <c r="S1273" s="104"/>
      <c r="T1273" s="107"/>
      <c r="U1273" s="107"/>
    </row>
    <row r="1274" ht="15.75" hidden="1" customHeight="1">
      <c r="A1274" s="103"/>
      <c r="B1274" s="104" t="str">
        <f>"TransactionalLineId"</f>
        <v>TransactionalLineId</v>
      </c>
      <c r="C1274" s="104" t="str">
        <f>""</f>
        <v/>
      </c>
      <c r="D1274" s="104" t="str">
        <f>"string"</f>
        <v>string</v>
      </c>
      <c r="E1274" s="105" t="str">
        <f>"40"</f>
        <v>40</v>
      </c>
      <c r="F1274" s="104" t="s">
        <v>930</v>
      </c>
      <c r="G1274" s="103" t="str">
        <f t="shared" si="1101"/>
        <v>O</v>
      </c>
      <c r="H1274" s="103" t="str">
        <f t="shared" ref="H1274:J1274" si="1150">""</f>
        <v/>
      </c>
      <c r="I1274" s="104" t="str">
        <f t="shared" si="1150"/>
        <v/>
      </c>
      <c r="J1274" s="104" t="str">
        <f t="shared" si="1150"/>
        <v/>
      </c>
      <c r="K1274" s="104"/>
      <c r="L1274" s="105"/>
      <c r="M1274" s="104"/>
      <c r="N1274" s="104"/>
      <c r="O1274" s="104"/>
      <c r="P1274" s="104"/>
      <c r="Q1274" s="104"/>
      <c r="R1274" s="104"/>
      <c r="S1274" s="104"/>
      <c r="T1274" s="107"/>
      <c r="U1274" s="107"/>
    </row>
    <row r="1275" ht="15.75" hidden="1" customHeight="1">
      <c r="A1275" s="196"/>
      <c r="B1275" s="170" t="str">
        <f>"/Order/OrderAudits/OrderAudit/OrderAuditLevels/OrderAuditLevel/OrderAuditDetails"</f>
        <v>/Order/OrderAudits/OrderAudit/OrderAuditLevels/OrderAuditLevel/OrderAuditDetails</v>
      </c>
      <c r="C1275" s="170"/>
      <c r="D1275" s="170"/>
      <c r="E1275" s="170"/>
      <c r="F1275" s="170"/>
      <c r="G1275" s="196" t="str">
        <f t="shared" si="1101"/>
        <v>O</v>
      </c>
      <c r="H1275" s="170"/>
      <c r="I1275" s="170"/>
      <c r="J1275" s="170"/>
      <c r="K1275" s="170"/>
      <c r="L1275" s="170"/>
      <c r="M1275" s="170"/>
      <c r="N1275" s="170"/>
      <c r="O1275" s="170"/>
      <c r="P1275" s="170"/>
      <c r="Q1275" s="170"/>
      <c r="R1275" s="170"/>
      <c r="S1275" s="170"/>
      <c r="T1275" s="197"/>
      <c r="U1275" s="197"/>
    </row>
    <row r="1276" ht="15.75" hidden="1" customHeight="1">
      <c r="A1276" s="196"/>
      <c r="B1276" s="170" t="str">
        <f>"/Order/OrderAudits/OrderAudit/OrderAuditLevels/OrderAuditLevel/OrderAuditDetails/OrderAuditDetail/@"</f>
        <v>/Order/OrderAudits/OrderAudit/OrderAuditLevels/OrderAuditLevel/OrderAuditDetails/OrderAuditDetail/@</v>
      </c>
      <c r="C1276" s="170"/>
      <c r="D1276" s="170"/>
      <c r="E1276" s="170"/>
      <c r="F1276" s="170"/>
      <c r="G1276" s="196" t="str">
        <f t="shared" si="1101"/>
        <v>O</v>
      </c>
      <c r="H1276" s="170"/>
      <c r="I1276" s="170"/>
      <c r="J1276" s="170"/>
      <c r="K1276" s="170"/>
      <c r="L1276" s="170"/>
      <c r="M1276" s="170"/>
      <c r="N1276" s="170"/>
      <c r="O1276" s="170"/>
      <c r="P1276" s="170"/>
      <c r="Q1276" s="170"/>
      <c r="R1276" s="170"/>
      <c r="S1276" s="170"/>
      <c r="T1276" s="197"/>
      <c r="U1276" s="197"/>
    </row>
    <row r="1277" ht="15.75" hidden="1" customHeight="1">
      <c r="A1277" s="103"/>
      <c r="B1277" s="104" t="str">
        <f>"Action"</f>
        <v>Action</v>
      </c>
      <c r="C1277" s="104" t="str">
        <f t="shared" ref="C1277:C1278" si="1152">""</f>
        <v/>
      </c>
      <c r="D1277" s="104" t="str">
        <f t="shared" ref="D1277:D1278" si="1153">"string"</f>
        <v>string</v>
      </c>
      <c r="E1277" s="105" t="str">
        <f>"10"</f>
        <v>10</v>
      </c>
      <c r="F1277" s="104" t="s">
        <v>1189</v>
      </c>
      <c r="G1277" s="103" t="str">
        <f t="shared" si="1101"/>
        <v>O</v>
      </c>
      <c r="H1277" s="103" t="str">
        <f t="shared" ref="H1277:J1277" si="1151">""</f>
        <v/>
      </c>
      <c r="I1277" s="104" t="str">
        <f t="shared" si="1151"/>
        <v/>
      </c>
      <c r="J1277" s="104" t="str">
        <f t="shared" si="1151"/>
        <v/>
      </c>
      <c r="K1277" s="104"/>
      <c r="L1277" s="105"/>
      <c r="M1277" s="104"/>
      <c r="N1277" s="104"/>
      <c r="O1277" s="104"/>
      <c r="P1277" s="104"/>
      <c r="Q1277" s="104"/>
      <c r="R1277" s="104"/>
      <c r="S1277" s="104"/>
      <c r="T1277" s="107"/>
      <c r="U1277" s="107"/>
    </row>
    <row r="1278" ht="15.75" hidden="1" customHeight="1">
      <c r="A1278" s="103"/>
      <c r="B1278" s="104" t="str">
        <f>"AuditType"</f>
        <v>AuditType</v>
      </c>
      <c r="C1278" s="104" t="str">
        <f t="shared" si="1152"/>
        <v/>
      </c>
      <c r="D1278" s="104" t="str">
        <f t="shared" si="1153"/>
        <v>string</v>
      </c>
      <c r="E1278" s="105" t="str">
        <f>"30"</f>
        <v>30</v>
      </c>
      <c r="F1278" s="104" t="s">
        <v>1190</v>
      </c>
      <c r="G1278" s="103" t="str">
        <f t="shared" si="1101"/>
        <v>O</v>
      </c>
      <c r="H1278" s="103" t="str">
        <f t="shared" ref="H1278:J1278" si="1154">""</f>
        <v/>
      </c>
      <c r="I1278" s="104" t="str">
        <f t="shared" si="1154"/>
        <v/>
      </c>
      <c r="J1278" s="104" t="str">
        <f t="shared" si="1154"/>
        <v/>
      </c>
      <c r="K1278" s="104"/>
      <c r="L1278" s="105"/>
      <c r="M1278" s="104"/>
      <c r="N1278" s="104"/>
      <c r="O1278" s="104"/>
      <c r="P1278" s="104"/>
      <c r="Q1278" s="104"/>
      <c r="R1278" s="104"/>
      <c r="S1278" s="104"/>
      <c r="T1278" s="107"/>
      <c r="U1278" s="107"/>
    </row>
    <row r="1279" ht="15.75" hidden="1" customHeight="1">
      <c r="A1279" s="196"/>
      <c r="B1279" s="170" t="str">
        <f>"/Order/OrderAudits/OrderAudit/OrderAuditLevels/OrderAuditLevel/OrderAuditDetails/OrderAuditDetail/IDs"</f>
        <v>/Order/OrderAudits/OrderAudit/OrderAuditLevels/OrderAuditLevel/OrderAuditDetails/OrderAuditDetail/IDs</v>
      </c>
      <c r="C1279" s="170"/>
      <c r="D1279" s="170"/>
      <c r="E1279" s="170"/>
      <c r="F1279" s="170"/>
      <c r="G1279" s="196" t="str">
        <f t="shared" si="1101"/>
        <v>O</v>
      </c>
      <c r="H1279" s="170"/>
      <c r="I1279" s="170"/>
      <c r="J1279" s="170"/>
      <c r="K1279" s="170"/>
      <c r="L1279" s="170"/>
      <c r="M1279" s="170"/>
      <c r="N1279" s="170"/>
      <c r="O1279" s="170"/>
      <c r="P1279" s="170"/>
      <c r="Q1279" s="170"/>
      <c r="R1279" s="170"/>
      <c r="S1279" s="170"/>
      <c r="T1279" s="197"/>
      <c r="U1279" s="197"/>
    </row>
    <row r="1280" ht="15.75" hidden="1" customHeight="1">
      <c r="A1280" s="196"/>
      <c r="B1280" s="170" t="str">
        <f>"/Order/OrderAudits/OrderAudit/OrderAuditLevels/OrderAuditLevel/OrderAuditDetails/OrderAuditDetail/IDs/ID/@"</f>
        <v>/Order/OrderAudits/OrderAudit/OrderAuditLevels/OrderAuditLevel/OrderAuditDetails/OrderAuditDetail/IDs/ID/@</v>
      </c>
      <c r="C1280" s="170"/>
      <c r="D1280" s="170"/>
      <c r="E1280" s="170"/>
      <c r="F1280" s="170"/>
      <c r="G1280" s="196" t="str">
        <f t="shared" si="1101"/>
        <v>O</v>
      </c>
      <c r="H1280" s="170"/>
      <c r="I1280" s="170"/>
      <c r="J1280" s="170"/>
      <c r="K1280" s="170"/>
      <c r="L1280" s="170"/>
      <c r="M1280" s="170"/>
      <c r="N1280" s="170"/>
      <c r="O1280" s="170"/>
      <c r="P1280" s="170"/>
      <c r="Q1280" s="170"/>
      <c r="R1280" s="170"/>
      <c r="S1280" s="170"/>
      <c r="T1280" s="197"/>
      <c r="U1280" s="197"/>
    </row>
    <row r="1281" ht="15.75" hidden="1" customHeight="1">
      <c r="A1281" s="103"/>
      <c r="B1281" s="104" t="str">
        <f>"Name"</f>
        <v>Name</v>
      </c>
      <c r="C1281" s="104" t="str">
        <f t="shared" ref="C1281:C1282" si="1156">""</f>
        <v/>
      </c>
      <c r="D1281" s="104" t="str">
        <f t="shared" ref="D1281:D1282" si="1157">"string"</f>
        <v>string</v>
      </c>
      <c r="E1281" s="105" t="str">
        <f t="shared" ref="E1281:E1282" si="1158">"30"</f>
        <v>30</v>
      </c>
      <c r="F1281" s="104" t="s">
        <v>1191</v>
      </c>
      <c r="G1281" s="103" t="str">
        <f t="shared" si="1101"/>
        <v>O</v>
      </c>
      <c r="H1281" s="103" t="str">
        <f t="shared" ref="H1281:J1281" si="1155">""</f>
        <v/>
      </c>
      <c r="I1281" s="104" t="str">
        <f t="shared" si="1155"/>
        <v/>
      </c>
      <c r="J1281" s="104" t="str">
        <f t="shared" si="1155"/>
        <v/>
      </c>
      <c r="K1281" s="104"/>
      <c r="L1281" s="105"/>
      <c r="M1281" s="104"/>
      <c r="N1281" s="104"/>
      <c r="O1281" s="104"/>
      <c r="P1281" s="104"/>
      <c r="Q1281" s="104"/>
      <c r="R1281" s="104"/>
      <c r="S1281" s="104"/>
      <c r="T1281" s="107"/>
      <c r="U1281" s="107"/>
    </row>
    <row r="1282" ht="15.75" hidden="1" customHeight="1">
      <c r="A1282" s="103"/>
      <c r="B1282" s="104" t="str">
        <f>"Value"</f>
        <v>Value</v>
      </c>
      <c r="C1282" s="104" t="str">
        <f t="shared" si="1156"/>
        <v/>
      </c>
      <c r="D1282" s="104" t="str">
        <f t="shared" si="1157"/>
        <v>string</v>
      </c>
      <c r="E1282" s="105" t="str">
        <f t="shared" si="1158"/>
        <v>30</v>
      </c>
      <c r="F1282" s="104" t="s">
        <v>1192</v>
      </c>
      <c r="G1282" s="103" t="str">
        <f t="shared" si="1101"/>
        <v>O</v>
      </c>
      <c r="H1282" s="103" t="str">
        <f t="shared" ref="H1282:J1282" si="1159">""</f>
        <v/>
      </c>
      <c r="I1282" s="104" t="str">
        <f t="shared" si="1159"/>
        <v/>
      </c>
      <c r="J1282" s="104" t="str">
        <f t="shared" si="1159"/>
        <v/>
      </c>
      <c r="K1282" s="104"/>
      <c r="L1282" s="105"/>
      <c r="M1282" s="104"/>
      <c r="N1282" s="104"/>
      <c r="O1282" s="104"/>
      <c r="P1282" s="104"/>
      <c r="Q1282" s="104"/>
      <c r="R1282" s="104"/>
      <c r="S1282" s="104"/>
      <c r="T1282" s="107"/>
      <c r="U1282" s="107"/>
    </row>
    <row r="1283" ht="15.75" hidden="1" customHeight="1">
      <c r="A1283" s="196"/>
      <c r="B1283" s="170" t="str">
        <f>"/Order/OrderAudits/OrderAudit/OrderAuditLevels/OrderAuditLevel/OrderAuditDetails/OrderAuditDetail/Attributes"</f>
        <v>/Order/OrderAudits/OrderAudit/OrderAuditLevels/OrderAuditLevel/OrderAuditDetails/OrderAuditDetail/Attributes</v>
      </c>
      <c r="C1283" s="170"/>
      <c r="D1283" s="170"/>
      <c r="E1283" s="170"/>
      <c r="F1283" s="170"/>
      <c r="G1283" s="196" t="str">
        <f t="shared" si="1101"/>
        <v>O</v>
      </c>
      <c r="H1283" s="170"/>
      <c r="I1283" s="170"/>
      <c r="J1283" s="170"/>
      <c r="K1283" s="170"/>
      <c r="L1283" s="170"/>
      <c r="M1283" s="170"/>
      <c r="N1283" s="170"/>
      <c r="O1283" s="170"/>
      <c r="P1283" s="170"/>
      <c r="Q1283" s="170"/>
      <c r="R1283" s="170"/>
      <c r="S1283" s="170"/>
      <c r="T1283" s="197"/>
      <c r="U1283" s="197"/>
    </row>
    <row r="1284" ht="15.75" hidden="1" customHeight="1">
      <c r="A1284" s="196"/>
      <c r="B1284" s="170" t="str">
        <f>"/Order/OrderAudits/OrderAudit/OrderAuditLevels/OrderAuditLevel/OrderAuditDetails/OrderAuditDetail/Attributes/Attribute/@"</f>
        <v>/Order/OrderAudits/OrderAudit/OrderAuditLevels/OrderAuditLevel/OrderAuditDetails/OrderAuditDetail/Attributes/Attribute/@</v>
      </c>
      <c r="C1284" s="170"/>
      <c r="D1284" s="170"/>
      <c r="E1284" s="170"/>
      <c r="F1284" s="170"/>
      <c r="G1284" s="196" t="str">
        <f>"M"</f>
        <v>M</v>
      </c>
      <c r="H1284" s="170"/>
      <c r="I1284" s="170"/>
      <c r="J1284" s="170"/>
      <c r="K1284" s="170"/>
      <c r="L1284" s="170"/>
      <c r="M1284" s="170"/>
      <c r="N1284" s="170"/>
      <c r="O1284" s="170"/>
      <c r="P1284" s="170"/>
      <c r="Q1284" s="170"/>
      <c r="R1284" s="170"/>
      <c r="S1284" s="170"/>
      <c r="T1284" s="197"/>
      <c r="U1284" s="197"/>
    </row>
    <row r="1285" ht="15.75" hidden="1" customHeight="1">
      <c r="A1285" s="103"/>
      <c r="B1285" s="104" t="str">
        <f>"Extended"</f>
        <v>Extended</v>
      </c>
      <c r="C1285" s="104" t="str">
        <f t="shared" ref="C1285:C1289" si="1160">""</f>
        <v/>
      </c>
      <c r="D1285" s="104" t="str">
        <f t="shared" ref="D1285:D1289" si="1161">"string"</f>
        <v>string</v>
      </c>
      <c r="E1285" s="105" t="str">
        <f>"1"</f>
        <v>1</v>
      </c>
      <c r="F1285" s="104" t="s">
        <v>1193</v>
      </c>
      <c r="G1285" s="103" t="str">
        <f t="shared" ref="G1285:G1298" si="1162">"O"</f>
        <v>O</v>
      </c>
      <c r="H1285" s="103" t="str">
        <f t="shared" ref="H1285:H1289" si="1163">""</f>
        <v/>
      </c>
      <c r="I1285" s="104" t="str">
        <f>"N, Y"</f>
        <v>N, Y</v>
      </c>
      <c r="J1285" s="104" t="str">
        <f>""</f>
        <v/>
      </c>
      <c r="K1285" s="104"/>
      <c r="L1285" s="105"/>
      <c r="M1285" s="104"/>
      <c r="N1285" s="104"/>
      <c r="O1285" s="104"/>
      <c r="P1285" s="104"/>
      <c r="Q1285" s="104"/>
      <c r="R1285" s="104"/>
      <c r="S1285" s="104"/>
      <c r="T1285" s="107"/>
      <c r="U1285" s="107"/>
    </row>
    <row r="1286" ht="15.75" hidden="1" customHeight="1">
      <c r="A1286" s="103"/>
      <c r="B1286" s="104" t="str">
        <f>"ModificationType"</f>
        <v>ModificationType</v>
      </c>
      <c r="C1286" s="104" t="str">
        <f t="shared" si="1160"/>
        <v/>
      </c>
      <c r="D1286" s="104" t="str">
        <f t="shared" si="1161"/>
        <v>string</v>
      </c>
      <c r="E1286" s="105" t="str">
        <f>"40"</f>
        <v>40</v>
      </c>
      <c r="F1286" s="104" t="s">
        <v>1194</v>
      </c>
      <c r="G1286" s="103" t="str">
        <f t="shared" si="1162"/>
        <v>O</v>
      </c>
      <c r="H1286" s="103" t="str">
        <f t="shared" si="1163"/>
        <v/>
      </c>
      <c r="I1286" s="104" t="str">
        <f t="shared" ref="I1286:J1286" si="1164">""</f>
        <v/>
      </c>
      <c r="J1286" s="104" t="str">
        <f t="shared" si="1164"/>
        <v/>
      </c>
      <c r="K1286" s="104"/>
      <c r="L1286" s="105"/>
      <c r="M1286" s="104"/>
      <c r="N1286" s="104"/>
      <c r="O1286" s="104"/>
      <c r="P1286" s="104"/>
      <c r="Q1286" s="104"/>
      <c r="R1286" s="104"/>
      <c r="S1286" s="104"/>
      <c r="T1286" s="107"/>
      <c r="U1286" s="107"/>
    </row>
    <row r="1287" ht="15.75" hidden="1" customHeight="1">
      <c r="A1287" s="103"/>
      <c r="B1287" s="104" t="str">
        <f>"Name"</f>
        <v>Name</v>
      </c>
      <c r="C1287" s="104" t="str">
        <f t="shared" si="1160"/>
        <v/>
      </c>
      <c r="D1287" s="104" t="str">
        <f t="shared" si="1161"/>
        <v>string</v>
      </c>
      <c r="E1287" s="105" t="str">
        <f>"30"</f>
        <v>30</v>
      </c>
      <c r="F1287" s="104" t="s">
        <v>1195</v>
      </c>
      <c r="G1287" s="103" t="str">
        <f t="shared" si="1162"/>
        <v>O</v>
      </c>
      <c r="H1287" s="103" t="str">
        <f t="shared" si="1163"/>
        <v/>
      </c>
      <c r="I1287" s="104" t="str">
        <f t="shared" ref="I1287:J1287" si="1165">""</f>
        <v/>
      </c>
      <c r="J1287" s="104" t="str">
        <f t="shared" si="1165"/>
        <v/>
      </c>
      <c r="K1287" s="104"/>
      <c r="L1287" s="105"/>
      <c r="M1287" s="104"/>
      <c r="N1287" s="104"/>
      <c r="O1287" s="104"/>
      <c r="P1287" s="104"/>
      <c r="Q1287" s="104"/>
      <c r="R1287" s="104"/>
      <c r="S1287" s="104"/>
      <c r="T1287" s="107"/>
      <c r="U1287" s="107"/>
    </row>
    <row r="1288" ht="15.75" hidden="1" customHeight="1">
      <c r="A1288" s="103"/>
      <c r="B1288" s="104" t="str">
        <f>"NewValue"</f>
        <v>NewValue</v>
      </c>
      <c r="C1288" s="104" t="str">
        <f t="shared" si="1160"/>
        <v/>
      </c>
      <c r="D1288" s="104" t="str">
        <f t="shared" si="1161"/>
        <v>string</v>
      </c>
      <c r="E1288" s="105" t="str">
        <f t="shared" ref="E1288:E1289" si="1167">"100"</f>
        <v>100</v>
      </c>
      <c r="F1288" s="104" t="s">
        <v>1196</v>
      </c>
      <c r="G1288" s="103" t="str">
        <f t="shared" si="1162"/>
        <v>O</v>
      </c>
      <c r="H1288" s="103" t="str">
        <f t="shared" si="1163"/>
        <v/>
      </c>
      <c r="I1288" s="104" t="str">
        <f t="shared" ref="I1288:J1288" si="1166">""</f>
        <v/>
      </c>
      <c r="J1288" s="104" t="str">
        <f t="shared" si="1166"/>
        <v/>
      </c>
      <c r="K1288" s="104"/>
      <c r="L1288" s="105"/>
      <c r="M1288" s="104"/>
      <c r="N1288" s="104"/>
      <c r="O1288" s="104"/>
      <c r="P1288" s="104"/>
      <c r="Q1288" s="104"/>
      <c r="R1288" s="104"/>
      <c r="S1288" s="104"/>
      <c r="T1288" s="107"/>
      <c r="U1288" s="107"/>
    </row>
    <row r="1289" ht="15.75" hidden="1" customHeight="1">
      <c r="A1289" s="103"/>
      <c r="B1289" s="104" t="str">
        <f>"OldValue"</f>
        <v>OldValue</v>
      </c>
      <c r="C1289" s="104" t="str">
        <f t="shared" si="1160"/>
        <v/>
      </c>
      <c r="D1289" s="104" t="str">
        <f t="shared" si="1161"/>
        <v>string</v>
      </c>
      <c r="E1289" s="105" t="str">
        <f t="shared" si="1167"/>
        <v>100</v>
      </c>
      <c r="F1289" s="104" t="s">
        <v>1197</v>
      </c>
      <c r="G1289" s="103" t="str">
        <f t="shared" si="1162"/>
        <v>O</v>
      </c>
      <c r="H1289" s="103" t="str">
        <f t="shared" si="1163"/>
        <v/>
      </c>
      <c r="I1289" s="104" t="str">
        <f t="shared" ref="I1289:J1289" si="1168">""</f>
        <v/>
      </c>
      <c r="J1289" s="104" t="str">
        <f t="shared" si="1168"/>
        <v/>
      </c>
      <c r="K1289" s="104"/>
      <c r="L1289" s="105"/>
      <c r="M1289" s="104"/>
      <c r="N1289" s="104"/>
      <c r="O1289" s="104"/>
      <c r="P1289" s="104"/>
      <c r="Q1289" s="104"/>
      <c r="R1289" s="104"/>
      <c r="S1289" s="104"/>
      <c r="T1289" s="107"/>
      <c r="U1289" s="107"/>
    </row>
    <row r="1290" ht="15.75" hidden="1" customHeight="1">
      <c r="A1290" s="196"/>
      <c r="B1290" s="170" t="str">
        <f>"/Order/OrderAudits/OrderAudit/OrderAuditLevels/OrderAuditLevel/OrderAuditDetails/OrderAuditDetail/CustomAuditDetails"</f>
        <v>/Order/OrderAudits/OrderAudit/OrderAuditLevels/OrderAuditLevel/OrderAuditDetails/OrderAuditDetail/CustomAuditDetails</v>
      </c>
      <c r="C1290" s="170"/>
      <c r="D1290" s="170"/>
      <c r="E1290" s="170"/>
      <c r="F1290" s="170"/>
      <c r="G1290" s="196" t="str">
        <f t="shared" si="1162"/>
        <v>O</v>
      </c>
      <c r="H1290" s="170"/>
      <c r="I1290" s="170"/>
      <c r="J1290" s="170"/>
      <c r="K1290" s="170"/>
      <c r="L1290" s="170"/>
      <c r="M1290" s="170"/>
      <c r="N1290" s="170"/>
      <c r="O1290" s="170"/>
      <c r="P1290" s="170"/>
      <c r="Q1290" s="170"/>
      <c r="R1290" s="170"/>
      <c r="S1290" s="170"/>
      <c r="T1290" s="197"/>
      <c r="U1290" s="197"/>
    </row>
    <row r="1291" ht="15.75" hidden="1" customHeight="1">
      <c r="A1291" s="196"/>
      <c r="B1291" s="170" t="str">
        <f>"/Order/OrderAudits/OrderAudit/OrderAuditLevels/OrderAuditLevel/OrderAuditDetails/OrderAuditDetail/CustomAuditDetails/OrderAuditDetail/@"</f>
        <v>/Order/OrderAudits/OrderAudit/OrderAuditLevels/OrderAuditLevel/OrderAuditDetails/OrderAuditDetail/CustomAuditDetails/OrderAuditDetail/@</v>
      </c>
      <c r="C1291" s="170"/>
      <c r="D1291" s="170"/>
      <c r="E1291" s="170"/>
      <c r="F1291" s="170"/>
      <c r="G1291" s="196" t="str">
        <f t="shared" si="1162"/>
        <v>O</v>
      </c>
      <c r="H1291" s="170"/>
      <c r="I1291" s="170"/>
      <c r="J1291" s="170"/>
      <c r="K1291" s="170"/>
      <c r="L1291" s="170"/>
      <c r="M1291" s="170"/>
      <c r="N1291" s="170"/>
      <c r="O1291" s="170"/>
      <c r="P1291" s="170"/>
      <c r="Q1291" s="170"/>
      <c r="R1291" s="170"/>
      <c r="S1291" s="170"/>
      <c r="T1291" s="197"/>
      <c r="U1291" s="197"/>
    </row>
    <row r="1292" ht="15.75" hidden="1" customHeight="1">
      <c r="A1292" s="103"/>
      <c r="B1292" s="104" t="str">
        <f>"Action"</f>
        <v>Action</v>
      </c>
      <c r="C1292" s="104" t="str">
        <f t="shared" ref="C1292:C1293" si="1170">""</f>
        <v/>
      </c>
      <c r="D1292" s="104" t="str">
        <f t="shared" ref="D1292:D1293" si="1171">"string"</f>
        <v>string</v>
      </c>
      <c r="E1292" s="105" t="str">
        <f>"10"</f>
        <v>10</v>
      </c>
      <c r="F1292" s="104" t="s">
        <v>1189</v>
      </c>
      <c r="G1292" s="103" t="str">
        <f t="shared" si="1162"/>
        <v>O</v>
      </c>
      <c r="H1292" s="103" t="str">
        <f t="shared" ref="H1292:J1292" si="1169">""</f>
        <v/>
      </c>
      <c r="I1292" s="104" t="str">
        <f t="shared" si="1169"/>
        <v/>
      </c>
      <c r="J1292" s="104" t="str">
        <f t="shared" si="1169"/>
        <v/>
      </c>
      <c r="K1292" s="104"/>
      <c r="L1292" s="105"/>
      <c r="M1292" s="104"/>
      <c r="N1292" s="104"/>
      <c r="O1292" s="104"/>
      <c r="P1292" s="104"/>
      <c r="Q1292" s="104"/>
      <c r="R1292" s="104"/>
      <c r="S1292" s="104"/>
      <c r="T1292" s="107"/>
      <c r="U1292" s="107"/>
    </row>
    <row r="1293" ht="15.75" hidden="1" customHeight="1">
      <c r="A1293" s="103"/>
      <c r="B1293" s="104" t="str">
        <f>"AuditType"</f>
        <v>AuditType</v>
      </c>
      <c r="C1293" s="104" t="str">
        <f t="shared" si="1170"/>
        <v/>
      </c>
      <c r="D1293" s="104" t="str">
        <f t="shared" si="1171"/>
        <v>string</v>
      </c>
      <c r="E1293" s="105" t="str">
        <f>"30"</f>
        <v>30</v>
      </c>
      <c r="F1293" s="104" t="s">
        <v>1190</v>
      </c>
      <c r="G1293" s="103" t="str">
        <f t="shared" si="1162"/>
        <v>O</v>
      </c>
      <c r="H1293" s="103" t="str">
        <f t="shared" ref="H1293:J1293" si="1172">""</f>
        <v/>
      </c>
      <c r="I1293" s="104" t="str">
        <f t="shared" si="1172"/>
        <v/>
      </c>
      <c r="J1293" s="104" t="str">
        <f t="shared" si="1172"/>
        <v/>
      </c>
      <c r="K1293" s="104"/>
      <c r="L1293" s="105"/>
      <c r="M1293" s="104"/>
      <c r="N1293" s="104"/>
      <c r="O1293" s="104"/>
      <c r="P1293" s="104"/>
      <c r="Q1293" s="104"/>
      <c r="R1293" s="104"/>
      <c r="S1293" s="104"/>
      <c r="T1293" s="107"/>
      <c r="U1293" s="107"/>
    </row>
    <row r="1294" ht="15.75" hidden="1" customHeight="1">
      <c r="A1294" s="196"/>
      <c r="B1294" s="170" t="str">
        <f>"/Order/OrderAudits/OrderAudit/OrderAuditLevels/OrderAuditLevel/OrderAuditDetails/OrderAuditDetail/CustomAuditDetails/OrderAuditDetail/IDs"</f>
        <v>/Order/OrderAudits/OrderAudit/OrderAuditLevels/OrderAuditLevel/OrderAuditDetails/OrderAuditDetail/CustomAuditDetails/OrderAuditDetail/IDs</v>
      </c>
      <c r="C1294" s="170"/>
      <c r="D1294" s="170"/>
      <c r="E1294" s="170"/>
      <c r="F1294" s="170"/>
      <c r="G1294" s="196" t="str">
        <f t="shared" si="1162"/>
        <v>O</v>
      </c>
      <c r="H1294" s="170"/>
      <c r="I1294" s="170"/>
      <c r="J1294" s="170"/>
      <c r="K1294" s="170"/>
      <c r="L1294" s="170"/>
      <c r="M1294" s="170"/>
      <c r="N1294" s="170"/>
      <c r="O1294" s="170"/>
      <c r="P1294" s="170"/>
      <c r="Q1294" s="170"/>
      <c r="R1294" s="170"/>
      <c r="S1294" s="170"/>
      <c r="T1294" s="197"/>
      <c r="U1294" s="197"/>
    </row>
    <row r="1295" ht="15.75" hidden="1" customHeight="1">
      <c r="A1295" s="196"/>
      <c r="B1295" s="170" t="str">
        <f>"/Order/OrderAudits/OrderAudit/OrderAuditLevels/OrderAuditLevel/OrderAuditDetails/OrderAuditDetail/CustomAuditDetails/OrderAuditDetail/IDs/ID/@"</f>
        <v>/Order/OrderAudits/OrderAudit/OrderAuditLevels/OrderAuditLevel/OrderAuditDetails/OrderAuditDetail/CustomAuditDetails/OrderAuditDetail/IDs/ID/@</v>
      </c>
      <c r="C1295" s="170"/>
      <c r="D1295" s="170"/>
      <c r="E1295" s="170"/>
      <c r="F1295" s="170"/>
      <c r="G1295" s="196" t="str">
        <f t="shared" si="1162"/>
        <v>O</v>
      </c>
      <c r="H1295" s="170"/>
      <c r="I1295" s="170"/>
      <c r="J1295" s="170"/>
      <c r="K1295" s="170"/>
      <c r="L1295" s="170"/>
      <c r="M1295" s="170"/>
      <c r="N1295" s="170"/>
      <c r="O1295" s="170"/>
      <c r="P1295" s="170"/>
      <c r="Q1295" s="170"/>
      <c r="R1295" s="170"/>
      <c r="S1295" s="170"/>
      <c r="T1295" s="197"/>
      <c r="U1295" s="197"/>
    </row>
    <row r="1296" ht="15.75" hidden="1" customHeight="1">
      <c r="A1296" s="103"/>
      <c r="B1296" s="104" t="str">
        <f>"Name"</f>
        <v>Name</v>
      </c>
      <c r="C1296" s="104" t="str">
        <f t="shared" ref="C1296:C1297" si="1174">""</f>
        <v/>
      </c>
      <c r="D1296" s="104" t="str">
        <f t="shared" ref="D1296:D1297" si="1175">"string"</f>
        <v>string</v>
      </c>
      <c r="E1296" s="105" t="str">
        <f t="shared" ref="E1296:E1297" si="1176">"30"</f>
        <v>30</v>
      </c>
      <c r="F1296" s="104" t="s">
        <v>1191</v>
      </c>
      <c r="G1296" s="103" t="str">
        <f t="shared" si="1162"/>
        <v>O</v>
      </c>
      <c r="H1296" s="103" t="str">
        <f t="shared" ref="H1296:J1296" si="1173">""</f>
        <v/>
      </c>
      <c r="I1296" s="104" t="str">
        <f t="shared" si="1173"/>
        <v/>
      </c>
      <c r="J1296" s="104" t="str">
        <f t="shared" si="1173"/>
        <v/>
      </c>
      <c r="K1296" s="104"/>
      <c r="L1296" s="105"/>
      <c r="M1296" s="104"/>
      <c r="N1296" s="104"/>
      <c r="O1296" s="104"/>
      <c r="P1296" s="104"/>
      <c r="Q1296" s="104"/>
      <c r="R1296" s="104"/>
      <c r="S1296" s="104"/>
      <c r="T1296" s="107"/>
      <c r="U1296" s="107"/>
    </row>
    <row r="1297" ht="15.75" hidden="1" customHeight="1">
      <c r="A1297" s="103"/>
      <c r="B1297" s="104" t="str">
        <f>"Value"</f>
        <v>Value</v>
      </c>
      <c r="C1297" s="104" t="str">
        <f t="shared" si="1174"/>
        <v/>
      </c>
      <c r="D1297" s="104" t="str">
        <f t="shared" si="1175"/>
        <v>string</v>
      </c>
      <c r="E1297" s="105" t="str">
        <f t="shared" si="1176"/>
        <v>30</v>
      </c>
      <c r="F1297" s="104" t="s">
        <v>1192</v>
      </c>
      <c r="G1297" s="103" t="str">
        <f t="shared" si="1162"/>
        <v>O</v>
      </c>
      <c r="H1297" s="103" t="str">
        <f t="shared" ref="H1297:J1297" si="1177">""</f>
        <v/>
      </c>
      <c r="I1297" s="104" t="str">
        <f t="shared" si="1177"/>
        <v/>
      </c>
      <c r="J1297" s="104" t="str">
        <f t="shared" si="1177"/>
        <v/>
      </c>
      <c r="K1297" s="104"/>
      <c r="L1297" s="105"/>
      <c r="M1297" s="104"/>
      <c r="N1297" s="104"/>
      <c r="O1297" s="104"/>
      <c r="P1297" s="104"/>
      <c r="Q1297" s="104"/>
      <c r="R1297" s="104"/>
      <c r="S1297" s="104"/>
      <c r="T1297" s="107"/>
      <c r="U1297" s="107"/>
    </row>
    <row r="1298" ht="15.75" hidden="1" customHeight="1">
      <c r="A1298" s="196"/>
      <c r="B1298" s="170" t="str">
        <f>"/Order/OrderAudits/OrderAudit/OrderAuditLevels/OrderAuditLevel/OrderAuditDetails/OrderAuditDetail/CustomAuditDetails/OrderAuditDetail/Attributes"</f>
        <v>/Order/OrderAudits/OrderAudit/OrderAuditLevels/OrderAuditLevel/OrderAuditDetails/OrderAuditDetail/CustomAuditDetails/OrderAuditDetail/Attributes</v>
      </c>
      <c r="C1298" s="170"/>
      <c r="D1298" s="170"/>
      <c r="E1298" s="170"/>
      <c r="F1298" s="170"/>
      <c r="G1298" s="196" t="str">
        <f t="shared" si="1162"/>
        <v>O</v>
      </c>
      <c r="H1298" s="170"/>
      <c r="I1298" s="170"/>
      <c r="J1298" s="170"/>
      <c r="K1298" s="170"/>
      <c r="L1298" s="170"/>
      <c r="M1298" s="170"/>
      <c r="N1298" s="170"/>
      <c r="O1298" s="170"/>
      <c r="P1298" s="170"/>
      <c r="Q1298" s="170"/>
      <c r="R1298" s="170"/>
      <c r="S1298" s="170"/>
      <c r="T1298" s="197"/>
      <c r="U1298" s="197"/>
    </row>
    <row r="1299" ht="15.75" hidden="1" customHeight="1">
      <c r="A1299" s="196"/>
      <c r="B1299" s="170" t="str">
        <f>"/Order/OrderAudits/OrderAudit/OrderAuditLevels/OrderAuditLevel/OrderAuditDetails/OrderAuditDetail/CustomAuditDetails/OrderAuditDetail/Attributes/Attribute/@"</f>
        <v>/Order/OrderAudits/OrderAudit/OrderAuditLevels/OrderAuditLevel/OrderAuditDetails/OrderAuditDetail/CustomAuditDetails/OrderAuditDetail/Attributes/Attribute/@</v>
      </c>
      <c r="C1299" s="170"/>
      <c r="D1299" s="170"/>
      <c r="E1299" s="170"/>
      <c r="F1299" s="170"/>
      <c r="G1299" s="196" t="str">
        <f>"M"</f>
        <v>M</v>
      </c>
      <c r="H1299" s="170"/>
      <c r="I1299" s="170"/>
      <c r="J1299" s="170"/>
      <c r="K1299" s="170"/>
      <c r="L1299" s="170"/>
      <c r="M1299" s="170"/>
      <c r="N1299" s="170"/>
      <c r="O1299" s="170"/>
      <c r="P1299" s="170"/>
      <c r="Q1299" s="170"/>
      <c r="R1299" s="170"/>
      <c r="S1299" s="170"/>
      <c r="T1299" s="197"/>
      <c r="U1299" s="197"/>
    </row>
    <row r="1300" ht="15.75" hidden="1" customHeight="1">
      <c r="A1300" s="103"/>
      <c r="B1300" s="104" t="str">
        <f>"Extended"</f>
        <v>Extended</v>
      </c>
      <c r="C1300" s="104" t="str">
        <f t="shared" ref="C1300:C1304" si="1178">""</f>
        <v/>
      </c>
      <c r="D1300" s="104" t="str">
        <f t="shared" ref="D1300:D1304" si="1179">"string"</f>
        <v>string</v>
      </c>
      <c r="E1300" s="105" t="str">
        <f>"1"</f>
        <v>1</v>
      </c>
      <c r="F1300" s="104" t="s">
        <v>1193</v>
      </c>
      <c r="G1300" s="103" t="str">
        <f t="shared" ref="G1300:G1312" si="1180">"O"</f>
        <v>O</v>
      </c>
      <c r="H1300" s="103" t="str">
        <f t="shared" ref="H1300:H1304" si="1181">""</f>
        <v/>
      </c>
      <c r="I1300" s="104" t="str">
        <f>"N, Y"</f>
        <v>N, Y</v>
      </c>
      <c r="J1300" s="104" t="str">
        <f>""</f>
        <v/>
      </c>
      <c r="K1300" s="104"/>
      <c r="L1300" s="105"/>
      <c r="M1300" s="104"/>
      <c r="N1300" s="104"/>
      <c r="O1300" s="104"/>
      <c r="P1300" s="104"/>
      <c r="Q1300" s="104"/>
      <c r="R1300" s="104"/>
      <c r="S1300" s="104"/>
      <c r="T1300" s="107"/>
      <c r="U1300" s="107"/>
    </row>
    <row r="1301" ht="15.75" hidden="1" customHeight="1">
      <c r="A1301" s="103"/>
      <c r="B1301" s="104" t="str">
        <f>"ModificationType"</f>
        <v>ModificationType</v>
      </c>
      <c r="C1301" s="104" t="str">
        <f t="shared" si="1178"/>
        <v/>
      </c>
      <c r="D1301" s="104" t="str">
        <f t="shared" si="1179"/>
        <v>string</v>
      </c>
      <c r="E1301" s="105" t="str">
        <f>"40"</f>
        <v>40</v>
      </c>
      <c r="F1301" s="104" t="s">
        <v>1194</v>
      </c>
      <c r="G1301" s="103" t="str">
        <f t="shared" si="1180"/>
        <v>O</v>
      </c>
      <c r="H1301" s="103" t="str">
        <f t="shared" si="1181"/>
        <v/>
      </c>
      <c r="I1301" s="104" t="str">
        <f t="shared" ref="I1301:J1301" si="1182">""</f>
        <v/>
      </c>
      <c r="J1301" s="104" t="str">
        <f t="shared" si="1182"/>
        <v/>
      </c>
      <c r="K1301" s="104"/>
      <c r="L1301" s="105"/>
      <c r="M1301" s="104"/>
      <c r="N1301" s="104"/>
      <c r="O1301" s="104"/>
      <c r="P1301" s="104"/>
      <c r="Q1301" s="104"/>
      <c r="R1301" s="104"/>
      <c r="S1301" s="104"/>
      <c r="T1301" s="107"/>
      <c r="U1301" s="107"/>
    </row>
    <row r="1302" ht="15.75" hidden="1" customHeight="1">
      <c r="A1302" s="103"/>
      <c r="B1302" s="104" t="str">
        <f>"Name"</f>
        <v>Name</v>
      </c>
      <c r="C1302" s="104" t="str">
        <f t="shared" si="1178"/>
        <v/>
      </c>
      <c r="D1302" s="104" t="str">
        <f t="shared" si="1179"/>
        <v>string</v>
      </c>
      <c r="E1302" s="105" t="str">
        <f>"30"</f>
        <v>30</v>
      </c>
      <c r="F1302" s="104" t="s">
        <v>1195</v>
      </c>
      <c r="G1302" s="103" t="str">
        <f t="shared" si="1180"/>
        <v>O</v>
      </c>
      <c r="H1302" s="103" t="str">
        <f t="shared" si="1181"/>
        <v/>
      </c>
      <c r="I1302" s="104" t="str">
        <f t="shared" ref="I1302:J1302" si="1183">""</f>
        <v/>
      </c>
      <c r="J1302" s="104" t="str">
        <f t="shared" si="1183"/>
        <v/>
      </c>
      <c r="K1302" s="104"/>
      <c r="L1302" s="105"/>
      <c r="M1302" s="104"/>
      <c r="N1302" s="104"/>
      <c r="O1302" s="104"/>
      <c r="P1302" s="104"/>
      <c r="Q1302" s="104"/>
      <c r="R1302" s="104"/>
      <c r="S1302" s="104"/>
      <c r="T1302" s="107"/>
      <c r="U1302" s="107"/>
    </row>
    <row r="1303" ht="15.75" hidden="1" customHeight="1">
      <c r="A1303" s="103"/>
      <c r="B1303" s="104" t="str">
        <f>"NewValue"</f>
        <v>NewValue</v>
      </c>
      <c r="C1303" s="104" t="str">
        <f t="shared" si="1178"/>
        <v/>
      </c>
      <c r="D1303" s="104" t="str">
        <f t="shared" si="1179"/>
        <v>string</v>
      </c>
      <c r="E1303" s="105" t="str">
        <f t="shared" ref="E1303:E1304" si="1185">"100"</f>
        <v>100</v>
      </c>
      <c r="F1303" s="104" t="s">
        <v>1196</v>
      </c>
      <c r="G1303" s="103" t="str">
        <f t="shared" si="1180"/>
        <v>O</v>
      </c>
      <c r="H1303" s="103" t="str">
        <f t="shared" si="1181"/>
        <v/>
      </c>
      <c r="I1303" s="104" t="str">
        <f t="shared" ref="I1303:J1303" si="1184">""</f>
        <v/>
      </c>
      <c r="J1303" s="104" t="str">
        <f t="shared" si="1184"/>
        <v/>
      </c>
      <c r="K1303" s="104"/>
      <c r="L1303" s="105"/>
      <c r="M1303" s="104"/>
      <c r="N1303" s="104"/>
      <c r="O1303" s="104"/>
      <c r="P1303" s="104"/>
      <c r="Q1303" s="104"/>
      <c r="R1303" s="104"/>
      <c r="S1303" s="104"/>
      <c r="T1303" s="107"/>
      <c r="U1303" s="107"/>
    </row>
    <row r="1304" ht="15.75" hidden="1" customHeight="1">
      <c r="A1304" s="103"/>
      <c r="B1304" s="104" t="str">
        <f>"OldValue"</f>
        <v>OldValue</v>
      </c>
      <c r="C1304" s="104" t="str">
        <f t="shared" si="1178"/>
        <v/>
      </c>
      <c r="D1304" s="104" t="str">
        <f t="shared" si="1179"/>
        <v>string</v>
      </c>
      <c r="E1304" s="105" t="str">
        <f t="shared" si="1185"/>
        <v>100</v>
      </c>
      <c r="F1304" s="104" t="s">
        <v>1197</v>
      </c>
      <c r="G1304" s="103" t="str">
        <f t="shared" si="1180"/>
        <v>O</v>
      </c>
      <c r="H1304" s="103" t="str">
        <f t="shared" si="1181"/>
        <v/>
      </c>
      <c r="I1304" s="104" t="str">
        <f t="shared" ref="I1304:J1304" si="1186">""</f>
        <v/>
      </c>
      <c r="J1304" s="104" t="str">
        <f t="shared" si="1186"/>
        <v/>
      </c>
      <c r="K1304" s="104"/>
      <c r="L1304" s="105"/>
      <c r="M1304" s="104"/>
      <c r="N1304" s="104"/>
      <c r="O1304" s="104"/>
      <c r="P1304" s="104"/>
      <c r="Q1304" s="104"/>
      <c r="R1304" s="104"/>
      <c r="S1304" s="104"/>
      <c r="T1304" s="107"/>
      <c r="U1304" s="107"/>
    </row>
    <row r="1305" ht="15.75" hidden="1" customHeight="1">
      <c r="A1305" s="196"/>
      <c r="B1305" s="170" t="str">
        <f>"/Order/OrderAudits/OrderAudit/OrderAuditLevels/OrderAuditLevel/ModificationTypes"</f>
        <v>/Order/OrderAudits/OrderAudit/OrderAuditLevels/OrderAuditLevel/ModificationTypes</v>
      </c>
      <c r="C1305" s="170"/>
      <c r="D1305" s="170"/>
      <c r="E1305" s="170"/>
      <c r="F1305" s="170"/>
      <c r="G1305" s="196" t="str">
        <f t="shared" si="1180"/>
        <v>O</v>
      </c>
      <c r="H1305" s="170"/>
      <c r="I1305" s="170"/>
      <c r="J1305" s="170"/>
      <c r="K1305" s="170"/>
      <c r="L1305" s="170"/>
      <c r="M1305" s="170"/>
      <c r="N1305" s="170"/>
      <c r="O1305" s="170"/>
      <c r="P1305" s="170"/>
      <c r="Q1305" s="170"/>
      <c r="R1305" s="170"/>
      <c r="S1305" s="170"/>
      <c r="T1305" s="197"/>
      <c r="U1305" s="197"/>
    </row>
    <row r="1306" ht="15.75" hidden="1" customHeight="1">
      <c r="A1306" s="196"/>
      <c r="B1306" s="170" t="str">
        <f>"/Order/OrderAudits/OrderAudit/OrderAuditLevels/OrderAuditLevel/ModificationTypes/ModificationType/@"</f>
        <v>/Order/OrderAudits/OrderAudit/OrderAuditLevels/OrderAuditLevel/ModificationTypes/ModificationType/@</v>
      </c>
      <c r="C1306" s="170"/>
      <c r="D1306" s="170"/>
      <c r="E1306" s="170"/>
      <c r="F1306" s="170"/>
      <c r="G1306" s="196" t="str">
        <f t="shared" si="1180"/>
        <v>O</v>
      </c>
      <c r="H1306" s="170"/>
      <c r="I1306" s="170"/>
      <c r="J1306" s="170"/>
      <c r="K1306" s="170"/>
      <c r="L1306" s="170"/>
      <c r="M1306" s="170"/>
      <c r="N1306" s="170"/>
      <c r="O1306" s="170"/>
      <c r="P1306" s="170"/>
      <c r="Q1306" s="170"/>
      <c r="R1306" s="170"/>
      <c r="S1306" s="170"/>
      <c r="T1306" s="197"/>
      <c r="U1306" s="197"/>
    </row>
    <row r="1307" ht="15.75" hidden="1" customHeight="1">
      <c r="A1307" s="103"/>
      <c r="B1307" s="104" t="str">
        <f>"Name"</f>
        <v>Name</v>
      </c>
      <c r="C1307" s="104" t="str">
        <f>"yfs_order_audit.modification_type"</f>
        <v>yfs_order_audit.modification_type</v>
      </c>
      <c r="D1307" s="104" t="str">
        <f>"string"</f>
        <v>string</v>
      </c>
      <c r="E1307" s="105" t="str">
        <f>"40"</f>
        <v>40</v>
      </c>
      <c r="F1307" s="104" t="s">
        <v>1198</v>
      </c>
      <c r="G1307" s="103" t="str">
        <f t="shared" si="1180"/>
        <v>O</v>
      </c>
      <c r="H1307" s="103" t="str">
        <f>"space"</f>
        <v>space</v>
      </c>
      <c r="I1307" s="104" t="str">
        <f t="shared" ref="I1307:J1307" si="1187">""</f>
        <v/>
      </c>
      <c r="J1307" s="104" t="str">
        <f t="shared" si="1187"/>
        <v/>
      </c>
      <c r="K1307" s="104"/>
      <c r="L1307" s="105"/>
      <c r="M1307" s="104"/>
      <c r="N1307" s="104"/>
      <c r="O1307" s="104"/>
      <c r="P1307" s="104"/>
      <c r="Q1307" s="104"/>
      <c r="R1307" s="104"/>
      <c r="S1307" s="104"/>
      <c r="T1307" s="107"/>
      <c r="U1307" s="107"/>
    </row>
    <row r="1308" ht="15.75" hidden="1" customHeight="1">
      <c r="A1308" s="196"/>
      <c r="B1308" s="170" t="str">
        <f>"/Order/ReturnOrderForExchange/@"</f>
        <v>/Order/ReturnOrderForExchange/@</v>
      </c>
      <c r="C1308" s="170"/>
      <c r="D1308" s="170"/>
      <c r="E1308" s="170"/>
      <c r="F1308" s="170"/>
      <c r="G1308" s="196" t="str">
        <f t="shared" si="1180"/>
        <v>O</v>
      </c>
      <c r="H1308" s="170"/>
      <c r="I1308" s="170"/>
      <c r="J1308" s="170"/>
      <c r="K1308" s="170"/>
      <c r="L1308" s="170"/>
      <c r="M1308" s="170"/>
      <c r="N1308" s="170"/>
      <c r="O1308" s="170"/>
      <c r="P1308" s="170"/>
      <c r="Q1308" s="170"/>
      <c r="R1308" s="170"/>
      <c r="S1308" s="170"/>
      <c r="T1308" s="197"/>
      <c r="U1308" s="197"/>
    </row>
    <row r="1309" ht="15.75" hidden="1" customHeight="1">
      <c r="A1309" s="103"/>
      <c r="B1309" s="104" t="str">
        <f>"DocumentType"</f>
        <v>DocumentType</v>
      </c>
      <c r="C1309" s="104" t="str">
        <f>"yfs_order_header.document_type"</f>
        <v>yfs_order_header.document_type</v>
      </c>
      <c r="D1309" s="104" t="str">
        <f t="shared" ref="D1309:D1312" si="1188">"string"</f>
        <v>string</v>
      </c>
      <c r="E1309" s="105" t="str">
        <f>"40"</f>
        <v>40</v>
      </c>
      <c r="F1309" s="104" t="s">
        <v>508</v>
      </c>
      <c r="G1309" s="103" t="str">
        <f t="shared" si="1180"/>
        <v>O</v>
      </c>
      <c r="H1309" s="103" t="str">
        <f t="shared" ref="H1309:H1312" si="1189">"space"</f>
        <v>space</v>
      </c>
      <c r="I1309" s="104" t="str">
        <f t="shared" ref="I1309:I1312" si="1190">""</f>
        <v/>
      </c>
      <c r="J1309" s="104" t="str">
        <f>"0001"</f>
        <v>0001</v>
      </c>
      <c r="K1309" s="104"/>
      <c r="L1309" s="105"/>
      <c r="M1309" s="104"/>
      <c r="N1309" s="104"/>
      <c r="O1309" s="104"/>
      <c r="P1309" s="104"/>
      <c r="Q1309" s="104"/>
      <c r="R1309" s="104"/>
      <c r="S1309" s="104"/>
      <c r="T1309" s="107"/>
      <c r="U1309" s="107"/>
    </row>
    <row r="1310" ht="15.75" hidden="1" customHeight="1">
      <c r="A1310" s="103"/>
      <c r="B1310" s="104" t="str">
        <f>"EnterpriseCode"</f>
        <v>EnterpriseCode</v>
      </c>
      <c r="C1310" s="104" t="str">
        <f>"yfs_order_header.enterprise_key"</f>
        <v>yfs_order_header.enterprise_key</v>
      </c>
      <c r="D1310" s="104" t="str">
        <f t="shared" si="1188"/>
        <v>string</v>
      </c>
      <c r="E1310" s="105" t="str">
        <f t="shared" ref="E1310:E1311" si="1191">"24"</f>
        <v>24</v>
      </c>
      <c r="F1310" s="104" t="s">
        <v>509</v>
      </c>
      <c r="G1310" s="103" t="str">
        <f t="shared" si="1180"/>
        <v>O</v>
      </c>
      <c r="H1310" s="103" t="str">
        <f t="shared" si="1189"/>
        <v>space</v>
      </c>
      <c r="I1310" s="104" t="str">
        <f t="shared" si="1190"/>
        <v/>
      </c>
      <c r="J1310" s="104" t="str">
        <f>"SBUX"</f>
        <v>SBUX</v>
      </c>
      <c r="K1310" s="104"/>
      <c r="L1310" s="105"/>
      <c r="M1310" s="104"/>
      <c r="N1310" s="104"/>
      <c r="O1310" s="104"/>
      <c r="P1310" s="104"/>
      <c r="Q1310" s="104"/>
      <c r="R1310" s="104"/>
      <c r="S1310" s="104"/>
      <c r="T1310" s="107"/>
      <c r="U1310" s="107"/>
    </row>
    <row r="1311" ht="15.75" hidden="1" customHeight="1">
      <c r="A1311" s="103"/>
      <c r="B1311" s="104" t="str">
        <f>"OrderHeaderKey"</f>
        <v>OrderHeaderKey</v>
      </c>
      <c r="C1311" s="104" t="str">
        <f>"yfs_order_header.order_header_key"</f>
        <v>yfs_order_header.order_header_key</v>
      </c>
      <c r="D1311" s="104" t="str">
        <f t="shared" si="1188"/>
        <v>string</v>
      </c>
      <c r="E1311" s="105" t="str">
        <f t="shared" si="1191"/>
        <v>24</v>
      </c>
      <c r="F1311" s="104" t="s">
        <v>1199</v>
      </c>
      <c r="G1311" s="103" t="str">
        <f t="shared" si="1180"/>
        <v>O</v>
      </c>
      <c r="H1311" s="103" t="str">
        <f t="shared" si="1189"/>
        <v>space</v>
      </c>
      <c r="I1311" s="104" t="str">
        <f t="shared" si="1190"/>
        <v/>
      </c>
      <c r="J1311" s="104" t="str">
        <f>"2010050314595404781"</f>
        <v>2010050314595404781</v>
      </c>
      <c r="K1311" s="104"/>
      <c r="L1311" s="105"/>
      <c r="M1311" s="104"/>
      <c r="N1311" s="104"/>
      <c r="O1311" s="104"/>
      <c r="P1311" s="104"/>
      <c r="Q1311" s="104"/>
      <c r="R1311" s="104"/>
      <c r="S1311" s="104"/>
      <c r="T1311" s="107"/>
      <c r="U1311" s="107"/>
    </row>
    <row r="1312" ht="15.75" hidden="1" customHeight="1">
      <c r="A1312" s="103"/>
      <c r="B1312" s="104" t="str">
        <f>"OrderNo"</f>
        <v>OrderNo</v>
      </c>
      <c r="C1312" s="104" t="str">
        <f>"yfs_order_header.order_no"</f>
        <v>yfs_order_header.order_no</v>
      </c>
      <c r="D1312" s="104" t="str">
        <f t="shared" si="1188"/>
        <v>string</v>
      </c>
      <c r="E1312" s="105" t="str">
        <f>"40"</f>
        <v>40</v>
      </c>
      <c r="F1312" s="104" t="s">
        <v>1200</v>
      </c>
      <c r="G1312" s="103" t="str">
        <f t="shared" si="1180"/>
        <v>O</v>
      </c>
      <c r="H1312" s="103" t="str">
        <f t="shared" si="1189"/>
        <v>space</v>
      </c>
      <c r="I1312" s="104" t="str">
        <f t="shared" si="1190"/>
        <v/>
      </c>
      <c r="J1312" s="104" t="str">
        <f>"12345678"</f>
        <v>12345678</v>
      </c>
      <c r="K1312" s="104"/>
      <c r="L1312" s="105"/>
      <c r="M1312" s="104"/>
      <c r="N1312" s="104"/>
      <c r="O1312" s="104"/>
      <c r="P1312" s="104"/>
      <c r="Q1312" s="104"/>
      <c r="R1312" s="104"/>
      <c r="S1312" s="104"/>
      <c r="T1312" s="107"/>
      <c r="U1312" s="107"/>
    </row>
    <row r="1313" ht="15.75" customHeight="1">
      <c r="A1313" s="97" t="s">
        <v>66</v>
      </c>
      <c r="B1313" s="96" t="str">
        <f>"/Order/Instructions/@"</f>
        <v>/Order/Instructions/@</v>
      </c>
      <c r="C1313" s="96"/>
      <c r="D1313" s="96"/>
      <c r="E1313" s="97"/>
      <c r="F1313" s="98"/>
      <c r="G1313" s="100" t="s">
        <v>77</v>
      </c>
      <c r="H1313" s="97"/>
      <c r="I1313" s="96"/>
      <c r="J1313" s="96"/>
      <c r="K1313" s="96"/>
      <c r="L1313" s="100" t="s">
        <v>66</v>
      </c>
      <c r="M1313" s="99"/>
      <c r="N1313" s="99"/>
      <c r="O1313" s="99"/>
      <c r="P1313" s="99"/>
      <c r="Q1313" s="99"/>
      <c r="R1313" s="99"/>
      <c r="S1313" s="99"/>
      <c r="T1313" s="99"/>
      <c r="U1313" s="99"/>
    </row>
    <row r="1314">
      <c r="A1314" s="97" t="s">
        <v>66</v>
      </c>
      <c r="B1314" s="198" t="s">
        <v>1201</v>
      </c>
      <c r="C1314" s="96"/>
      <c r="D1314" s="96"/>
      <c r="E1314" s="97"/>
      <c r="F1314" s="199" t="s">
        <v>1202</v>
      </c>
      <c r="G1314" s="99" t="s">
        <v>134</v>
      </c>
      <c r="H1314" s="97"/>
      <c r="I1314" s="96"/>
      <c r="J1314" s="96"/>
      <c r="K1314" s="96"/>
      <c r="L1314" s="99"/>
      <c r="M1314" s="99"/>
      <c r="N1314" s="99"/>
      <c r="O1314" s="99"/>
      <c r="P1314" s="99"/>
      <c r="Q1314" s="99"/>
      <c r="R1314" s="99"/>
      <c r="S1314" s="99"/>
      <c r="T1314" s="99"/>
      <c r="U1314" s="99"/>
    </row>
    <row r="1315">
      <c r="A1315" s="250" t="s">
        <v>66</v>
      </c>
      <c r="B1315" s="322" t="s">
        <v>1203</v>
      </c>
      <c r="C1315" s="322" t="s">
        <v>1204</v>
      </c>
      <c r="D1315" s="322" t="s">
        <v>131</v>
      </c>
      <c r="E1315" s="322">
        <v>10.0</v>
      </c>
      <c r="F1315" s="323" t="s">
        <v>1205</v>
      </c>
      <c r="G1315" s="322" t="s">
        <v>77</v>
      </c>
      <c r="H1315" s="324"/>
      <c r="I1315" s="324"/>
      <c r="J1315" s="324"/>
      <c r="K1315" s="324"/>
      <c r="L1315" s="319" t="s">
        <v>66</v>
      </c>
      <c r="M1315" s="323" t="s">
        <v>1203</v>
      </c>
      <c r="N1315" s="322" t="s">
        <v>1203</v>
      </c>
      <c r="O1315" s="322" t="s">
        <v>1203</v>
      </c>
      <c r="P1315" s="323" t="s">
        <v>1203</v>
      </c>
      <c r="Q1315" s="322" t="s">
        <v>125</v>
      </c>
      <c r="R1315" s="324"/>
      <c r="S1315" s="324"/>
      <c r="T1315" s="324"/>
      <c r="U1315" s="324"/>
    </row>
    <row r="1316">
      <c r="A1316" s="250" t="s">
        <v>66</v>
      </c>
      <c r="B1316" s="322" t="s">
        <v>1206</v>
      </c>
      <c r="C1316" s="322" t="s">
        <v>1207</v>
      </c>
      <c r="D1316" s="322" t="s">
        <v>131</v>
      </c>
      <c r="E1316" s="322">
        <v>4000.0</v>
      </c>
      <c r="F1316" s="323" t="s">
        <v>1208</v>
      </c>
      <c r="G1316" s="322" t="s">
        <v>134</v>
      </c>
      <c r="H1316" s="324"/>
      <c r="I1316" s="324"/>
      <c r="J1316" s="324"/>
      <c r="K1316" s="324"/>
      <c r="L1316" s="319" t="s">
        <v>66</v>
      </c>
      <c r="M1316" s="323" t="s">
        <v>1209</v>
      </c>
      <c r="N1316" s="323" t="s">
        <v>1209</v>
      </c>
      <c r="O1316" s="323" t="s">
        <v>1209</v>
      </c>
      <c r="P1316" s="323" t="s">
        <v>1209</v>
      </c>
      <c r="Q1316" s="322" t="s">
        <v>125</v>
      </c>
      <c r="R1316" s="324"/>
      <c r="S1316" s="324"/>
      <c r="T1316" s="324"/>
      <c r="U1316" s="324"/>
    </row>
    <row r="1317" ht="15.0" customHeight="1">
      <c r="A1317" s="97" t="s">
        <v>66</v>
      </c>
      <c r="B1317" s="96" t="str">
        <f>"/Order/Extn"</f>
        <v>/Order/Extn</v>
      </c>
      <c r="C1317" s="96"/>
      <c r="D1317" s="96"/>
      <c r="E1317" s="97"/>
      <c r="F1317" s="98"/>
      <c r="G1317" s="99" t="s">
        <v>77</v>
      </c>
      <c r="H1317" s="97"/>
      <c r="I1317" s="96"/>
      <c r="J1317" s="96"/>
      <c r="K1317" s="96"/>
      <c r="L1317" s="99" t="s">
        <v>92</v>
      </c>
      <c r="M1317" s="99"/>
      <c r="N1317" s="99"/>
      <c r="O1317" s="99"/>
      <c r="P1317" s="99"/>
      <c r="Q1317" s="99"/>
      <c r="R1317" s="99"/>
      <c r="S1317" s="99"/>
      <c r="T1317" s="99"/>
      <c r="U1317" s="99"/>
    </row>
    <row r="1318" ht="25.5" hidden="1" customHeight="1">
      <c r="A1318" s="103" t="s">
        <v>92</v>
      </c>
      <c r="B1318" s="104" t="str">
        <f>"ExtnCustomerID"</f>
        <v>ExtnCustomerID</v>
      </c>
      <c r="C1318" s="104" t="s">
        <v>1210</v>
      </c>
      <c r="D1318" s="104" t="str">
        <f>"string"</f>
        <v>string</v>
      </c>
      <c r="E1318" s="103">
        <v>40.0</v>
      </c>
      <c r="F1318" s="104" t="s">
        <v>1211</v>
      </c>
      <c r="G1318" s="119" t="s">
        <v>77</v>
      </c>
      <c r="H1318" s="103"/>
      <c r="I1318" s="104" t="str">
        <f>""</f>
        <v/>
      </c>
      <c r="J1318" s="104" t="s">
        <v>1212</v>
      </c>
      <c r="K1318" s="104"/>
      <c r="L1318" s="103"/>
      <c r="M1318" s="104"/>
      <c r="N1318" s="104"/>
      <c r="O1318" s="104"/>
      <c r="P1318" s="104"/>
      <c r="Q1318" s="104"/>
      <c r="R1318" s="104"/>
      <c r="S1318" s="104"/>
      <c r="T1318" s="107"/>
      <c r="U1318" s="107"/>
    </row>
    <row r="1319">
      <c r="A1319" s="255" t="s">
        <v>66</v>
      </c>
      <c r="B1319" s="113" t="s">
        <v>1213</v>
      </c>
      <c r="C1319" s="325" t="s">
        <v>1214</v>
      </c>
      <c r="D1319" s="113" t="s">
        <v>131</v>
      </c>
      <c r="E1319" s="111">
        <v>40.0</v>
      </c>
      <c r="F1319" s="152" t="s">
        <v>1215</v>
      </c>
      <c r="G1319" s="108"/>
      <c r="H1319" s="108"/>
      <c r="I1319" s="109"/>
      <c r="J1319" s="109"/>
      <c r="K1319" s="109"/>
      <c r="L1319" s="136" t="s">
        <v>92</v>
      </c>
      <c r="M1319" s="113" t="s">
        <v>1216</v>
      </c>
      <c r="N1319" s="113" t="s">
        <v>1216</v>
      </c>
      <c r="O1319" s="113" t="s">
        <v>1216</v>
      </c>
      <c r="P1319" s="113" t="s">
        <v>1216</v>
      </c>
      <c r="Q1319" s="113" t="s">
        <v>1216</v>
      </c>
      <c r="R1319" s="113"/>
      <c r="S1319" s="113"/>
      <c r="T1319" s="113"/>
      <c r="U1319" s="113"/>
    </row>
    <row r="1320" hidden="1">
      <c r="A1320" s="256" t="s">
        <v>92</v>
      </c>
      <c r="B1320" s="104" t="s">
        <v>1217</v>
      </c>
      <c r="C1320" s="326"/>
      <c r="D1320" s="104" t="s">
        <v>472</v>
      </c>
      <c r="E1320" s="103">
        <v>1.0</v>
      </c>
      <c r="F1320" s="183" t="s">
        <v>1218</v>
      </c>
      <c r="G1320" s="103" t="s">
        <v>77</v>
      </c>
      <c r="H1320" s="103"/>
      <c r="I1320" s="104"/>
      <c r="J1320" s="104"/>
      <c r="K1320" s="104"/>
      <c r="L1320" s="224" t="s">
        <v>92</v>
      </c>
      <c r="M1320" s="155" t="s">
        <v>1219</v>
      </c>
      <c r="N1320" s="155"/>
      <c r="O1320" s="155" t="s">
        <v>1219</v>
      </c>
      <c r="P1320" s="155" t="s">
        <v>1219</v>
      </c>
      <c r="Q1320" s="155" t="s">
        <v>1219</v>
      </c>
      <c r="R1320" s="119"/>
      <c r="S1320" s="119"/>
      <c r="T1320" s="186"/>
      <c r="U1320" s="186"/>
    </row>
    <row r="1321" ht="15.75" hidden="1" customHeight="1">
      <c r="A1321" s="327" t="s">
        <v>92</v>
      </c>
      <c r="B1321" s="249" t="s">
        <v>1220</v>
      </c>
      <c r="C1321" s="326" t="s">
        <v>1221</v>
      </c>
      <c r="D1321" s="104" t="s">
        <v>472</v>
      </c>
      <c r="E1321" s="103">
        <v>250.0</v>
      </c>
      <c r="F1321" s="183" t="s">
        <v>1222</v>
      </c>
      <c r="G1321" s="103" t="s">
        <v>77</v>
      </c>
      <c r="H1321" s="103"/>
      <c r="I1321" s="104"/>
      <c r="J1321" s="104"/>
      <c r="K1321" s="104"/>
      <c r="L1321" s="103"/>
      <c r="M1321" s="175" t="s">
        <v>1223</v>
      </c>
      <c r="N1321" s="175"/>
      <c r="O1321" s="175" t="s">
        <v>1223</v>
      </c>
      <c r="P1321" s="175" t="s">
        <v>1223</v>
      </c>
      <c r="Q1321" s="175"/>
      <c r="R1321" s="119"/>
      <c r="S1321" s="119"/>
      <c r="T1321" s="186"/>
      <c r="U1321" s="186"/>
    </row>
    <row r="1322" hidden="1">
      <c r="A1322" s="256" t="s">
        <v>92</v>
      </c>
      <c r="B1322" s="104" t="s">
        <v>1224</v>
      </c>
      <c r="C1322" s="326"/>
      <c r="D1322" s="104" t="s">
        <v>472</v>
      </c>
      <c r="E1322" s="103">
        <v>40.0</v>
      </c>
      <c r="F1322" s="183" t="s">
        <v>1225</v>
      </c>
      <c r="G1322" s="103" t="s">
        <v>77</v>
      </c>
      <c r="H1322" s="103"/>
      <c r="I1322" s="104"/>
      <c r="J1322" s="104"/>
      <c r="K1322" s="104" t="s">
        <v>542</v>
      </c>
      <c r="L1322" s="224" t="s">
        <v>92</v>
      </c>
      <c r="M1322" s="155" t="s">
        <v>1226</v>
      </c>
      <c r="N1322" s="155"/>
      <c r="O1322" s="155" t="s">
        <v>1226</v>
      </c>
      <c r="P1322" s="155" t="s">
        <v>1226</v>
      </c>
      <c r="Q1322" s="155" t="s">
        <v>1226</v>
      </c>
      <c r="R1322" s="119"/>
      <c r="S1322" s="119"/>
      <c r="T1322" s="186"/>
      <c r="U1322" s="186"/>
    </row>
    <row r="1323" ht="15.75" hidden="1" customHeight="1">
      <c r="A1323" s="327" t="s">
        <v>92</v>
      </c>
      <c r="B1323" s="249" t="s">
        <v>1227</v>
      </c>
      <c r="C1323" s="326" t="s">
        <v>1221</v>
      </c>
      <c r="D1323" s="104" t="s">
        <v>131</v>
      </c>
      <c r="E1323" s="103">
        <v>40.0</v>
      </c>
      <c r="F1323" s="183" t="s">
        <v>1228</v>
      </c>
      <c r="G1323" s="103" t="s">
        <v>77</v>
      </c>
      <c r="H1323" s="103"/>
      <c r="I1323" s="104"/>
      <c r="J1323" s="104"/>
      <c r="K1323" s="104"/>
      <c r="L1323" s="103"/>
      <c r="M1323" s="104" t="s">
        <v>1227</v>
      </c>
      <c r="N1323" s="104"/>
      <c r="O1323" s="104" t="s">
        <v>1229</v>
      </c>
      <c r="P1323" s="104" t="s">
        <v>1227</v>
      </c>
      <c r="Q1323" s="104"/>
      <c r="R1323" s="119"/>
      <c r="S1323" s="119"/>
      <c r="T1323" s="186"/>
      <c r="U1323" s="186"/>
    </row>
    <row r="1324" ht="15.75" hidden="1" customHeight="1">
      <c r="A1324" s="327" t="s">
        <v>92</v>
      </c>
      <c r="B1324" s="249" t="s">
        <v>1230</v>
      </c>
      <c r="C1324" s="326" t="s">
        <v>1221</v>
      </c>
      <c r="D1324" s="104" t="s">
        <v>131</v>
      </c>
      <c r="E1324" s="103">
        <v>40.0</v>
      </c>
      <c r="F1324" s="183" t="s">
        <v>1231</v>
      </c>
      <c r="G1324" s="103" t="s">
        <v>77</v>
      </c>
      <c r="H1324" s="103"/>
      <c r="I1324" s="104"/>
      <c r="J1324" s="104"/>
      <c r="K1324" s="104"/>
      <c r="L1324" s="103"/>
      <c r="M1324" s="104" t="s">
        <v>1230</v>
      </c>
      <c r="N1324" s="104"/>
      <c r="O1324" s="104" t="s">
        <v>1230</v>
      </c>
      <c r="P1324" s="104" t="s">
        <v>1230</v>
      </c>
      <c r="Q1324" s="104"/>
      <c r="R1324" s="119"/>
      <c r="S1324" s="119"/>
      <c r="T1324" s="186"/>
      <c r="U1324" s="186"/>
    </row>
    <row r="1325" ht="15.75" hidden="1" customHeight="1">
      <c r="A1325" s="327" t="s">
        <v>92</v>
      </c>
      <c r="B1325" s="249" t="s">
        <v>1232</v>
      </c>
      <c r="C1325" s="326" t="s">
        <v>1221</v>
      </c>
      <c r="D1325" s="104" t="s">
        <v>131</v>
      </c>
      <c r="E1325" s="103">
        <v>40.0</v>
      </c>
      <c r="F1325" s="183" t="s">
        <v>1233</v>
      </c>
      <c r="G1325" s="103" t="s">
        <v>77</v>
      </c>
      <c r="H1325" s="103"/>
      <c r="I1325" s="104"/>
      <c r="J1325" s="104"/>
      <c r="K1325" s="104"/>
      <c r="L1325" s="103"/>
      <c r="M1325" s="104" t="s">
        <v>1232</v>
      </c>
      <c r="N1325" s="104"/>
      <c r="O1325" s="104" t="s">
        <v>1232</v>
      </c>
      <c r="P1325" s="104" t="s">
        <v>1232</v>
      </c>
      <c r="Q1325" s="104"/>
      <c r="R1325" s="119"/>
      <c r="S1325" s="119"/>
      <c r="T1325" s="186"/>
      <c r="U1325" s="186"/>
    </row>
    <row r="1326" ht="15.75" hidden="1" customHeight="1">
      <c r="A1326" s="327" t="s">
        <v>92</v>
      </c>
      <c r="B1326" s="249" t="s">
        <v>1234</v>
      </c>
      <c r="C1326" s="326" t="s">
        <v>1221</v>
      </c>
      <c r="D1326" s="104" t="s">
        <v>131</v>
      </c>
      <c r="E1326" s="103">
        <v>40.0</v>
      </c>
      <c r="F1326" s="183" t="s">
        <v>1235</v>
      </c>
      <c r="G1326" s="103" t="s">
        <v>77</v>
      </c>
      <c r="H1326" s="103"/>
      <c r="I1326" s="104"/>
      <c r="J1326" s="104"/>
      <c r="K1326" s="104"/>
      <c r="L1326" s="103"/>
      <c r="M1326" s="104" t="s">
        <v>1234</v>
      </c>
      <c r="N1326" s="104"/>
      <c r="O1326" s="104" t="s">
        <v>1234</v>
      </c>
      <c r="P1326" s="104" t="s">
        <v>1234</v>
      </c>
      <c r="Q1326" s="104"/>
      <c r="R1326" s="119"/>
      <c r="S1326" s="119"/>
      <c r="T1326" s="186"/>
      <c r="U1326" s="186"/>
    </row>
    <row r="1327" ht="73.5" hidden="1" customHeight="1">
      <c r="A1327" s="328" t="s">
        <v>92</v>
      </c>
      <c r="B1327" s="249" t="s">
        <v>1236</v>
      </c>
      <c r="C1327" s="249"/>
      <c r="D1327" s="249" t="s">
        <v>472</v>
      </c>
      <c r="E1327" s="329">
        <v>40.0</v>
      </c>
      <c r="F1327" s="183" t="s">
        <v>1237</v>
      </c>
      <c r="G1327" s="329" t="s">
        <v>77</v>
      </c>
      <c r="H1327" s="329"/>
      <c r="I1327" s="249"/>
      <c r="J1327" s="249"/>
      <c r="K1327" s="249"/>
      <c r="L1327" s="330" t="s">
        <v>92</v>
      </c>
      <c r="M1327" s="249" t="s">
        <v>1238</v>
      </c>
      <c r="N1327" s="249"/>
      <c r="O1327" s="249" t="s">
        <v>1238</v>
      </c>
      <c r="P1327" s="249" t="s">
        <v>1238</v>
      </c>
      <c r="Q1327" s="249" t="s">
        <v>1238</v>
      </c>
      <c r="R1327" s="331"/>
      <c r="S1327" s="331"/>
      <c r="T1327" s="332"/>
      <c r="U1327" s="332"/>
    </row>
    <row r="1328" ht="73.5" hidden="1" customHeight="1">
      <c r="A1328" s="328" t="s">
        <v>92</v>
      </c>
      <c r="B1328" s="249" t="s">
        <v>1239</v>
      </c>
      <c r="C1328" s="249"/>
      <c r="D1328" s="249" t="s">
        <v>472</v>
      </c>
      <c r="E1328" s="329">
        <v>40.0</v>
      </c>
      <c r="F1328" s="183" t="s">
        <v>1240</v>
      </c>
      <c r="G1328" s="329" t="s">
        <v>77</v>
      </c>
      <c r="H1328" s="329"/>
      <c r="I1328" s="249"/>
      <c r="J1328" s="249"/>
      <c r="K1328" s="249"/>
      <c r="L1328" s="330" t="s">
        <v>92</v>
      </c>
      <c r="M1328" s="249" t="s">
        <v>1241</v>
      </c>
      <c r="N1328" s="249"/>
      <c r="O1328" s="249" t="s">
        <v>1241</v>
      </c>
      <c r="P1328" s="249" t="s">
        <v>1241</v>
      </c>
      <c r="Q1328" s="249" t="s">
        <v>1241</v>
      </c>
      <c r="R1328" s="331"/>
      <c r="S1328" s="331"/>
      <c r="T1328" s="332"/>
      <c r="U1328" s="332"/>
    </row>
    <row r="1329">
      <c r="A1329" s="255" t="s">
        <v>66</v>
      </c>
      <c r="B1329" s="109" t="s">
        <v>1242</v>
      </c>
      <c r="C1329" s="325" t="s">
        <v>1243</v>
      </c>
      <c r="D1329" s="109" t="s">
        <v>131</v>
      </c>
      <c r="E1329" s="108">
        <v>100.0</v>
      </c>
      <c r="F1329" s="146" t="s">
        <v>1244</v>
      </c>
      <c r="G1329" s="108" t="s">
        <v>77</v>
      </c>
      <c r="H1329" s="108"/>
      <c r="I1329" s="109"/>
      <c r="J1329" s="109"/>
      <c r="K1329" s="109"/>
      <c r="L1329" s="136" t="s">
        <v>92</v>
      </c>
      <c r="M1329" s="113" t="s">
        <v>1245</v>
      </c>
      <c r="N1329" s="113" t="s">
        <v>1245</v>
      </c>
      <c r="O1329" s="113" t="s">
        <v>1245</v>
      </c>
      <c r="P1329" s="113" t="s">
        <v>1245</v>
      </c>
      <c r="Q1329" s="110" t="s">
        <v>1246</v>
      </c>
      <c r="R1329" s="113"/>
      <c r="S1329" s="113"/>
      <c r="T1329" s="113"/>
      <c r="U1329" s="113"/>
    </row>
    <row r="1330" ht="95.25" customHeight="1">
      <c r="A1330" s="250" t="s">
        <v>66</v>
      </c>
      <c r="B1330" s="252" t="s">
        <v>1247</v>
      </c>
      <c r="C1330" s="251" t="s">
        <v>1248</v>
      </c>
      <c r="D1330" s="252" t="s">
        <v>472</v>
      </c>
      <c r="E1330" s="250">
        <v>15.0</v>
      </c>
      <c r="F1330" s="253" t="s">
        <v>1249</v>
      </c>
      <c r="G1330" s="250" t="s">
        <v>77</v>
      </c>
      <c r="H1330" s="250"/>
      <c r="I1330" s="252"/>
      <c r="J1330" s="252"/>
      <c r="K1330" s="109"/>
      <c r="L1330" s="333" t="s">
        <v>92</v>
      </c>
      <c r="M1330" s="251" t="s">
        <v>1250</v>
      </c>
      <c r="N1330" s="251" t="s">
        <v>1250</v>
      </c>
      <c r="O1330" s="251" t="s">
        <v>1250</v>
      </c>
      <c r="P1330" s="251" t="s">
        <v>1251</v>
      </c>
      <c r="Q1330" s="251" t="s">
        <v>125</v>
      </c>
      <c r="R1330" s="251"/>
      <c r="S1330" s="251"/>
      <c r="T1330" s="251"/>
      <c r="U1330" s="251"/>
    </row>
    <row r="1331">
      <c r="A1331" s="250" t="s">
        <v>66</v>
      </c>
      <c r="B1331" s="252" t="s">
        <v>1252</v>
      </c>
      <c r="C1331" s="251" t="s">
        <v>1253</v>
      </c>
      <c r="D1331" s="252" t="s">
        <v>472</v>
      </c>
      <c r="E1331" s="250">
        <v>24.0</v>
      </c>
      <c r="F1331" s="334" t="s">
        <v>1254</v>
      </c>
      <c r="G1331" s="250" t="s">
        <v>77</v>
      </c>
      <c r="H1331" s="250"/>
      <c r="I1331" s="252"/>
      <c r="J1331" s="252"/>
      <c r="K1331" s="109"/>
      <c r="L1331" s="333" t="s">
        <v>92</v>
      </c>
      <c r="M1331" s="251" t="s">
        <v>1255</v>
      </c>
      <c r="N1331" s="251" t="s">
        <v>1255</v>
      </c>
      <c r="O1331" s="251" t="s">
        <v>1255</v>
      </c>
      <c r="P1331" s="251" t="s">
        <v>1255</v>
      </c>
      <c r="Q1331" s="251" t="s">
        <v>125</v>
      </c>
      <c r="R1331" s="251" t="s">
        <v>1256</v>
      </c>
      <c r="S1331" s="251" t="s">
        <v>1257</v>
      </c>
      <c r="T1331" s="251"/>
      <c r="U1331" s="251"/>
    </row>
    <row r="1332">
      <c r="A1332" s="250" t="s">
        <v>66</v>
      </c>
      <c r="B1332" s="252" t="s">
        <v>1258</v>
      </c>
      <c r="C1332" s="251" t="s">
        <v>1259</v>
      </c>
      <c r="D1332" s="252" t="s">
        <v>472</v>
      </c>
      <c r="E1332" s="250">
        <v>40.0</v>
      </c>
      <c r="F1332" s="334" t="s">
        <v>1260</v>
      </c>
      <c r="G1332" s="250" t="s">
        <v>77</v>
      </c>
      <c r="H1332" s="250"/>
      <c r="I1332" s="252"/>
      <c r="J1332" s="252"/>
      <c r="K1332" s="109"/>
      <c r="L1332" s="333" t="s">
        <v>92</v>
      </c>
      <c r="M1332" s="251" t="s">
        <v>1261</v>
      </c>
      <c r="N1332" s="251" t="s">
        <v>1261</v>
      </c>
      <c r="O1332" s="251" t="s">
        <v>1261</v>
      </c>
      <c r="P1332" s="251" t="s">
        <v>1261</v>
      </c>
      <c r="Q1332" s="251" t="s">
        <v>125</v>
      </c>
      <c r="R1332" s="251"/>
      <c r="S1332" s="251"/>
      <c r="T1332" s="251"/>
      <c r="U1332" s="251"/>
    </row>
    <row r="1333">
      <c r="A1333" s="250" t="s">
        <v>66</v>
      </c>
      <c r="B1333" s="252" t="s">
        <v>1262</v>
      </c>
      <c r="C1333" s="251" t="s">
        <v>1263</v>
      </c>
      <c r="D1333" s="252" t="s">
        <v>472</v>
      </c>
      <c r="E1333" s="250">
        <v>200.0</v>
      </c>
      <c r="F1333" s="334" t="s">
        <v>1264</v>
      </c>
      <c r="G1333" s="250" t="s">
        <v>77</v>
      </c>
      <c r="H1333" s="250"/>
      <c r="I1333" s="252"/>
      <c r="J1333" s="252"/>
      <c r="K1333" s="109"/>
      <c r="L1333" s="333" t="s">
        <v>92</v>
      </c>
      <c r="M1333" s="251" t="s">
        <v>1265</v>
      </c>
      <c r="N1333" s="251" t="s">
        <v>1265</v>
      </c>
      <c r="O1333" s="251" t="s">
        <v>1265</v>
      </c>
      <c r="P1333" s="251" t="s">
        <v>1265</v>
      </c>
      <c r="Q1333" s="251" t="s">
        <v>125</v>
      </c>
      <c r="R1333" s="251"/>
      <c r="S1333" s="251"/>
      <c r="T1333" s="251"/>
      <c r="U1333" s="251"/>
    </row>
    <row r="1334" hidden="1">
      <c r="A1334" s="117" t="s">
        <v>92</v>
      </c>
      <c r="B1334" s="257" t="s">
        <v>1266</v>
      </c>
      <c r="C1334" s="257"/>
      <c r="D1334" s="257" t="s">
        <v>472</v>
      </c>
      <c r="E1334" s="258">
        <v>15.0</v>
      </c>
      <c r="F1334" s="335" t="s">
        <v>1267</v>
      </c>
      <c r="G1334" s="258" t="s">
        <v>77</v>
      </c>
      <c r="H1334" s="258"/>
      <c r="I1334" s="257"/>
      <c r="J1334" s="336" t="s">
        <v>1268</v>
      </c>
      <c r="K1334" s="104"/>
      <c r="L1334" s="260" t="s">
        <v>92</v>
      </c>
      <c r="M1334" s="261" t="s">
        <v>1269</v>
      </c>
      <c r="N1334" s="261"/>
      <c r="O1334" s="261" t="s">
        <v>1269</v>
      </c>
      <c r="P1334" s="261" t="s">
        <v>1269</v>
      </c>
      <c r="Q1334" s="261" t="s">
        <v>1269</v>
      </c>
      <c r="R1334" s="119"/>
      <c r="S1334" s="119"/>
      <c r="T1334" s="186"/>
      <c r="U1334" s="186"/>
    </row>
    <row r="1335">
      <c r="A1335" s="111" t="s">
        <v>66</v>
      </c>
      <c r="B1335" s="252" t="s">
        <v>1270</v>
      </c>
      <c r="C1335" s="337" t="s">
        <v>1271</v>
      </c>
      <c r="D1335" s="252" t="s">
        <v>472</v>
      </c>
      <c r="E1335" s="250">
        <v>1.0</v>
      </c>
      <c r="F1335" s="318" t="s">
        <v>1272</v>
      </c>
      <c r="G1335" s="250" t="s">
        <v>77</v>
      </c>
      <c r="H1335" s="108"/>
      <c r="I1335" s="109"/>
      <c r="J1335" s="109"/>
      <c r="K1335" s="109"/>
      <c r="L1335" s="333" t="s">
        <v>92</v>
      </c>
      <c r="M1335" s="251" t="s">
        <v>125</v>
      </c>
      <c r="N1335" s="251" t="s">
        <v>125</v>
      </c>
      <c r="O1335" s="251" t="s">
        <v>125</v>
      </c>
      <c r="P1335" s="251" t="s">
        <v>125</v>
      </c>
      <c r="Q1335" s="251" t="s">
        <v>125</v>
      </c>
      <c r="R1335" s="251"/>
      <c r="S1335" s="251"/>
      <c r="T1335" s="251"/>
      <c r="U1335" s="251"/>
    </row>
    <row r="1336">
      <c r="A1336" s="111" t="s">
        <v>66</v>
      </c>
      <c r="B1336" s="109" t="s">
        <v>1273</v>
      </c>
      <c r="C1336" s="113" t="s">
        <v>1274</v>
      </c>
      <c r="D1336" s="109" t="s">
        <v>472</v>
      </c>
      <c r="E1336" s="108">
        <v>1.0</v>
      </c>
      <c r="F1336" s="152" t="s">
        <v>1275</v>
      </c>
      <c r="G1336" s="108" t="s">
        <v>77</v>
      </c>
      <c r="H1336" s="108"/>
      <c r="I1336" s="109"/>
      <c r="J1336" s="109"/>
      <c r="K1336" s="109"/>
      <c r="L1336" s="136" t="s">
        <v>92</v>
      </c>
      <c r="M1336" s="110" t="s">
        <v>1276</v>
      </c>
      <c r="N1336" s="110" t="s">
        <v>1276</v>
      </c>
      <c r="O1336" s="110" t="s">
        <v>1276</v>
      </c>
      <c r="P1336" s="110" t="s">
        <v>1276</v>
      </c>
      <c r="Q1336" s="110" t="s">
        <v>125</v>
      </c>
      <c r="R1336" s="113"/>
      <c r="S1336" s="113"/>
      <c r="T1336" s="113"/>
      <c r="U1336" s="113"/>
    </row>
    <row r="1337">
      <c r="A1337" s="111" t="s">
        <v>66</v>
      </c>
      <c r="B1337" s="113" t="s">
        <v>1277</v>
      </c>
      <c r="C1337" s="113" t="s">
        <v>1278</v>
      </c>
      <c r="D1337" s="113" t="s">
        <v>472</v>
      </c>
      <c r="E1337" s="111">
        <v>1.0</v>
      </c>
      <c r="F1337" s="152" t="s">
        <v>1279</v>
      </c>
      <c r="G1337" s="136" t="s">
        <v>77</v>
      </c>
      <c r="H1337" s="108"/>
      <c r="I1337" s="109"/>
      <c r="J1337" s="109"/>
      <c r="K1337" s="109"/>
      <c r="L1337" s="136" t="s">
        <v>92</v>
      </c>
      <c r="M1337" s="110" t="s">
        <v>1280</v>
      </c>
      <c r="N1337" s="110" t="s">
        <v>1280</v>
      </c>
      <c r="O1337" s="110" t="s">
        <v>1280</v>
      </c>
      <c r="P1337" s="110" t="s">
        <v>1280</v>
      </c>
      <c r="Q1337" s="110" t="s">
        <v>1280</v>
      </c>
      <c r="R1337" s="110"/>
      <c r="S1337" s="110"/>
      <c r="T1337" s="110"/>
      <c r="U1337" s="110"/>
    </row>
    <row r="1338">
      <c r="A1338" s="111" t="s">
        <v>66</v>
      </c>
      <c r="B1338" s="113" t="s">
        <v>1281</v>
      </c>
      <c r="C1338" s="113" t="s">
        <v>1282</v>
      </c>
      <c r="D1338" s="113" t="s">
        <v>472</v>
      </c>
      <c r="E1338" s="111">
        <v>1.0</v>
      </c>
      <c r="F1338" s="338" t="s">
        <v>1283</v>
      </c>
      <c r="G1338" s="136" t="s">
        <v>77</v>
      </c>
      <c r="H1338" s="108"/>
      <c r="I1338" s="109"/>
      <c r="J1338" s="109"/>
      <c r="K1338" s="109"/>
      <c r="L1338" s="136" t="s">
        <v>92</v>
      </c>
      <c r="M1338" s="110" t="s">
        <v>1284</v>
      </c>
      <c r="N1338" s="110" t="s">
        <v>1284</v>
      </c>
      <c r="O1338" s="110" t="s">
        <v>1284</v>
      </c>
      <c r="P1338" s="110" t="s">
        <v>1284</v>
      </c>
      <c r="Q1338" s="110" t="s">
        <v>125</v>
      </c>
      <c r="R1338" s="110"/>
      <c r="S1338" s="110"/>
      <c r="T1338" s="110"/>
      <c r="U1338" s="110"/>
    </row>
    <row r="1339">
      <c r="A1339" s="111" t="s">
        <v>66</v>
      </c>
      <c r="B1339" s="113" t="s">
        <v>1239</v>
      </c>
      <c r="C1339" s="113" t="s">
        <v>1285</v>
      </c>
      <c r="D1339" s="113" t="s">
        <v>131</v>
      </c>
      <c r="E1339" s="111">
        <v>24.0</v>
      </c>
      <c r="F1339" s="338" t="s">
        <v>1286</v>
      </c>
      <c r="G1339" s="136" t="s">
        <v>134</v>
      </c>
      <c r="H1339" s="108"/>
      <c r="I1339" s="109"/>
      <c r="J1339" s="109"/>
      <c r="K1339" s="109"/>
      <c r="L1339" s="136" t="s">
        <v>92</v>
      </c>
      <c r="M1339" s="110"/>
      <c r="N1339" s="113" t="s">
        <v>1241</v>
      </c>
      <c r="O1339" s="113" t="s">
        <v>1239</v>
      </c>
      <c r="P1339" s="113" t="s">
        <v>1239</v>
      </c>
      <c r="Q1339" s="113" t="s">
        <v>1241</v>
      </c>
      <c r="R1339" s="110"/>
      <c r="S1339" s="110"/>
      <c r="T1339" s="110"/>
      <c r="U1339" s="110"/>
    </row>
    <row r="1340">
      <c r="A1340" s="111" t="s">
        <v>66</v>
      </c>
      <c r="B1340" s="113" t="s">
        <v>1287</v>
      </c>
      <c r="C1340" s="113" t="s">
        <v>1288</v>
      </c>
      <c r="D1340" s="113" t="s">
        <v>131</v>
      </c>
      <c r="E1340" s="111">
        <v>40.0</v>
      </c>
      <c r="F1340" s="338" t="s">
        <v>1289</v>
      </c>
      <c r="G1340" s="136" t="s">
        <v>134</v>
      </c>
      <c r="H1340" s="108"/>
      <c r="I1340" s="109"/>
      <c r="J1340" s="109"/>
      <c r="K1340" s="109"/>
      <c r="L1340" s="136" t="s">
        <v>92</v>
      </c>
      <c r="M1340" s="110"/>
      <c r="N1340" s="113" t="s">
        <v>1290</v>
      </c>
      <c r="O1340" s="113" t="s">
        <v>1287</v>
      </c>
      <c r="P1340" s="113" t="s">
        <v>1287</v>
      </c>
      <c r="Q1340" s="113" t="s">
        <v>1291</v>
      </c>
      <c r="R1340" s="110"/>
      <c r="S1340" s="110"/>
      <c r="T1340" s="110"/>
      <c r="U1340" s="110"/>
    </row>
    <row r="1341">
      <c r="A1341" s="111" t="s">
        <v>66</v>
      </c>
      <c r="B1341" s="113" t="s">
        <v>1292</v>
      </c>
      <c r="C1341" s="113"/>
      <c r="D1341" s="113"/>
      <c r="E1341" s="111"/>
      <c r="F1341" s="338" t="s">
        <v>1293</v>
      </c>
      <c r="G1341" s="136"/>
      <c r="H1341" s="108"/>
      <c r="I1341" s="109"/>
      <c r="J1341" s="109"/>
      <c r="K1341" s="109"/>
      <c r="L1341" s="136" t="s">
        <v>92</v>
      </c>
      <c r="M1341" s="110"/>
      <c r="N1341" s="113" t="s">
        <v>1292</v>
      </c>
      <c r="O1341" s="110" t="s">
        <v>125</v>
      </c>
      <c r="P1341" s="110" t="s">
        <v>125</v>
      </c>
      <c r="Q1341" s="251" t="s">
        <v>125</v>
      </c>
      <c r="R1341" s="110" t="s">
        <v>1294</v>
      </c>
      <c r="S1341" s="110" t="s">
        <v>799</v>
      </c>
      <c r="T1341" s="110"/>
      <c r="U1341" s="110"/>
    </row>
    <row r="1342">
      <c r="A1342" s="111" t="s">
        <v>66</v>
      </c>
      <c r="B1342" s="113" t="s">
        <v>1295</v>
      </c>
      <c r="C1342" s="113"/>
      <c r="D1342" s="113"/>
      <c r="E1342" s="111"/>
      <c r="F1342" s="338" t="s">
        <v>1293</v>
      </c>
      <c r="G1342" s="136"/>
      <c r="H1342" s="108"/>
      <c r="I1342" s="109"/>
      <c r="J1342" s="109"/>
      <c r="K1342" s="109"/>
      <c r="L1342" s="136" t="s">
        <v>92</v>
      </c>
      <c r="M1342" s="110"/>
      <c r="N1342" s="113" t="s">
        <v>1295</v>
      </c>
      <c r="O1342" s="110" t="s">
        <v>125</v>
      </c>
      <c r="P1342" s="110" t="s">
        <v>125</v>
      </c>
      <c r="Q1342" s="251" t="s">
        <v>125</v>
      </c>
      <c r="R1342" s="110" t="s">
        <v>1296</v>
      </c>
      <c r="S1342" s="110" t="s">
        <v>429</v>
      </c>
      <c r="T1342" s="110"/>
      <c r="U1342" s="110"/>
    </row>
    <row r="1343">
      <c r="A1343" s="111" t="s">
        <v>66</v>
      </c>
      <c r="B1343" s="113" t="s">
        <v>1297</v>
      </c>
      <c r="C1343" s="113"/>
      <c r="D1343" s="113"/>
      <c r="E1343" s="111"/>
      <c r="F1343" s="338"/>
      <c r="G1343" s="136"/>
      <c r="H1343" s="108"/>
      <c r="I1343" s="109"/>
      <c r="J1343" s="109"/>
      <c r="K1343" s="109"/>
      <c r="L1343" s="136" t="s">
        <v>92</v>
      </c>
      <c r="M1343" s="110"/>
      <c r="N1343" s="113" t="s">
        <v>1297</v>
      </c>
      <c r="O1343" s="110" t="s">
        <v>125</v>
      </c>
      <c r="P1343" s="110" t="s">
        <v>125</v>
      </c>
      <c r="Q1343" s="251" t="s">
        <v>125</v>
      </c>
      <c r="R1343" s="110" t="s">
        <v>1298</v>
      </c>
      <c r="S1343" s="110" t="s">
        <v>980</v>
      </c>
      <c r="T1343" s="110"/>
      <c r="U1343" s="110"/>
    </row>
    <row r="1344">
      <c r="A1344" s="111" t="s">
        <v>66</v>
      </c>
      <c r="B1344" s="113" t="s">
        <v>1299</v>
      </c>
      <c r="C1344" s="113"/>
      <c r="D1344" s="113"/>
      <c r="E1344" s="111"/>
      <c r="F1344" s="338"/>
      <c r="G1344" s="136"/>
      <c r="H1344" s="108"/>
      <c r="I1344" s="109"/>
      <c r="J1344" s="109"/>
      <c r="K1344" s="109"/>
      <c r="L1344" s="136" t="s">
        <v>92</v>
      </c>
      <c r="M1344" s="110"/>
      <c r="N1344" s="113" t="s">
        <v>1299</v>
      </c>
      <c r="O1344" s="110" t="s">
        <v>125</v>
      </c>
      <c r="P1344" s="110" t="s">
        <v>125</v>
      </c>
      <c r="Q1344" s="251" t="s">
        <v>125</v>
      </c>
      <c r="R1344" s="110" t="s">
        <v>1300</v>
      </c>
      <c r="S1344" s="110" t="s">
        <v>980</v>
      </c>
      <c r="T1344" s="110"/>
      <c r="U1344" s="110"/>
    </row>
    <row r="1345">
      <c r="A1345" s="111" t="s">
        <v>66</v>
      </c>
      <c r="B1345" s="155" t="s">
        <v>1301</v>
      </c>
      <c r="C1345" s="113"/>
      <c r="D1345" s="113" t="s">
        <v>472</v>
      </c>
      <c r="E1345" s="111">
        <v>40.0</v>
      </c>
      <c r="F1345" s="118" t="s">
        <v>1302</v>
      </c>
      <c r="G1345" s="136" t="s">
        <v>134</v>
      </c>
      <c r="H1345" s="108"/>
      <c r="I1345" s="109"/>
      <c r="J1345" s="109"/>
      <c r="K1345" s="109"/>
      <c r="L1345" s="136" t="s">
        <v>92</v>
      </c>
      <c r="M1345" s="110"/>
      <c r="N1345" s="113" t="s">
        <v>125</v>
      </c>
      <c r="O1345" s="110" t="s">
        <v>125</v>
      </c>
      <c r="P1345" s="110" t="s">
        <v>125</v>
      </c>
      <c r="Q1345" s="251" t="s">
        <v>125</v>
      </c>
      <c r="R1345" s="110"/>
      <c r="S1345" s="110"/>
      <c r="T1345" s="155" t="s">
        <v>1303</v>
      </c>
      <c r="U1345" s="339"/>
    </row>
    <row r="1346" hidden="1">
      <c r="A1346" s="117" t="s">
        <v>92</v>
      </c>
      <c r="B1346" s="104" t="s">
        <v>1304</v>
      </c>
      <c r="C1346" s="104"/>
      <c r="D1346" s="104" t="s">
        <v>131</v>
      </c>
      <c r="E1346" s="103">
        <v>40.0</v>
      </c>
      <c r="F1346" s="272" t="s">
        <v>682</v>
      </c>
      <c r="G1346" s="119" t="s">
        <v>77</v>
      </c>
      <c r="H1346" s="103"/>
      <c r="I1346" s="104"/>
      <c r="J1346" s="104"/>
      <c r="K1346" s="104"/>
      <c r="L1346" s="224" t="s">
        <v>92</v>
      </c>
      <c r="M1346" s="340" t="s">
        <v>125</v>
      </c>
      <c r="N1346" s="340"/>
      <c r="O1346" s="340" t="s">
        <v>125</v>
      </c>
      <c r="P1346" s="340" t="s">
        <v>125</v>
      </c>
      <c r="Q1346" s="340" t="s">
        <v>125</v>
      </c>
      <c r="R1346" s="104"/>
      <c r="S1346" s="104"/>
      <c r="T1346" s="107"/>
      <c r="U1346" s="107"/>
    </row>
    <row r="1347" ht="15.75" hidden="1" customHeight="1">
      <c r="A1347" s="224" t="s">
        <v>92</v>
      </c>
      <c r="B1347" s="341" t="s">
        <v>1305</v>
      </c>
      <c r="C1347" s="341"/>
      <c r="D1347" s="341" t="s">
        <v>1306</v>
      </c>
      <c r="E1347" s="103">
        <v>1.0</v>
      </c>
      <c r="F1347" s="342" t="s">
        <v>1307</v>
      </c>
      <c r="G1347" s="343" t="s">
        <v>77</v>
      </c>
      <c r="H1347" s="341"/>
      <c r="I1347" s="341"/>
      <c r="J1347" s="341"/>
      <c r="K1347" s="104"/>
      <c r="L1347" s="344" t="s">
        <v>92</v>
      </c>
      <c r="M1347" s="345" t="s">
        <v>125</v>
      </c>
      <c r="N1347" s="345"/>
      <c r="O1347" s="345" t="s">
        <v>125</v>
      </c>
      <c r="P1347" s="345" t="s">
        <v>125</v>
      </c>
      <c r="Q1347" s="345" t="s">
        <v>125</v>
      </c>
      <c r="R1347" s="341"/>
      <c r="S1347" s="341"/>
      <c r="T1347" s="346"/>
      <c r="U1347" s="346"/>
    </row>
    <row r="1348" ht="15.75" hidden="1" customHeight="1">
      <c r="A1348" s="117" t="s">
        <v>92</v>
      </c>
      <c r="B1348" s="341" t="s">
        <v>1308</v>
      </c>
      <c r="C1348" s="341"/>
      <c r="D1348" s="341" t="s">
        <v>131</v>
      </c>
      <c r="E1348" s="103">
        <v>40.0</v>
      </c>
      <c r="F1348" s="347" t="s">
        <v>1309</v>
      </c>
      <c r="G1348" s="343" t="s">
        <v>77</v>
      </c>
      <c r="H1348" s="341"/>
      <c r="I1348" s="341"/>
      <c r="J1348" s="341"/>
      <c r="K1348" s="104"/>
      <c r="L1348" s="344" t="s">
        <v>92</v>
      </c>
      <c r="M1348" s="345" t="s">
        <v>125</v>
      </c>
      <c r="N1348" s="345"/>
      <c r="O1348" s="345" t="s">
        <v>125</v>
      </c>
      <c r="P1348" s="345" t="s">
        <v>125</v>
      </c>
      <c r="Q1348" s="345" t="s">
        <v>125</v>
      </c>
      <c r="R1348" s="341"/>
      <c r="S1348" s="341"/>
      <c r="T1348" s="346"/>
      <c r="U1348" s="346"/>
    </row>
    <row r="1349">
      <c r="A1349" s="244" t="s">
        <v>66</v>
      </c>
      <c r="B1349" s="348" t="s">
        <v>1310</v>
      </c>
      <c r="C1349" s="243" t="s">
        <v>1311</v>
      </c>
      <c r="D1349" s="243" t="s">
        <v>472</v>
      </c>
      <c r="E1349" s="244">
        <v>40.0</v>
      </c>
      <c r="F1349" s="349" t="s">
        <v>1312</v>
      </c>
      <c r="G1349" s="350" t="s">
        <v>77</v>
      </c>
      <c r="H1349" s="108"/>
      <c r="I1349" s="109"/>
      <c r="J1349" s="109"/>
      <c r="K1349" s="109"/>
      <c r="L1349" s="136"/>
      <c r="M1349" s="245" t="s">
        <v>1313</v>
      </c>
      <c r="N1349" s="245" t="s">
        <v>1313</v>
      </c>
      <c r="O1349" s="245" t="s">
        <v>1313</v>
      </c>
      <c r="P1349" s="245" t="s">
        <v>1313</v>
      </c>
      <c r="Q1349" s="251" t="s">
        <v>125</v>
      </c>
      <c r="R1349" s="110"/>
      <c r="S1349" s="110"/>
      <c r="T1349" s="351"/>
      <c r="U1349" s="339"/>
    </row>
    <row r="1350">
      <c r="A1350" s="244" t="s">
        <v>66</v>
      </c>
      <c r="B1350" s="348" t="s">
        <v>1314</v>
      </c>
      <c r="C1350" s="243" t="s">
        <v>1315</v>
      </c>
      <c r="D1350" s="243" t="s">
        <v>472</v>
      </c>
      <c r="E1350" s="244">
        <v>24.0</v>
      </c>
      <c r="F1350" s="352" t="s">
        <v>1316</v>
      </c>
      <c r="G1350" s="350" t="s">
        <v>77</v>
      </c>
      <c r="H1350" s="108"/>
      <c r="I1350" s="109"/>
      <c r="J1350" s="109"/>
      <c r="K1350" s="109"/>
      <c r="L1350" s="136"/>
      <c r="M1350" s="245" t="s">
        <v>1317</v>
      </c>
      <c r="N1350" s="245" t="s">
        <v>1317</v>
      </c>
      <c r="O1350" s="245" t="s">
        <v>1317</v>
      </c>
      <c r="P1350" s="245" t="s">
        <v>1317</v>
      </c>
      <c r="Q1350" s="251" t="s">
        <v>125</v>
      </c>
      <c r="R1350" s="110"/>
      <c r="S1350" s="110"/>
      <c r="T1350" s="351"/>
      <c r="U1350" s="339"/>
    </row>
    <row r="1351">
      <c r="A1351" s="244" t="s">
        <v>66</v>
      </c>
      <c r="B1351" s="348" t="s">
        <v>1318</v>
      </c>
      <c r="C1351" s="243" t="s">
        <v>1319</v>
      </c>
      <c r="D1351" s="243" t="s">
        <v>472</v>
      </c>
      <c r="E1351" s="244">
        <v>2.0</v>
      </c>
      <c r="F1351" s="349" t="s">
        <v>1320</v>
      </c>
      <c r="G1351" s="350" t="s">
        <v>77</v>
      </c>
      <c r="H1351" s="108"/>
      <c r="I1351" s="109"/>
      <c r="J1351" s="109"/>
      <c r="K1351" s="109"/>
      <c r="L1351" s="136"/>
      <c r="M1351" s="348" t="s">
        <v>1321</v>
      </c>
      <c r="N1351" s="348" t="s">
        <v>1322</v>
      </c>
      <c r="O1351" s="348" t="s">
        <v>1321</v>
      </c>
      <c r="P1351" s="348" t="s">
        <v>1321</v>
      </c>
      <c r="Q1351" s="251" t="s">
        <v>125</v>
      </c>
      <c r="R1351" s="110" t="s">
        <v>1323</v>
      </c>
      <c r="S1351" s="110"/>
      <c r="T1351" s="155"/>
      <c r="U1351" s="339"/>
    </row>
    <row r="1352" ht="15.75" customHeight="1">
      <c r="A1352" s="353" t="s">
        <v>66</v>
      </c>
      <c r="B1352" s="354" t="s">
        <v>1324</v>
      </c>
      <c r="C1352" s="96"/>
      <c r="D1352" s="96"/>
      <c r="E1352" s="97"/>
      <c r="F1352" s="301" t="s">
        <v>1325</v>
      </c>
      <c r="G1352" s="99" t="s">
        <v>77</v>
      </c>
      <c r="H1352" s="99"/>
      <c r="I1352" s="99"/>
      <c r="J1352" s="99"/>
      <c r="K1352" s="100"/>
      <c r="L1352" s="100" t="s">
        <v>66</v>
      </c>
      <c r="M1352" s="99"/>
      <c r="N1352" s="99"/>
      <c r="O1352" s="99"/>
      <c r="P1352" s="99"/>
      <c r="Q1352" s="99"/>
      <c r="R1352" s="99"/>
      <c r="S1352" s="99"/>
      <c r="T1352" s="99"/>
      <c r="U1352" s="99"/>
    </row>
    <row r="1353">
      <c r="A1353" s="250" t="s">
        <v>66</v>
      </c>
      <c r="B1353" s="109" t="s">
        <v>1326</v>
      </c>
      <c r="C1353" s="109" t="s">
        <v>1327</v>
      </c>
      <c r="D1353" s="109" t="s">
        <v>131</v>
      </c>
      <c r="E1353" s="108" t="s">
        <v>1328</v>
      </c>
      <c r="F1353" s="131" t="s">
        <v>685</v>
      </c>
      <c r="G1353" s="112" t="s">
        <v>134</v>
      </c>
      <c r="H1353" s="355"/>
      <c r="I1353" s="355"/>
      <c r="J1353" s="355"/>
      <c r="K1353" s="109"/>
      <c r="L1353" s="112" t="s">
        <v>66</v>
      </c>
      <c r="M1353" s="126" t="s">
        <v>687</v>
      </c>
      <c r="N1353" s="126" t="s">
        <v>687</v>
      </c>
      <c r="O1353" s="126" t="s">
        <v>687</v>
      </c>
      <c r="P1353" s="126" t="s">
        <v>687</v>
      </c>
      <c r="Q1353" s="126" t="s">
        <v>687</v>
      </c>
      <c r="R1353" s="126"/>
      <c r="S1353" s="126"/>
      <c r="T1353" s="126"/>
      <c r="U1353" s="126"/>
    </row>
    <row r="1354" ht="15.75" customHeight="1">
      <c r="A1354" s="250" t="s">
        <v>66</v>
      </c>
      <c r="B1354" s="109" t="s">
        <v>1329</v>
      </c>
      <c r="C1354" s="109" t="s">
        <v>1330</v>
      </c>
      <c r="D1354" s="109" t="s">
        <v>131</v>
      </c>
      <c r="E1354" s="108" t="s">
        <v>1328</v>
      </c>
      <c r="F1354" s="131" t="s">
        <v>688</v>
      </c>
      <c r="G1354" s="112" t="s">
        <v>134</v>
      </c>
      <c r="H1354" s="355"/>
      <c r="I1354" s="355"/>
      <c r="J1354" s="355"/>
      <c r="K1354" s="109"/>
      <c r="L1354" s="112" t="s">
        <v>66</v>
      </c>
      <c r="M1354" s="126" t="s">
        <v>690</v>
      </c>
      <c r="N1354" s="126" t="s">
        <v>690</v>
      </c>
      <c r="O1354" s="126" t="s">
        <v>690</v>
      </c>
      <c r="P1354" s="126" t="s">
        <v>690</v>
      </c>
      <c r="Q1354" s="126" t="s">
        <v>690</v>
      </c>
      <c r="R1354" s="126"/>
      <c r="S1354" s="126"/>
      <c r="T1354" s="126"/>
      <c r="U1354" s="126"/>
    </row>
    <row r="1355" ht="15.75" customHeight="1">
      <c r="A1355" s="250" t="s">
        <v>66</v>
      </c>
      <c r="B1355" s="109" t="s">
        <v>1331</v>
      </c>
      <c r="C1355" s="109" t="s">
        <v>1332</v>
      </c>
      <c r="D1355" s="109" t="s">
        <v>131</v>
      </c>
      <c r="E1355" s="108" t="s">
        <v>1328</v>
      </c>
      <c r="F1355" s="131" t="s">
        <v>691</v>
      </c>
      <c r="G1355" s="112" t="s">
        <v>134</v>
      </c>
      <c r="H1355" s="355"/>
      <c r="I1355" s="355"/>
      <c r="J1355" s="355"/>
      <c r="K1355" s="109"/>
      <c r="L1355" s="112" t="s">
        <v>66</v>
      </c>
      <c r="M1355" s="126" t="s">
        <v>692</v>
      </c>
      <c r="N1355" s="126" t="s">
        <v>692</v>
      </c>
      <c r="O1355" s="126" t="s">
        <v>692</v>
      </c>
      <c r="P1355" s="126" t="s">
        <v>692</v>
      </c>
      <c r="Q1355" s="126" t="s">
        <v>692</v>
      </c>
      <c r="R1355" s="126"/>
      <c r="S1355" s="126"/>
      <c r="T1355" s="126"/>
      <c r="U1355" s="126"/>
    </row>
    <row r="1356" ht="15.75" customHeight="1">
      <c r="A1356" s="250" t="s">
        <v>66</v>
      </c>
      <c r="B1356" s="109" t="s">
        <v>698</v>
      </c>
      <c r="C1356" s="109" t="s">
        <v>1333</v>
      </c>
      <c r="D1356" s="109" t="s">
        <v>131</v>
      </c>
      <c r="E1356" s="108" t="s">
        <v>1328</v>
      </c>
      <c r="F1356" s="131" t="s">
        <v>693</v>
      </c>
      <c r="G1356" s="300" t="s">
        <v>1334</v>
      </c>
      <c r="H1356" s="355"/>
      <c r="I1356" s="355"/>
      <c r="J1356" s="355"/>
      <c r="K1356" s="109"/>
      <c r="L1356" s="112" t="s">
        <v>66</v>
      </c>
      <c r="M1356" s="126" t="s">
        <v>699</v>
      </c>
      <c r="N1356" s="126" t="s">
        <v>699</v>
      </c>
      <c r="O1356" s="126" t="s">
        <v>699</v>
      </c>
      <c r="P1356" s="126" t="s">
        <v>699</v>
      </c>
      <c r="Q1356" s="126" t="s">
        <v>699</v>
      </c>
      <c r="R1356" s="126"/>
      <c r="S1356" s="126"/>
      <c r="T1356" s="126"/>
      <c r="U1356" s="126"/>
    </row>
    <row r="1357" ht="15.75" customHeight="1">
      <c r="A1357" s="250" t="s">
        <v>66</v>
      </c>
      <c r="B1357" s="109" t="s">
        <v>700</v>
      </c>
      <c r="C1357" s="109" t="s">
        <v>1335</v>
      </c>
      <c r="D1357" s="109" t="s">
        <v>131</v>
      </c>
      <c r="E1357" s="108" t="s">
        <v>1328</v>
      </c>
      <c r="F1357" s="131" t="s">
        <v>694</v>
      </c>
      <c r="G1357" s="300" t="s">
        <v>1336</v>
      </c>
      <c r="H1357" s="355"/>
      <c r="I1357" s="355"/>
      <c r="J1357" s="355"/>
      <c r="K1357" s="109"/>
      <c r="L1357" s="112" t="s">
        <v>66</v>
      </c>
      <c r="M1357" s="126" t="s">
        <v>701</v>
      </c>
      <c r="N1357" s="126" t="s">
        <v>701</v>
      </c>
      <c r="O1357" s="126" t="s">
        <v>701</v>
      </c>
      <c r="P1357" s="126" t="s">
        <v>701</v>
      </c>
      <c r="Q1357" s="126" t="s">
        <v>701</v>
      </c>
      <c r="R1357" s="126"/>
      <c r="S1357" s="126"/>
      <c r="T1357" s="126"/>
      <c r="U1357" s="126"/>
    </row>
    <row r="1358">
      <c r="A1358" s="250" t="s">
        <v>66</v>
      </c>
      <c r="B1358" s="109" t="s">
        <v>702</v>
      </c>
      <c r="C1358" s="109" t="s">
        <v>1337</v>
      </c>
      <c r="D1358" s="109" t="s">
        <v>131</v>
      </c>
      <c r="E1358" s="108" t="s">
        <v>1328</v>
      </c>
      <c r="F1358" s="131" t="s">
        <v>695</v>
      </c>
      <c r="G1358" s="112" t="s">
        <v>77</v>
      </c>
      <c r="H1358" s="355"/>
      <c r="I1358" s="355"/>
      <c r="J1358" s="355"/>
      <c r="K1358" s="109"/>
      <c r="L1358" s="112" t="s">
        <v>66</v>
      </c>
      <c r="M1358" s="127" t="s">
        <v>1338</v>
      </c>
      <c r="N1358" s="127" t="s">
        <v>1338</v>
      </c>
      <c r="O1358" s="127" t="s">
        <v>1338</v>
      </c>
      <c r="P1358" s="127" t="s">
        <v>1338</v>
      </c>
      <c r="Q1358" s="127" t="s">
        <v>1338</v>
      </c>
      <c r="R1358" s="127"/>
      <c r="S1358" s="127"/>
      <c r="T1358" s="127"/>
      <c r="U1358" s="127"/>
    </row>
    <row r="1359" ht="15.75" customHeight="1">
      <c r="A1359" s="250" t="s">
        <v>66</v>
      </c>
      <c r="B1359" s="109" t="s">
        <v>1339</v>
      </c>
      <c r="C1359" s="109" t="s">
        <v>1340</v>
      </c>
      <c r="D1359" s="109" t="s">
        <v>131</v>
      </c>
      <c r="E1359" s="108" t="s">
        <v>1341</v>
      </c>
      <c r="F1359" s="131" t="s">
        <v>704</v>
      </c>
      <c r="G1359" s="112" t="s">
        <v>134</v>
      </c>
      <c r="H1359" s="355"/>
      <c r="I1359" s="355"/>
      <c r="J1359" s="355"/>
      <c r="K1359" s="109"/>
      <c r="L1359" s="112" t="s">
        <v>66</v>
      </c>
      <c r="M1359" s="126" t="s">
        <v>705</v>
      </c>
      <c r="N1359" s="126" t="s">
        <v>705</v>
      </c>
      <c r="O1359" s="126" t="s">
        <v>705</v>
      </c>
      <c r="P1359" s="126" t="s">
        <v>705</v>
      </c>
      <c r="Q1359" s="126" t="s">
        <v>705</v>
      </c>
      <c r="R1359" s="126"/>
      <c r="S1359" s="126"/>
      <c r="T1359" s="126"/>
      <c r="U1359" s="126"/>
    </row>
    <row r="1360" ht="15.75" customHeight="1">
      <c r="A1360" s="250" t="s">
        <v>66</v>
      </c>
      <c r="B1360" s="109" t="s">
        <v>711</v>
      </c>
      <c r="C1360" s="109" t="s">
        <v>1342</v>
      </c>
      <c r="D1360" s="109" t="s">
        <v>131</v>
      </c>
      <c r="E1360" s="108" t="s">
        <v>132</v>
      </c>
      <c r="F1360" s="131" t="s">
        <v>708</v>
      </c>
      <c r="G1360" s="112" t="s">
        <v>134</v>
      </c>
      <c r="H1360" s="355"/>
      <c r="I1360" s="355"/>
      <c r="J1360" s="355"/>
      <c r="K1360" s="109"/>
      <c r="L1360" s="112" t="s">
        <v>66</v>
      </c>
      <c r="M1360" s="126" t="s">
        <v>955</v>
      </c>
      <c r="N1360" s="126" t="s">
        <v>955</v>
      </c>
      <c r="O1360" s="126" t="s">
        <v>955</v>
      </c>
      <c r="P1360" s="126" t="s">
        <v>955</v>
      </c>
      <c r="Q1360" s="126" t="s">
        <v>955</v>
      </c>
      <c r="R1360" s="126"/>
      <c r="S1360" s="126"/>
      <c r="T1360" s="126"/>
      <c r="U1360" s="126"/>
    </row>
    <row r="1361" ht="15.75" customHeight="1">
      <c r="A1361" s="250" t="s">
        <v>66</v>
      </c>
      <c r="B1361" s="109" t="s">
        <v>717</v>
      </c>
      <c r="C1361" s="109" t="s">
        <v>1343</v>
      </c>
      <c r="D1361" s="109" t="s">
        <v>131</v>
      </c>
      <c r="E1361" s="108" t="s">
        <v>1344</v>
      </c>
      <c r="F1361" s="131" t="s">
        <v>716</v>
      </c>
      <c r="G1361" s="112" t="s">
        <v>134</v>
      </c>
      <c r="H1361" s="355"/>
      <c r="I1361" s="355"/>
      <c r="J1361" s="355"/>
      <c r="K1361" s="109"/>
      <c r="L1361" s="112" t="s">
        <v>66</v>
      </c>
      <c r="M1361" s="126" t="s">
        <v>959</v>
      </c>
      <c r="N1361" s="126" t="s">
        <v>959</v>
      </c>
      <c r="O1361" s="126" t="s">
        <v>959</v>
      </c>
      <c r="P1361" s="126" t="s">
        <v>959</v>
      </c>
      <c r="Q1361" s="126" t="s">
        <v>959</v>
      </c>
      <c r="R1361" s="126"/>
      <c r="S1361" s="126"/>
      <c r="T1361" s="126"/>
      <c r="U1361" s="126"/>
    </row>
    <row r="1362" ht="15.75" customHeight="1">
      <c r="A1362" s="250" t="s">
        <v>66</v>
      </c>
      <c r="B1362" s="109" t="s">
        <v>721</v>
      </c>
      <c r="C1362" s="109" t="s">
        <v>1345</v>
      </c>
      <c r="D1362" s="109" t="s">
        <v>131</v>
      </c>
      <c r="E1362" s="108">
        <v>64.0</v>
      </c>
      <c r="F1362" s="131" t="s">
        <v>720</v>
      </c>
      <c r="G1362" s="112" t="s">
        <v>134</v>
      </c>
      <c r="H1362" s="355"/>
      <c r="I1362" s="355"/>
      <c r="J1362" s="355"/>
      <c r="K1362" s="109"/>
      <c r="L1362" s="112" t="s">
        <v>66</v>
      </c>
      <c r="M1362" s="126" t="s">
        <v>721</v>
      </c>
      <c r="N1362" s="126" t="s">
        <v>721</v>
      </c>
      <c r="O1362" s="126" t="s">
        <v>721</v>
      </c>
      <c r="P1362" s="126" t="s">
        <v>721</v>
      </c>
      <c r="Q1362" s="126" t="s">
        <v>721</v>
      </c>
      <c r="R1362" s="126"/>
      <c r="S1362" s="126"/>
      <c r="T1362" s="126"/>
      <c r="U1362" s="126"/>
    </row>
    <row r="1363" ht="15.75" customHeight="1">
      <c r="A1363" s="250" t="s">
        <v>66</v>
      </c>
      <c r="B1363" s="109" t="s">
        <v>725</v>
      </c>
      <c r="C1363" s="109" t="s">
        <v>1346</v>
      </c>
      <c r="D1363" s="109" t="s">
        <v>131</v>
      </c>
      <c r="E1363" s="108">
        <v>64.0</v>
      </c>
      <c r="F1363" s="131" t="s">
        <v>724</v>
      </c>
      <c r="G1363" s="112" t="s">
        <v>134</v>
      </c>
      <c r="H1363" s="355"/>
      <c r="I1363" s="355"/>
      <c r="J1363" s="355"/>
      <c r="K1363" s="109"/>
      <c r="L1363" s="112" t="s">
        <v>66</v>
      </c>
      <c r="M1363" s="126" t="s">
        <v>725</v>
      </c>
      <c r="N1363" s="126" t="s">
        <v>725</v>
      </c>
      <c r="O1363" s="126" t="s">
        <v>725</v>
      </c>
      <c r="P1363" s="126" t="s">
        <v>725</v>
      </c>
      <c r="Q1363" s="126" t="s">
        <v>725</v>
      </c>
      <c r="R1363" s="126"/>
      <c r="S1363" s="126"/>
      <c r="T1363" s="126"/>
      <c r="U1363" s="126"/>
    </row>
    <row r="1364" ht="15.75" customHeight="1">
      <c r="A1364" s="250" t="s">
        <v>66</v>
      </c>
      <c r="B1364" s="109" t="s">
        <v>727</v>
      </c>
      <c r="C1364" s="109" t="s">
        <v>1347</v>
      </c>
      <c r="D1364" s="109" t="s">
        <v>131</v>
      </c>
      <c r="E1364" s="108">
        <v>64.0</v>
      </c>
      <c r="F1364" s="131" t="s">
        <v>726</v>
      </c>
      <c r="G1364" s="112" t="str">
        <f t="shared" ref="G1364:G1365" si="1192">"O"</f>
        <v>O</v>
      </c>
      <c r="H1364" s="355"/>
      <c r="I1364" s="355"/>
      <c r="J1364" s="355"/>
      <c r="K1364" s="109"/>
      <c r="L1364" s="112" t="s">
        <v>66</v>
      </c>
      <c r="M1364" s="126" t="s">
        <v>727</v>
      </c>
      <c r="N1364" s="126" t="s">
        <v>727</v>
      </c>
      <c r="O1364" s="126" t="s">
        <v>727</v>
      </c>
      <c r="P1364" s="126" t="s">
        <v>727</v>
      </c>
      <c r="Q1364" s="126" t="s">
        <v>727</v>
      </c>
      <c r="R1364" s="126"/>
      <c r="S1364" s="126"/>
      <c r="T1364" s="126"/>
      <c r="U1364" s="126"/>
    </row>
    <row r="1365" ht="15.75" customHeight="1">
      <c r="A1365" s="250" t="s">
        <v>66</v>
      </c>
      <c r="B1365" s="290" t="s">
        <v>999</v>
      </c>
      <c r="C1365" s="109" t="s">
        <v>1348</v>
      </c>
      <c r="D1365" s="109" t="s">
        <v>131</v>
      </c>
      <c r="E1365" s="108" t="s">
        <v>132</v>
      </c>
      <c r="F1365" s="109" t="s">
        <v>730</v>
      </c>
      <c r="G1365" s="108" t="str">
        <f t="shared" si="1192"/>
        <v>O</v>
      </c>
      <c r="H1365" s="355"/>
      <c r="I1365" s="355"/>
      <c r="J1365" s="355"/>
      <c r="K1365" s="109"/>
      <c r="L1365" s="112" t="s">
        <v>66</v>
      </c>
      <c r="M1365" s="113" t="s">
        <v>999</v>
      </c>
      <c r="N1365" s="113" t="s">
        <v>999</v>
      </c>
      <c r="O1365" s="113" t="s">
        <v>999</v>
      </c>
      <c r="P1365" s="126" t="s">
        <v>999</v>
      </c>
      <c r="Q1365" s="113" t="s">
        <v>999</v>
      </c>
      <c r="R1365" s="113"/>
      <c r="S1365" s="113"/>
      <c r="T1365" s="113"/>
      <c r="U1365" s="113"/>
    </row>
    <row r="1366">
      <c r="A1366" s="250" t="s">
        <v>66</v>
      </c>
      <c r="B1366" s="109" t="s">
        <v>734</v>
      </c>
      <c r="C1366" s="109" t="s">
        <v>1349</v>
      </c>
      <c r="D1366" s="109" t="s">
        <v>131</v>
      </c>
      <c r="E1366" s="108" t="s">
        <v>1341</v>
      </c>
      <c r="F1366" s="131" t="s">
        <v>731</v>
      </c>
      <c r="G1366" s="112" t="s">
        <v>134</v>
      </c>
      <c r="H1366" s="355"/>
      <c r="I1366" s="355"/>
      <c r="J1366" s="355"/>
      <c r="K1366" s="109"/>
      <c r="L1366" s="112" t="s">
        <v>66</v>
      </c>
      <c r="M1366" s="126" t="s">
        <v>964</v>
      </c>
      <c r="N1366" s="127" t="s">
        <v>965</v>
      </c>
      <c r="O1366" s="126" t="s">
        <v>964</v>
      </c>
      <c r="P1366" s="126" t="s">
        <v>965</v>
      </c>
      <c r="Q1366" s="127" t="s">
        <v>965</v>
      </c>
      <c r="R1366" s="126"/>
      <c r="S1366" s="126"/>
      <c r="T1366" s="126"/>
      <c r="U1366" s="126"/>
    </row>
    <row r="1367">
      <c r="A1367" s="250" t="s">
        <v>66</v>
      </c>
      <c r="B1367" s="109" t="s">
        <v>1350</v>
      </c>
      <c r="C1367" s="109" t="s">
        <v>1351</v>
      </c>
      <c r="D1367" s="109" t="s">
        <v>131</v>
      </c>
      <c r="E1367" s="108" t="s">
        <v>1352</v>
      </c>
      <c r="F1367" s="131" t="s">
        <v>740</v>
      </c>
      <c r="G1367" s="108" t="str">
        <f>"O"</f>
        <v>O</v>
      </c>
      <c r="H1367" s="355"/>
      <c r="I1367" s="355"/>
      <c r="J1367" s="355"/>
      <c r="K1367" s="109"/>
      <c r="L1367" s="136" t="s">
        <v>66</v>
      </c>
      <c r="M1367" s="126" t="s">
        <v>742</v>
      </c>
      <c r="N1367" s="126" t="s">
        <v>742</v>
      </c>
      <c r="O1367" s="126" t="s">
        <v>742</v>
      </c>
      <c r="P1367" s="126" t="s">
        <v>742</v>
      </c>
      <c r="Q1367" s="126" t="s">
        <v>742</v>
      </c>
      <c r="R1367" s="126"/>
      <c r="S1367" s="126"/>
      <c r="T1367" s="126"/>
      <c r="U1367" s="126"/>
    </row>
    <row r="1368">
      <c r="A1368" s="250" t="s">
        <v>66</v>
      </c>
      <c r="B1368" s="109" t="s">
        <v>744</v>
      </c>
      <c r="C1368" s="109" t="s">
        <v>1353</v>
      </c>
      <c r="D1368" s="109" t="s">
        <v>131</v>
      </c>
      <c r="E1368" s="108" t="s">
        <v>1341</v>
      </c>
      <c r="F1368" s="131" t="s">
        <v>743</v>
      </c>
      <c r="G1368" s="112" t="s">
        <v>134</v>
      </c>
      <c r="H1368" s="355"/>
      <c r="I1368" s="355"/>
      <c r="J1368" s="355"/>
      <c r="K1368" s="109"/>
      <c r="L1368" s="112" t="s">
        <v>66</v>
      </c>
      <c r="M1368" s="126" t="s">
        <v>744</v>
      </c>
      <c r="N1368" s="126" t="s">
        <v>744</v>
      </c>
      <c r="O1368" s="126" t="s">
        <v>744</v>
      </c>
      <c r="P1368" s="126" t="s">
        <v>744</v>
      </c>
      <c r="Q1368" s="126" t="s">
        <v>744</v>
      </c>
      <c r="R1368" s="126"/>
      <c r="S1368" s="126"/>
      <c r="T1368" s="126"/>
      <c r="U1368" s="126"/>
    </row>
    <row r="1369" ht="15.75" hidden="1" customHeight="1">
      <c r="A1369" s="186"/>
      <c r="B1369" s="346"/>
      <c r="C1369" s="346"/>
      <c r="D1369" s="346"/>
      <c r="E1369" s="346"/>
      <c r="F1369" s="356"/>
      <c r="G1369" s="356"/>
      <c r="H1369" s="346"/>
      <c r="I1369" s="346"/>
      <c r="J1369" s="346"/>
      <c r="K1369" s="346"/>
      <c r="L1369" s="357"/>
      <c r="M1369" s="346"/>
      <c r="N1369" s="346"/>
      <c r="O1369" s="346"/>
      <c r="P1369" s="346"/>
      <c r="Q1369" s="346"/>
      <c r="R1369" s="346"/>
      <c r="S1369" s="346"/>
      <c r="T1369" s="346"/>
      <c r="U1369" s="346"/>
    </row>
    <row r="1370" ht="15.75" hidden="1" customHeight="1">
      <c r="A1370" s="186"/>
      <c r="B1370" s="346"/>
      <c r="C1370" s="346"/>
      <c r="D1370" s="346"/>
      <c r="E1370" s="346"/>
      <c r="F1370" s="356"/>
      <c r="G1370" s="356"/>
      <c r="H1370" s="346"/>
      <c r="I1370" s="346"/>
      <c r="J1370" s="346"/>
      <c r="K1370" s="346"/>
      <c r="L1370" s="357"/>
      <c r="M1370" s="346"/>
      <c r="N1370" s="346"/>
      <c r="O1370" s="346"/>
      <c r="P1370" s="346"/>
      <c r="Q1370" s="346"/>
      <c r="R1370" s="346"/>
      <c r="S1370" s="346"/>
      <c r="T1370" s="346"/>
      <c r="U1370" s="346"/>
    </row>
    <row r="1371" ht="15.75" hidden="1" customHeight="1">
      <c r="A1371" s="186"/>
      <c r="B1371" s="346"/>
      <c r="C1371" s="346"/>
      <c r="D1371" s="346"/>
      <c r="E1371" s="346"/>
      <c r="F1371" s="356"/>
      <c r="G1371" s="356"/>
      <c r="H1371" s="346"/>
      <c r="I1371" s="346"/>
      <c r="J1371" s="346"/>
      <c r="K1371" s="346"/>
      <c r="L1371" s="357"/>
      <c r="M1371" s="346"/>
      <c r="N1371" s="346"/>
      <c r="O1371" s="346"/>
      <c r="P1371" s="346"/>
      <c r="Q1371" s="346"/>
      <c r="R1371" s="346"/>
      <c r="S1371" s="346"/>
      <c r="T1371" s="346"/>
      <c r="U1371" s="346"/>
    </row>
    <row r="1372" ht="15.75" hidden="1" customHeight="1">
      <c r="A1372" s="186"/>
      <c r="B1372" s="346"/>
      <c r="C1372" s="346"/>
      <c r="D1372" s="346"/>
      <c r="E1372" s="346"/>
      <c r="F1372" s="356"/>
      <c r="G1372" s="356"/>
      <c r="H1372" s="346"/>
      <c r="I1372" s="346"/>
      <c r="J1372" s="346"/>
      <c r="K1372" s="346"/>
      <c r="L1372" s="357"/>
      <c r="M1372" s="346"/>
      <c r="N1372" s="346"/>
      <c r="O1372" s="346"/>
      <c r="P1372" s="346"/>
      <c r="Q1372" s="346"/>
      <c r="R1372" s="346"/>
      <c r="S1372" s="346"/>
      <c r="T1372" s="346"/>
      <c r="U1372" s="346"/>
    </row>
    <row r="1373" ht="15.75" hidden="1" customHeight="1">
      <c r="A1373" s="186"/>
      <c r="B1373" s="346"/>
      <c r="C1373" s="346"/>
      <c r="D1373" s="346"/>
      <c r="E1373" s="346"/>
      <c r="F1373" s="356"/>
      <c r="G1373" s="356"/>
      <c r="H1373" s="346"/>
      <c r="I1373" s="346"/>
      <c r="J1373" s="346"/>
      <c r="K1373" s="346"/>
      <c r="L1373" s="357"/>
      <c r="M1373" s="346"/>
      <c r="N1373" s="346"/>
      <c r="O1373" s="346"/>
      <c r="P1373" s="346"/>
      <c r="Q1373" s="346"/>
      <c r="R1373" s="346"/>
      <c r="S1373" s="346"/>
      <c r="T1373" s="346"/>
      <c r="U1373" s="346"/>
    </row>
    <row r="1374" ht="15.75" hidden="1" customHeight="1">
      <c r="A1374" s="186"/>
      <c r="B1374" s="346"/>
      <c r="C1374" s="346"/>
      <c r="D1374" s="346"/>
      <c r="E1374" s="346"/>
      <c r="F1374" s="356"/>
      <c r="G1374" s="356"/>
      <c r="H1374" s="346"/>
      <c r="I1374" s="346"/>
      <c r="J1374" s="346"/>
      <c r="K1374" s="346"/>
      <c r="L1374" s="357"/>
      <c r="M1374" s="346"/>
      <c r="N1374" s="346"/>
      <c r="O1374" s="346"/>
      <c r="P1374" s="346"/>
      <c r="Q1374" s="346"/>
      <c r="R1374" s="346"/>
      <c r="S1374" s="346"/>
      <c r="T1374" s="346"/>
      <c r="U1374" s="346"/>
    </row>
    <row r="1375" ht="15.75" hidden="1" customHeight="1">
      <c r="A1375" s="186"/>
      <c r="B1375" s="346"/>
      <c r="C1375" s="346"/>
      <c r="D1375" s="346"/>
      <c r="E1375" s="346"/>
      <c r="F1375" s="356"/>
      <c r="G1375" s="356"/>
      <c r="H1375" s="346"/>
      <c r="I1375" s="346"/>
      <c r="J1375" s="346"/>
      <c r="K1375" s="346"/>
      <c r="L1375" s="357"/>
      <c r="M1375" s="346"/>
      <c r="N1375" s="346"/>
      <c r="O1375" s="346"/>
      <c r="P1375" s="346"/>
      <c r="Q1375" s="346"/>
      <c r="R1375" s="346"/>
      <c r="S1375" s="346"/>
      <c r="T1375" s="346"/>
      <c r="U1375" s="346"/>
    </row>
    <row r="1376" ht="15.75" hidden="1" customHeight="1">
      <c r="A1376" s="186"/>
      <c r="B1376" s="346"/>
      <c r="C1376" s="346"/>
      <c r="D1376" s="346"/>
      <c r="E1376" s="346"/>
      <c r="F1376" s="356"/>
      <c r="G1376" s="356"/>
      <c r="H1376" s="346"/>
      <c r="I1376" s="346"/>
      <c r="J1376" s="346"/>
      <c r="K1376" s="346"/>
      <c r="L1376" s="357"/>
      <c r="M1376" s="346"/>
      <c r="N1376" s="346"/>
      <c r="O1376" s="346"/>
      <c r="P1376" s="346"/>
      <c r="Q1376" s="346"/>
      <c r="R1376" s="346"/>
      <c r="S1376" s="346"/>
      <c r="T1376" s="346"/>
      <c r="U1376" s="346"/>
    </row>
    <row r="1377" ht="15.75" hidden="1" customHeight="1">
      <c r="A1377" s="186"/>
      <c r="B1377" s="346"/>
      <c r="C1377" s="346"/>
      <c r="D1377" s="346"/>
      <c r="E1377" s="346"/>
      <c r="F1377" s="356"/>
      <c r="G1377" s="356"/>
      <c r="H1377" s="346"/>
      <c r="I1377" s="346"/>
      <c r="J1377" s="346"/>
      <c r="K1377" s="346"/>
      <c r="L1377" s="357"/>
      <c r="M1377" s="346"/>
      <c r="N1377" s="346"/>
      <c r="O1377" s="346"/>
      <c r="P1377" s="346"/>
      <c r="Q1377" s="346"/>
      <c r="R1377" s="346"/>
      <c r="S1377" s="346"/>
      <c r="T1377" s="346"/>
      <c r="U1377" s="346"/>
    </row>
    <row r="1378" ht="15.75" hidden="1" customHeight="1">
      <c r="A1378" s="186"/>
      <c r="B1378" s="346"/>
      <c r="C1378" s="346"/>
      <c r="D1378" s="346"/>
      <c r="E1378" s="346"/>
      <c r="F1378" s="356"/>
      <c r="G1378" s="356"/>
      <c r="H1378" s="346"/>
      <c r="I1378" s="346"/>
      <c r="J1378" s="346"/>
      <c r="K1378" s="346"/>
      <c r="L1378" s="357"/>
      <c r="M1378" s="346"/>
      <c r="N1378" s="346"/>
      <c r="O1378" s="346"/>
      <c r="P1378" s="346"/>
      <c r="Q1378" s="346"/>
      <c r="R1378" s="346"/>
      <c r="S1378" s="346"/>
      <c r="T1378" s="346"/>
      <c r="U1378" s="346"/>
    </row>
    <row r="1379" ht="15.75" hidden="1" customHeight="1">
      <c r="A1379" s="186"/>
      <c r="B1379" s="346"/>
      <c r="C1379" s="346"/>
      <c r="D1379" s="346"/>
      <c r="E1379" s="346"/>
      <c r="F1379" s="356"/>
      <c r="G1379" s="356"/>
      <c r="H1379" s="346"/>
      <c r="I1379" s="346"/>
      <c r="J1379" s="346"/>
      <c r="K1379" s="346"/>
      <c r="L1379" s="357"/>
      <c r="M1379" s="346"/>
      <c r="N1379" s="346"/>
      <c r="O1379" s="346"/>
      <c r="P1379" s="346"/>
      <c r="Q1379" s="346"/>
      <c r="R1379" s="346"/>
      <c r="S1379" s="346"/>
      <c r="T1379" s="346"/>
      <c r="U1379" s="346"/>
    </row>
    <row r="1380" ht="15.75" hidden="1" customHeight="1">
      <c r="A1380" s="186"/>
      <c r="B1380" s="346"/>
      <c r="C1380" s="346"/>
      <c r="D1380" s="346"/>
      <c r="E1380" s="346"/>
      <c r="F1380" s="356"/>
      <c r="G1380" s="356"/>
      <c r="H1380" s="346"/>
      <c r="I1380" s="346"/>
      <c r="J1380" s="346"/>
      <c r="K1380" s="346"/>
      <c r="L1380" s="357"/>
      <c r="M1380" s="346"/>
      <c r="N1380" s="346"/>
      <c r="O1380" s="346"/>
      <c r="P1380" s="346"/>
      <c r="Q1380" s="346"/>
      <c r="R1380" s="346"/>
      <c r="S1380" s="346"/>
      <c r="T1380" s="346"/>
      <c r="U1380" s="346"/>
    </row>
    <row r="1381" ht="15.75" hidden="1" customHeight="1">
      <c r="A1381" s="186"/>
      <c r="B1381" s="346"/>
      <c r="C1381" s="346"/>
      <c r="D1381" s="346"/>
      <c r="E1381" s="346"/>
      <c r="F1381" s="356"/>
      <c r="G1381" s="356"/>
      <c r="H1381" s="346"/>
      <c r="I1381" s="346"/>
      <c r="J1381" s="346"/>
      <c r="K1381" s="346"/>
      <c r="L1381" s="357"/>
      <c r="M1381" s="346"/>
      <c r="N1381" s="346"/>
      <c r="O1381" s="346"/>
      <c r="P1381" s="346"/>
      <c r="Q1381" s="346"/>
      <c r="R1381" s="346"/>
      <c r="S1381" s="346"/>
      <c r="T1381" s="346"/>
      <c r="U1381" s="346"/>
    </row>
    <row r="1382" ht="15.75" hidden="1" customHeight="1">
      <c r="A1382" s="186"/>
      <c r="B1382" s="346"/>
      <c r="C1382" s="346"/>
      <c r="D1382" s="346"/>
      <c r="E1382" s="346"/>
      <c r="F1382" s="356"/>
      <c r="G1382" s="356"/>
      <c r="H1382" s="346"/>
      <c r="I1382" s="346"/>
      <c r="J1382" s="346"/>
      <c r="K1382" s="346"/>
      <c r="L1382" s="357"/>
      <c r="M1382" s="346"/>
      <c r="N1382" s="346"/>
      <c r="O1382" s="346"/>
      <c r="P1382" s="346"/>
      <c r="Q1382" s="346"/>
      <c r="R1382" s="346"/>
      <c r="S1382" s="346"/>
      <c r="T1382" s="346"/>
      <c r="U1382" s="346"/>
    </row>
    <row r="1383">
      <c r="A1383" s="111" t="s">
        <v>66</v>
      </c>
      <c r="B1383" s="113" t="s">
        <v>714</v>
      </c>
      <c r="C1383" s="113" t="s">
        <v>963</v>
      </c>
      <c r="D1383" s="113" t="s">
        <v>131</v>
      </c>
      <c r="E1383" s="111">
        <v>40.0</v>
      </c>
      <c r="F1383" s="124" t="s">
        <v>713</v>
      </c>
      <c r="G1383" s="136" t="s">
        <v>77</v>
      </c>
      <c r="H1383" s="108"/>
      <c r="I1383" s="109"/>
      <c r="J1383" s="109" t="str">
        <f>"(978) 555-1212"</f>
        <v>(978) 555-1212</v>
      </c>
      <c r="K1383" s="109"/>
      <c r="L1383" s="112" t="s">
        <v>66</v>
      </c>
      <c r="M1383" s="127" t="s">
        <v>1003</v>
      </c>
      <c r="N1383" s="127" t="s">
        <v>1003</v>
      </c>
      <c r="O1383" s="127" t="s">
        <v>1003</v>
      </c>
      <c r="P1383" s="126" t="s">
        <v>1003</v>
      </c>
      <c r="Q1383" s="127" t="s">
        <v>1003</v>
      </c>
      <c r="R1383" s="113" t="s">
        <v>1354</v>
      </c>
      <c r="S1383" s="113" t="s">
        <v>1001</v>
      </c>
      <c r="T1383" s="113"/>
      <c r="U1383" s="113"/>
    </row>
    <row r="1384" hidden="1">
      <c r="A1384" s="250"/>
      <c r="B1384" s="109"/>
      <c r="C1384" s="109"/>
      <c r="D1384" s="108"/>
      <c r="E1384" s="108"/>
      <c r="F1384" s="131"/>
      <c r="G1384" s="112"/>
      <c r="H1384" s="355"/>
      <c r="I1384" s="355"/>
      <c r="J1384" s="355"/>
      <c r="K1384" s="109"/>
      <c r="L1384" s="112"/>
      <c r="M1384" s="126"/>
      <c r="N1384" s="126"/>
      <c r="O1384" s="126"/>
      <c r="P1384" s="126"/>
      <c r="Q1384" s="126"/>
      <c r="R1384" s="127"/>
      <c r="S1384" s="127"/>
      <c r="T1384" s="358" t="s">
        <v>1355</v>
      </c>
      <c r="U1384" s="127"/>
    </row>
    <row r="1385" hidden="1">
      <c r="A1385" s="250"/>
      <c r="B1385" s="109"/>
      <c r="C1385" s="109"/>
      <c r="D1385" s="108"/>
      <c r="E1385" s="108"/>
      <c r="F1385" s="131"/>
      <c r="G1385" s="112"/>
      <c r="H1385" s="355"/>
      <c r="I1385" s="355"/>
      <c r="J1385" s="355"/>
      <c r="K1385" s="109"/>
      <c r="L1385" s="112"/>
      <c r="M1385" s="126"/>
      <c r="N1385" s="126"/>
      <c r="O1385" s="126"/>
      <c r="P1385" s="126"/>
      <c r="Q1385" s="126"/>
      <c r="R1385" s="127"/>
      <c r="S1385" s="127"/>
      <c r="T1385" s="127"/>
      <c r="U1385" s="127"/>
    </row>
    <row r="1386" hidden="1">
      <c r="A1386" s="250"/>
      <c r="B1386" s="109"/>
      <c r="C1386" s="109"/>
      <c r="D1386" s="108"/>
      <c r="E1386" s="108"/>
      <c r="F1386" s="131"/>
      <c r="G1386" s="112"/>
      <c r="H1386" s="355"/>
      <c r="I1386" s="355"/>
      <c r="J1386" s="355"/>
      <c r="K1386" s="109"/>
      <c r="L1386" s="112"/>
      <c r="M1386" s="126"/>
      <c r="N1386" s="126"/>
      <c r="O1386" s="126"/>
      <c r="P1386" s="126"/>
      <c r="Q1386" s="126"/>
      <c r="R1386" s="127"/>
      <c r="S1386" s="127"/>
      <c r="T1386" s="127"/>
      <c r="U1386" s="127"/>
    </row>
    <row r="1387" hidden="1">
      <c r="A1387" s="250"/>
      <c r="B1387" s="109"/>
      <c r="C1387" s="109"/>
      <c r="D1387" s="108"/>
      <c r="E1387" s="108"/>
      <c r="F1387" s="131"/>
      <c r="G1387" s="112"/>
      <c r="H1387" s="355"/>
      <c r="I1387" s="355"/>
      <c r="J1387" s="355"/>
      <c r="K1387" s="109"/>
      <c r="L1387" s="112"/>
      <c r="M1387" s="126"/>
      <c r="N1387" s="126"/>
      <c r="O1387" s="126"/>
      <c r="P1387" s="126"/>
      <c r="Q1387" s="126"/>
      <c r="R1387" s="127"/>
      <c r="S1387" s="127"/>
      <c r="T1387" s="175"/>
      <c r="U1387" s="127"/>
    </row>
    <row r="1388" hidden="1">
      <c r="A1388" s="250"/>
      <c r="B1388" s="109"/>
      <c r="C1388" s="109"/>
      <c r="D1388" s="108"/>
      <c r="E1388" s="108"/>
      <c r="F1388" s="131"/>
      <c r="G1388" s="112"/>
      <c r="H1388" s="355"/>
      <c r="I1388" s="355"/>
      <c r="J1388" s="355"/>
      <c r="K1388" s="109"/>
      <c r="L1388" s="112"/>
      <c r="M1388" s="126"/>
      <c r="N1388" s="126"/>
      <c r="O1388" s="126"/>
      <c r="P1388" s="126"/>
      <c r="Q1388" s="126"/>
      <c r="R1388" s="127"/>
      <c r="S1388" s="127"/>
      <c r="T1388" s="155"/>
      <c r="U1388" s="127"/>
    </row>
    <row r="1389" hidden="1">
      <c r="A1389" s="250"/>
      <c r="B1389" s="109"/>
      <c r="C1389" s="109"/>
      <c r="D1389" s="108"/>
      <c r="E1389" s="108"/>
      <c r="F1389" s="131"/>
      <c r="G1389" s="112"/>
      <c r="H1389" s="355"/>
      <c r="I1389" s="355"/>
      <c r="J1389" s="355"/>
      <c r="K1389" s="109"/>
      <c r="L1389" s="112"/>
      <c r="M1389" s="126"/>
      <c r="N1389" s="126"/>
      <c r="O1389" s="126"/>
      <c r="P1389" s="126"/>
      <c r="Q1389" s="126"/>
      <c r="R1389" s="127"/>
      <c r="S1389" s="127"/>
      <c r="T1389" s="358"/>
      <c r="U1389" s="127"/>
    </row>
    <row r="1390" hidden="1">
      <c r="A1390" s="250"/>
      <c r="B1390" s="109"/>
      <c r="C1390" s="109"/>
      <c r="D1390" s="108"/>
      <c r="E1390" s="108"/>
      <c r="F1390" s="131"/>
      <c r="G1390" s="112"/>
      <c r="H1390" s="355"/>
      <c r="I1390" s="355"/>
      <c r="J1390" s="355"/>
      <c r="K1390" s="109"/>
      <c r="L1390" s="112"/>
      <c r="M1390" s="126"/>
      <c r="N1390" s="126"/>
      <c r="O1390" s="126"/>
      <c r="P1390" s="126"/>
      <c r="Q1390" s="126"/>
      <c r="R1390" s="127"/>
      <c r="S1390" s="127"/>
      <c r="T1390" s="127"/>
      <c r="U1390" s="127"/>
    </row>
    <row r="1391" hidden="1">
      <c r="A1391" s="250"/>
      <c r="B1391" s="109"/>
      <c r="C1391" s="109"/>
      <c r="D1391" s="108"/>
      <c r="E1391" s="108"/>
      <c r="F1391" s="131"/>
      <c r="G1391" s="112"/>
      <c r="H1391" s="355"/>
      <c r="I1391" s="355"/>
      <c r="J1391" s="355"/>
      <c r="K1391" s="109"/>
      <c r="L1391" s="112"/>
      <c r="M1391" s="126"/>
      <c r="N1391" s="126"/>
      <c r="O1391" s="126"/>
      <c r="P1391" s="126"/>
      <c r="Q1391" s="126"/>
      <c r="R1391" s="127"/>
      <c r="S1391" s="127"/>
      <c r="T1391" s="164"/>
      <c r="U1391" s="127"/>
    </row>
    <row r="1392" ht="15.75" hidden="1" customHeight="1">
      <c r="A1392" s="226"/>
      <c r="B1392" s="359"/>
      <c r="C1392" s="359"/>
      <c r="D1392" s="359"/>
      <c r="E1392" s="359"/>
      <c r="F1392" s="360"/>
      <c r="G1392" s="360"/>
      <c r="H1392" s="359"/>
      <c r="I1392" s="359"/>
      <c r="J1392" s="359"/>
      <c r="K1392" s="359"/>
      <c r="L1392" s="361"/>
      <c r="M1392" s="359"/>
      <c r="N1392" s="359"/>
      <c r="O1392" s="359"/>
      <c r="P1392" s="359"/>
      <c r="Q1392" s="359"/>
      <c r="R1392" s="359"/>
      <c r="S1392" s="359"/>
      <c r="T1392" s="359"/>
      <c r="U1392" s="359"/>
    </row>
    <row r="1393" ht="15.75" hidden="1" customHeight="1">
      <c r="A1393" s="226"/>
      <c r="B1393" s="359"/>
      <c r="C1393" s="359"/>
      <c r="D1393" s="359"/>
      <c r="E1393" s="359"/>
      <c r="F1393" s="360"/>
      <c r="G1393" s="360"/>
      <c r="H1393" s="359"/>
      <c r="I1393" s="359"/>
      <c r="J1393" s="359"/>
      <c r="K1393" s="359"/>
      <c r="L1393" s="361"/>
      <c r="M1393" s="359"/>
      <c r="N1393" s="359"/>
      <c r="O1393" s="359"/>
      <c r="P1393" s="359"/>
      <c r="Q1393" s="359"/>
      <c r="R1393" s="359"/>
      <c r="S1393" s="359"/>
      <c r="T1393" s="359"/>
      <c r="U1393" s="359"/>
    </row>
    <row r="1394" ht="15.75" hidden="1" customHeight="1">
      <c r="A1394" s="226"/>
      <c r="B1394" s="359"/>
      <c r="C1394" s="359"/>
      <c r="D1394" s="359"/>
      <c r="E1394" s="359"/>
      <c r="F1394" s="360"/>
      <c r="G1394" s="360"/>
      <c r="H1394" s="359"/>
      <c r="I1394" s="359"/>
      <c r="J1394" s="359"/>
      <c r="K1394" s="359"/>
      <c r="L1394" s="361"/>
      <c r="M1394" s="359"/>
      <c r="N1394" s="359"/>
      <c r="O1394" s="359"/>
      <c r="P1394" s="359"/>
      <c r="Q1394" s="359"/>
      <c r="R1394" s="359"/>
      <c r="S1394" s="359"/>
      <c r="T1394" s="359"/>
      <c r="U1394" s="359"/>
    </row>
    <row r="1395" ht="15.75" hidden="1" customHeight="1">
      <c r="A1395" s="226"/>
      <c r="B1395" s="359"/>
      <c r="C1395" s="359"/>
      <c r="D1395" s="359"/>
      <c r="E1395" s="359"/>
      <c r="F1395" s="360"/>
      <c r="G1395" s="360"/>
      <c r="H1395" s="359"/>
      <c r="I1395" s="359"/>
      <c r="J1395" s="359"/>
      <c r="K1395" s="359"/>
      <c r="L1395" s="361"/>
      <c r="M1395" s="359"/>
      <c r="N1395" s="359"/>
      <c r="O1395" s="359"/>
      <c r="P1395" s="359"/>
      <c r="Q1395" s="359"/>
      <c r="R1395" s="359"/>
      <c r="S1395" s="359"/>
      <c r="T1395" s="359"/>
      <c r="U1395" s="359"/>
    </row>
    <row r="1396" ht="15.75" hidden="1" customHeight="1">
      <c r="A1396" s="226"/>
      <c r="B1396" s="359"/>
      <c r="C1396" s="359"/>
      <c r="D1396" s="359"/>
      <c r="E1396" s="359"/>
      <c r="F1396" s="360"/>
      <c r="G1396" s="360"/>
      <c r="H1396" s="359"/>
      <c r="I1396" s="359"/>
      <c r="J1396" s="359"/>
      <c r="K1396" s="359"/>
      <c r="L1396" s="361"/>
      <c r="M1396" s="359"/>
      <c r="N1396" s="359"/>
      <c r="O1396" s="359"/>
      <c r="P1396" s="359"/>
      <c r="Q1396" s="359"/>
      <c r="R1396" s="359"/>
      <c r="S1396" s="359"/>
      <c r="T1396" s="359"/>
      <c r="U1396" s="359"/>
    </row>
    <row r="1397" ht="15.75" hidden="1" customHeight="1">
      <c r="A1397" s="226"/>
      <c r="B1397" s="359"/>
      <c r="C1397" s="359"/>
      <c r="D1397" s="359"/>
      <c r="E1397" s="359"/>
      <c r="F1397" s="360"/>
      <c r="G1397" s="360"/>
      <c r="H1397" s="359"/>
      <c r="I1397" s="359"/>
      <c r="J1397" s="359"/>
      <c r="K1397" s="359"/>
      <c r="L1397" s="361"/>
      <c r="M1397" s="359"/>
      <c r="N1397" s="359"/>
      <c r="O1397" s="359"/>
      <c r="P1397" s="359"/>
      <c r="Q1397" s="359"/>
      <c r="R1397" s="359"/>
      <c r="S1397" s="359"/>
      <c r="T1397" s="359"/>
      <c r="U1397" s="359"/>
    </row>
    <row r="1398" ht="15.75" hidden="1" customHeight="1">
      <c r="A1398" s="226"/>
      <c r="B1398" s="359"/>
      <c r="C1398" s="359"/>
      <c r="D1398" s="359"/>
      <c r="E1398" s="359"/>
      <c r="F1398" s="360"/>
      <c r="G1398" s="360"/>
      <c r="H1398" s="359"/>
      <c r="I1398" s="359"/>
      <c r="J1398" s="359"/>
      <c r="K1398" s="359"/>
      <c r="L1398" s="361"/>
      <c r="M1398" s="359"/>
      <c r="N1398" s="359"/>
      <c r="O1398" s="359"/>
      <c r="P1398" s="359"/>
      <c r="Q1398" s="359"/>
      <c r="R1398" s="359"/>
      <c r="S1398" s="359"/>
      <c r="T1398" s="359"/>
      <c r="U1398" s="359"/>
    </row>
    <row r="1399" ht="15.75" hidden="1" customHeight="1">
      <c r="A1399" s="226"/>
      <c r="B1399" s="359"/>
      <c r="C1399" s="359"/>
      <c r="D1399" s="359"/>
      <c r="E1399" s="359"/>
      <c r="F1399" s="360"/>
      <c r="G1399" s="360"/>
      <c r="H1399" s="359"/>
      <c r="I1399" s="359"/>
      <c r="J1399" s="359"/>
      <c r="K1399" s="359"/>
      <c r="L1399" s="361"/>
      <c r="M1399" s="359"/>
      <c r="N1399" s="359"/>
      <c r="O1399" s="359"/>
      <c r="P1399" s="359"/>
      <c r="Q1399" s="359"/>
      <c r="R1399" s="359"/>
      <c r="S1399" s="359"/>
      <c r="T1399" s="359"/>
      <c r="U1399" s="359"/>
    </row>
    <row r="1400" ht="15.75" hidden="1" customHeight="1">
      <c r="A1400" s="226"/>
      <c r="B1400" s="359"/>
      <c r="C1400" s="359"/>
      <c r="D1400" s="359"/>
      <c r="E1400" s="359"/>
      <c r="F1400" s="360"/>
      <c r="G1400" s="360"/>
      <c r="H1400" s="359"/>
      <c r="I1400" s="359"/>
      <c r="J1400" s="359"/>
      <c r="K1400" s="359"/>
      <c r="L1400" s="361"/>
      <c r="M1400" s="359"/>
      <c r="N1400" s="359"/>
      <c r="O1400" s="359"/>
      <c r="P1400" s="359"/>
      <c r="Q1400" s="359"/>
      <c r="R1400" s="359"/>
      <c r="S1400" s="359"/>
      <c r="T1400" s="359"/>
      <c r="U1400" s="359"/>
    </row>
    <row r="1401" ht="15.75" hidden="1" customHeight="1">
      <c r="A1401" s="226"/>
      <c r="B1401" s="359"/>
      <c r="C1401" s="359"/>
      <c r="D1401" s="359"/>
      <c r="E1401" s="359"/>
      <c r="F1401" s="360"/>
      <c r="G1401" s="360"/>
      <c r="H1401" s="359"/>
      <c r="I1401" s="359"/>
      <c r="J1401" s="359"/>
      <c r="K1401" s="359"/>
      <c r="L1401" s="361"/>
      <c r="M1401" s="359"/>
      <c r="N1401" s="359"/>
      <c r="O1401" s="359"/>
      <c r="P1401" s="359"/>
      <c r="Q1401" s="359"/>
      <c r="R1401" s="359"/>
      <c r="S1401" s="359"/>
      <c r="T1401" s="359"/>
      <c r="U1401" s="359"/>
    </row>
    <row r="1402" ht="15.75" hidden="1" customHeight="1">
      <c r="A1402" s="226"/>
      <c r="B1402" s="359"/>
      <c r="C1402" s="359"/>
      <c r="D1402" s="359"/>
      <c r="E1402" s="359"/>
      <c r="F1402" s="360"/>
      <c r="G1402" s="360"/>
      <c r="H1402" s="359"/>
      <c r="I1402" s="359"/>
      <c r="J1402" s="359"/>
      <c r="K1402" s="359"/>
      <c r="L1402" s="361"/>
      <c r="M1402" s="359"/>
      <c r="N1402" s="359"/>
      <c r="O1402" s="359"/>
      <c r="P1402" s="359"/>
      <c r="Q1402" s="359"/>
      <c r="R1402" s="359"/>
      <c r="S1402" s="359"/>
      <c r="T1402" s="359"/>
      <c r="U1402" s="359"/>
    </row>
    <row r="1403" ht="15.75" hidden="1" customHeight="1">
      <c r="A1403" s="226"/>
      <c r="B1403" s="359"/>
      <c r="C1403" s="359"/>
      <c r="D1403" s="359"/>
      <c r="E1403" s="359"/>
      <c r="F1403" s="360"/>
      <c r="G1403" s="360"/>
      <c r="H1403" s="359"/>
      <c r="I1403" s="359"/>
      <c r="J1403" s="359"/>
      <c r="K1403" s="359"/>
      <c r="L1403" s="361"/>
      <c r="M1403" s="359"/>
      <c r="N1403" s="359"/>
      <c r="O1403" s="359"/>
      <c r="P1403" s="359"/>
      <c r="Q1403" s="359"/>
      <c r="R1403" s="359"/>
      <c r="S1403" s="359"/>
      <c r="T1403" s="359"/>
      <c r="U1403" s="359"/>
    </row>
    <row r="1404" ht="15.75" hidden="1" customHeight="1">
      <c r="A1404" s="226"/>
      <c r="B1404" s="359"/>
      <c r="C1404" s="359"/>
      <c r="D1404" s="359"/>
      <c r="E1404" s="359"/>
      <c r="F1404" s="360"/>
      <c r="G1404" s="360"/>
      <c r="H1404" s="359"/>
      <c r="I1404" s="359"/>
      <c r="J1404" s="359"/>
      <c r="K1404" s="359"/>
      <c r="L1404" s="361"/>
      <c r="M1404" s="359"/>
      <c r="N1404" s="359"/>
      <c r="O1404" s="359"/>
      <c r="P1404" s="359"/>
      <c r="Q1404" s="359"/>
      <c r="R1404" s="359"/>
      <c r="S1404" s="359"/>
      <c r="T1404" s="359"/>
      <c r="U1404" s="359"/>
    </row>
    <row r="1405" ht="15.75" hidden="1" customHeight="1">
      <c r="A1405" s="226"/>
      <c r="B1405" s="359"/>
      <c r="C1405" s="359"/>
      <c r="D1405" s="359"/>
      <c r="E1405" s="359"/>
      <c r="F1405" s="360"/>
      <c r="G1405" s="360"/>
      <c r="H1405" s="359"/>
      <c r="I1405" s="359"/>
      <c r="J1405" s="359"/>
      <c r="K1405" s="359"/>
      <c r="L1405" s="361"/>
      <c r="M1405" s="359"/>
      <c r="N1405" s="359"/>
      <c r="O1405" s="359"/>
      <c r="P1405" s="359"/>
      <c r="Q1405" s="359"/>
      <c r="R1405" s="359"/>
      <c r="S1405" s="359"/>
      <c r="T1405" s="359"/>
      <c r="U1405" s="359"/>
    </row>
    <row r="1406" ht="15.75" hidden="1" customHeight="1">
      <c r="A1406" s="226"/>
      <c r="B1406" s="359"/>
      <c r="C1406" s="359"/>
      <c r="D1406" s="359"/>
      <c r="E1406" s="359"/>
      <c r="F1406" s="360"/>
      <c r="G1406" s="360"/>
      <c r="H1406" s="359"/>
      <c r="I1406" s="359"/>
      <c r="J1406" s="359"/>
      <c r="K1406" s="359"/>
      <c r="L1406" s="361"/>
      <c r="M1406" s="359"/>
      <c r="N1406" s="359"/>
      <c r="O1406" s="359"/>
      <c r="P1406" s="359"/>
      <c r="Q1406" s="359"/>
      <c r="R1406" s="359"/>
      <c r="S1406" s="359"/>
      <c r="T1406" s="359"/>
      <c r="U1406" s="359"/>
    </row>
    <row r="1407" ht="15.75" hidden="1" customHeight="1">
      <c r="A1407" s="226"/>
      <c r="B1407" s="359"/>
      <c r="C1407" s="359"/>
      <c r="D1407" s="359"/>
      <c r="E1407" s="359"/>
      <c r="F1407" s="360"/>
      <c r="G1407" s="360"/>
      <c r="H1407" s="359"/>
      <c r="I1407" s="359"/>
      <c r="J1407" s="359"/>
      <c r="K1407" s="359"/>
      <c r="L1407" s="361"/>
      <c r="M1407" s="359"/>
      <c r="N1407" s="359"/>
      <c r="O1407" s="359"/>
      <c r="P1407" s="359"/>
      <c r="Q1407" s="359"/>
      <c r="R1407" s="359"/>
      <c r="S1407" s="359"/>
      <c r="T1407" s="359"/>
      <c r="U1407" s="359"/>
    </row>
    <row r="1408" ht="15.75" hidden="1" customHeight="1">
      <c r="A1408" s="226"/>
      <c r="B1408" s="359"/>
      <c r="C1408" s="359"/>
      <c r="D1408" s="359"/>
      <c r="E1408" s="359"/>
      <c r="F1408" s="360"/>
      <c r="G1408" s="360"/>
      <c r="H1408" s="359"/>
      <c r="I1408" s="359"/>
      <c r="J1408" s="359"/>
      <c r="K1408" s="359"/>
      <c r="L1408" s="361"/>
      <c r="M1408" s="359"/>
      <c r="N1408" s="359"/>
      <c r="O1408" s="359"/>
      <c r="P1408" s="359"/>
      <c r="Q1408" s="359"/>
      <c r="R1408" s="359"/>
      <c r="S1408" s="359"/>
      <c r="T1408" s="359"/>
      <c r="U1408" s="359"/>
    </row>
    <row r="1409" ht="15.75" hidden="1" customHeight="1">
      <c r="A1409" s="226"/>
      <c r="B1409" s="359"/>
      <c r="C1409" s="359"/>
      <c r="D1409" s="359"/>
      <c r="E1409" s="359"/>
      <c r="F1409" s="360"/>
      <c r="G1409" s="360"/>
      <c r="H1409" s="359"/>
      <c r="I1409" s="359"/>
      <c r="J1409" s="359"/>
      <c r="K1409" s="359"/>
      <c r="L1409" s="361"/>
      <c r="M1409" s="359"/>
      <c r="N1409" s="359"/>
      <c r="O1409" s="359"/>
      <c r="P1409" s="359"/>
      <c r="Q1409" s="359"/>
      <c r="R1409" s="359"/>
      <c r="S1409" s="359"/>
      <c r="T1409" s="359"/>
      <c r="U1409" s="359"/>
    </row>
    <row r="1410" ht="15.75" customHeight="1">
      <c r="A1410" s="226"/>
      <c r="B1410" s="359"/>
      <c r="C1410" s="359"/>
      <c r="D1410" s="359"/>
      <c r="E1410" s="359"/>
      <c r="F1410" s="360"/>
      <c r="G1410" s="360"/>
      <c r="H1410" s="359"/>
      <c r="I1410" s="359"/>
      <c r="J1410" s="359"/>
      <c r="K1410" s="359"/>
      <c r="L1410" s="361"/>
      <c r="M1410" s="359"/>
      <c r="N1410" s="359"/>
      <c r="O1410" s="359"/>
      <c r="P1410" s="359"/>
      <c r="Q1410" s="359"/>
      <c r="R1410" s="359"/>
      <c r="S1410" s="359"/>
      <c r="T1410" s="359"/>
      <c r="U1410" s="359"/>
    </row>
    <row r="1411" ht="15.75" customHeight="1">
      <c r="A1411" s="226"/>
      <c r="B1411" s="359"/>
      <c r="C1411" s="359"/>
      <c r="D1411" s="359"/>
      <c r="E1411" s="359"/>
      <c r="F1411" s="360"/>
      <c r="G1411" s="360"/>
      <c r="H1411" s="359"/>
      <c r="I1411" s="359"/>
      <c r="J1411" s="359"/>
      <c r="K1411" s="359"/>
      <c r="L1411" s="361"/>
      <c r="M1411" s="359"/>
      <c r="N1411" s="359"/>
      <c r="O1411" s="359"/>
      <c r="P1411" s="359"/>
      <c r="Q1411" s="359"/>
      <c r="R1411" s="359"/>
      <c r="S1411" s="359"/>
      <c r="T1411" s="359"/>
      <c r="U1411" s="359"/>
    </row>
    <row r="1412" ht="15.75" customHeight="1">
      <c r="A1412" s="226"/>
      <c r="B1412" s="359"/>
      <c r="C1412" s="359"/>
      <c r="D1412" s="359"/>
      <c r="E1412" s="359"/>
      <c r="F1412" s="360"/>
      <c r="G1412" s="360"/>
      <c r="H1412" s="359"/>
      <c r="I1412" s="359"/>
      <c r="J1412" s="359"/>
      <c r="K1412" s="359"/>
      <c r="L1412" s="361"/>
      <c r="M1412" s="359"/>
      <c r="N1412" s="359"/>
      <c r="O1412" s="359"/>
      <c r="P1412" s="359"/>
      <c r="Q1412" s="359"/>
      <c r="R1412" s="359"/>
      <c r="S1412" s="359"/>
      <c r="T1412" s="359"/>
      <c r="U1412" s="359"/>
    </row>
    <row r="1413" ht="15.75" customHeight="1">
      <c r="A1413" s="226"/>
      <c r="B1413" s="359"/>
      <c r="C1413" s="359"/>
      <c r="D1413" s="359"/>
      <c r="E1413" s="359"/>
      <c r="F1413" s="360"/>
      <c r="G1413" s="360"/>
      <c r="H1413" s="359"/>
      <c r="I1413" s="359"/>
      <c r="J1413" s="359"/>
      <c r="K1413" s="359"/>
      <c r="L1413" s="361"/>
      <c r="M1413" s="359"/>
      <c r="N1413" s="359"/>
      <c r="O1413" s="359"/>
      <c r="P1413" s="359"/>
      <c r="Q1413" s="359"/>
      <c r="R1413" s="359"/>
      <c r="S1413" s="359"/>
      <c r="T1413" s="359"/>
      <c r="U1413" s="359"/>
    </row>
    <row r="1414" ht="15.75" customHeight="1">
      <c r="A1414" s="226"/>
      <c r="B1414" s="359"/>
      <c r="C1414" s="359"/>
      <c r="D1414" s="359"/>
      <c r="E1414" s="359"/>
      <c r="F1414" s="360"/>
      <c r="G1414" s="360"/>
      <c r="H1414" s="359"/>
      <c r="I1414" s="359"/>
      <c r="J1414" s="359"/>
      <c r="K1414" s="359"/>
      <c r="L1414" s="361"/>
      <c r="M1414" s="359"/>
      <c r="N1414" s="359"/>
      <c r="O1414" s="359"/>
      <c r="P1414" s="359"/>
      <c r="Q1414" s="359"/>
      <c r="R1414" s="359"/>
      <c r="S1414" s="359"/>
      <c r="T1414" s="359"/>
      <c r="U1414" s="359"/>
    </row>
    <row r="1415" ht="15.75" customHeight="1">
      <c r="A1415" s="226"/>
      <c r="B1415" s="359"/>
      <c r="C1415" s="359"/>
      <c r="D1415" s="359"/>
      <c r="E1415" s="359"/>
      <c r="F1415" s="360"/>
      <c r="G1415" s="360"/>
      <c r="H1415" s="359"/>
      <c r="I1415" s="359"/>
      <c r="J1415" s="359"/>
      <c r="K1415" s="359"/>
      <c r="L1415" s="361"/>
      <c r="M1415" s="359"/>
      <c r="N1415" s="359"/>
      <c r="O1415" s="359"/>
      <c r="P1415" s="359"/>
      <c r="Q1415" s="359"/>
      <c r="R1415" s="359"/>
      <c r="S1415" s="359"/>
      <c r="T1415" s="359"/>
      <c r="U1415" s="359"/>
    </row>
    <row r="1416" ht="15.75" customHeight="1">
      <c r="A1416" s="226"/>
      <c r="B1416" s="359"/>
      <c r="C1416" s="359"/>
      <c r="D1416" s="359"/>
      <c r="E1416" s="359"/>
      <c r="F1416" s="360"/>
      <c r="G1416" s="360"/>
      <c r="H1416" s="359"/>
      <c r="I1416" s="359"/>
      <c r="J1416" s="359"/>
      <c r="K1416" s="359"/>
      <c r="L1416" s="361"/>
      <c r="M1416" s="359"/>
      <c r="N1416" s="359"/>
      <c r="O1416" s="359"/>
      <c r="P1416" s="359"/>
      <c r="Q1416" s="359"/>
      <c r="R1416" s="359"/>
      <c r="S1416" s="359"/>
      <c r="T1416" s="359"/>
      <c r="U1416" s="359"/>
    </row>
    <row r="1417" ht="15.75" customHeight="1">
      <c r="A1417" s="226"/>
      <c r="B1417" s="359"/>
      <c r="C1417" s="359"/>
      <c r="D1417" s="359"/>
      <c r="E1417" s="359"/>
      <c r="F1417" s="360"/>
      <c r="G1417" s="360"/>
      <c r="H1417" s="359"/>
      <c r="I1417" s="359"/>
      <c r="J1417" s="359"/>
      <c r="K1417" s="359"/>
      <c r="L1417" s="361"/>
      <c r="M1417" s="359"/>
      <c r="N1417" s="359"/>
      <c r="O1417" s="359"/>
      <c r="P1417" s="359"/>
      <c r="Q1417" s="359"/>
      <c r="R1417" s="359"/>
      <c r="S1417" s="359"/>
      <c r="T1417" s="359"/>
      <c r="U1417" s="359"/>
    </row>
    <row r="1418" ht="15.75" customHeight="1">
      <c r="A1418" s="226"/>
      <c r="B1418" s="359"/>
      <c r="C1418" s="359"/>
      <c r="D1418" s="359"/>
      <c r="E1418" s="359"/>
      <c r="F1418" s="360"/>
      <c r="G1418" s="360"/>
      <c r="H1418" s="359"/>
      <c r="I1418" s="359"/>
      <c r="J1418" s="359"/>
      <c r="K1418" s="359"/>
      <c r="L1418" s="361"/>
      <c r="M1418" s="359"/>
      <c r="N1418" s="359"/>
      <c r="O1418" s="359"/>
      <c r="P1418" s="359"/>
      <c r="Q1418" s="359"/>
      <c r="R1418" s="359"/>
      <c r="S1418" s="359"/>
      <c r="T1418" s="359"/>
      <c r="U1418" s="359"/>
    </row>
    <row r="1419" ht="15.75" customHeight="1">
      <c r="A1419" s="226"/>
      <c r="B1419" s="359"/>
      <c r="C1419" s="359"/>
      <c r="D1419" s="359"/>
      <c r="E1419" s="359"/>
      <c r="F1419" s="360"/>
      <c r="G1419" s="360"/>
      <c r="H1419" s="359"/>
      <c r="I1419" s="359"/>
      <c r="J1419" s="359"/>
      <c r="K1419" s="359"/>
      <c r="L1419" s="361"/>
      <c r="M1419" s="359"/>
      <c r="N1419" s="359"/>
      <c r="O1419" s="359"/>
      <c r="P1419" s="359"/>
      <c r="Q1419" s="359"/>
      <c r="R1419" s="359"/>
      <c r="S1419" s="359"/>
      <c r="T1419" s="359"/>
      <c r="U1419" s="359"/>
    </row>
    <row r="1420" ht="15.75" customHeight="1">
      <c r="A1420" s="226"/>
      <c r="B1420" s="359"/>
      <c r="C1420" s="359"/>
      <c r="D1420" s="359"/>
      <c r="E1420" s="359"/>
      <c r="F1420" s="360"/>
      <c r="G1420" s="360"/>
      <c r="H1420" s="359"/>
      <c r="I1420" s="359"/>
      <c r="J1420" s="359"/>
      <c r="K1420" s="359"/>
      <c r="L1420" s="361"/>
      <c r="M1420" s="359"/>
      <c r="N1420" s="359"/>
      <c r="O1420" s="359"/>
      <c r="P1420" s="359"/>
      <c r="Q1420" s="359"/>
      <c r="R1420" s="359"/>
      <c r="S1420" s="359"/>
      <c r="T1420" s="359"/>
      <c r="U1420" s="359"/>
    </row>
    <row r="1421" ht="15.75" customHeight="1">
      <c r="A1421" s="226"/>
      <c r="B1421" s="359"/>
      <c r="C1421" s="359"/>
      <c r="D1421" s="359"/>
      <c r="E1421" s="359"/>
      <c r="F1421" s="360"/>
      <c r="G1421" s="360"/>
      <c r="H1421" s="359"/>
      <c r="I1421" s="359"/>
      <c r="J1421" s="359"/>
      <c r="K1421" s="359"/>
      <c r="L1421" s="361"/>
      <c r="M1421" s="359"/>
      <c r="N1421" s="359"/>
      <c r="O1421" s="359"/>
      <c r="P1421" s="359"/>
      <c r="Q1421" s="359"/>
      <c r="R1421" s="359"/>
      <c r="S1421" s="359"/>
      <c r="T1421" s="359"/>
      <c r="U1421" s="359"/>
    </row>
    <row r="1422" ht="15.75" customHeight="1">
      <c r="A1422" s="226"/>
      <c r="B1422" s="359"/>
      <c r="C1422" s="359"/>
      <c r="D1422" s="359"/>
      <c r="E1422" s="359"/>
      <c r="F1422" s="360"/>
      <c r="G1422" s="360"/>
      <c r="H1422" s="359"/>
      <c r="I1422" s="359"/>
      <c r="J1422" s="359"/>
      <c r="K1422" s="359"/>
      <c r="L1422" s="361"/>
      <c r="M1422" s="359"/>
      <c r="N1422" s="359"/>
      <c r="O1422" s="359"/>
      <c r="P1422" s="359"/>
      <c r="Q1422" s="359"/>
      <c r="R1422" s="359"/>
      <c r="S1422" s="359"/>
      <c r="T1422" s="359"/>
      <c r="U1422" s="359"/>
    </row>
    <row r="1423" ht="15.75" customHeight="1">
      <c r="A1423" s="226"/>
      <c r="B1423" s="359"/>
      <c r="C1423" s="359"/>
      <c r="D1423" s="359"/>
      <c r="E1423" s="359"/>
      <c r="F1423" s="360"/>
      <c r="G1423" s="360"/>
      <c r="H1423" s="359"/>
      <c r="I1423" s="359"/>
      <c r="J1423" s="359"/>
      <c r="K1423" s="359"/>
      <c r="L1423" s="361"/>
      <c r="M1423" s="359"/>
      <c r="N1423" s="359"/>
      <c r="O1423" s="359"/>
      <c r="P1423" s="359"/>
      <c r="Q1423" s="359"/>
      <c r="R1423" s="359"/>
      <c r="S1423" s="359"/>
      <c r="T1423" s="359"/>
      <c r="U1423" s="359"/>
    </row>
    <row r="1424" ht="15.75" customHeight="1">
      <c r="A1424" s="226"/>
      <c r="B1424" s="359"/>
      <c r="C1424" s="359"/>
      <c r="D1424" s="359"/>
      <c r="E1424" s="359"/>
      <c r="F1424" s="360"/>
      <c r="G1424" s="360"/>
      <c r="H1424" s="359"/>
      <c r="I1424" s="359"/>
      <c r="J1424" s="359"/>
      <c r="K1424" s="359"/>
      <c r="L1424" s="361"/>
      <c r="M1424" s="359"/>
      <c r="N1424" s="359"/>
      <c r="O1424" s="359"/>
      <c r="P1424" s="359"/>
      <c r="Q1424" s="359"/>
      <c r="R1424" s="359"/>
      <c r="S1424" s="359"/>
      <c r="T1424" s="359"/>
      <c r="U1424" s="359"/>
    </row>
    <row r="1425" ht="15.75" customHeight="1">
      <c r="A1425" s="226"/>
      <c r="B1425" s="359"/>
      <c r="C1425" s="359"/>
      <c r="D1425" s="359"/>
      <c r="E1425" s="359"/>
      <c r="F1425" s="360"/>
      <c r="G1425" s="360"/>
      <c r="H1425" s="359"/>
      <c r="I1425" s="359"/>
      <c r="J1425" s="359"/>
      <c r="K1425" s="359"/>
      <c r="L1425" s="361"/>
      <c r="M1425" s="359"/>
      <c r="N1425" s="359"/>
      <c r="O1425" s="359"/>
      <c r="P1425" s="359"/>
      <c r="Q1425" s="359"/>
      <c r="R1425" s="359"/>
      <c r="S1425" s="359"/>
      <c r="T1425" s="359"/>
      <c r="U1425" s="359"/>
    </row>
    <row r="1426" ht="15.75" customHeight="1">
      <c r="A1426" s="226"/>
      <c r="B1426" s="359"/>
      <c r="C1426" s="359"/>
      <c r="D1426" s="359"/>
      <c r="E1426" s="359"/>
      <c r="F1426" s="360"/>
      <c r="G1426" s="360"/>
      <c r="H1426" s="359"/>
      <c r="I1426" s="359"/>
      <c r="J1426" s="359"/>
      <c r="K1426" s="359"/>
      <c r="L1426" s="361"/>
      <c r="M1426" s="359"/>
      <c r="N1426" s="359"/>
      <c r="O1426" s="359"/>
      <c r="P1426" s="359"/>
      <c r="Q1426" s="359"/>
      <c r="R1426" s="359"/>
      <c r="S1426" s="359"/>
      <c r="T1426" s="359"/>
      <c r="U1426" s="359"/>
    </row>
    <row r="1427" ht="15.75" customHeight="1">
      <c r="A1427" s="226"/>
      <c r="B1427" s="359"/>
      <c r="C1427" s="359"/>
      <c r="D1427" s="359"/>
      <c r="E1427" s="359"/>
      <c r="F1427" s="360"/>
      <c r="G1427" s="360"/>
      <c r="H1427" s="359"/>
      <c r="I1427" s="359"/>
      <c r="J1427" s="359"/>
      <c r="K1427" s="359"/>
      <c r="L1427" s="361"/>
      <c r="M1427" s="359"/>
      <c r="N1427" s="359"/>
      <c r="O1427" s="359"/>
      <c r="P1427" s="359"/>
      <c r="Q1427" s="359"/>
      <c r="R1427" s="359"/>
      <c r="S1427" s="359"/>
      <c r="T1427" s="359"/>
      <c r="U1427" s="359"/>
    </row>
    <row r="1428" ht="15.75" customHeight="1">
      <c r="A1428" s="226"/>
      <c r="B1428" s="359"/>
      <c r="C1428" s="359"/>
      <c r="D1428" s="359"/>
      <c r="E1428" s="359"/>
      <c r="F1428" s="360"/>
      <c r="G1428" s="360"/>
      <c r="H1428" s="359"/>
      <c r="I1428" s="359"/>
      <c r="J1428" s="359"/>
      <c r="K1428" s="359"/>
      <c r="L1428" s="361"/>
      <c r="M1428" s="359"/>
      <c r="N1428" s="359"/>
      <c r="O1428" s="359"/>
      <c r="P1428" s="359"/>
      <c r="Q1428" s="359"/>
      <c r="R1428" s="359"/>
      <c r="S1428" s="359"/>
      <c r="T1428" s="359"/>
      <c r="U1428" s="359"/>
    </row>
    <row r="1429" ht="15.75" customHeight="1">
      <c r="A1429" s="226"/>
      <c r="B1429" s="359"/>
      <c r="C1429" s="359"/>
      <c r="D1429" s="359"/>
      <c r="E1429" s="359"/>
      <c r="F1429" s="360"/>
      <c r="G1429" s="360"/>
      <c r="H1429" s="359"/>
      <c r="I1429" s="359"/>
      <c r="J1429" s="359"/>
      <c r="K1429" s="359"/>
      <c r="L1429" s="361"/>
      <c r="M1429" s="359"/>
      <c r="N1429" s="359"/>
      <c r="O1429" s="359"/>
      <c r="P1429" s="359"/>
      <c r="Q1429" s="359"/>
      <c r="R1429" s="359"/>
      <c r="S1429" s="359"/>
      <c r="T1429" s="359"/>
      <c r="U1429" s="359"/>
    </row>
    <row r="1430" ht="15.75" customHeight="1">
      <c r="A1430" s="226"/>
      <c r="B1430" s="359"/>
      <c r="C1430" s="359"/>
      <c r="D1430" s="359"/>
      <c r="E1430" s="359"/>
      <c r="F1430" s="360"/>
      <c r="G1430" s="360"/>
      <c r="H1430" s="359"/>
      <c r="I1430" s="359"/>
      <c r="J1430" s="359"/>
      <c r="K1430" s="359"/>
      <c r="L1430" s="361"/>
      <c r="M1430" s="359"/>
      <c r="N1430" s="359"/>
      <c r="O1430" s="359"/>
      <c r="P1430" s="359"/>
      <c r="Q1430" s="359"/>
      <c r="R1430" s="359"/>
      <c r="S1430" s="359"/>
      <c r="T1430" s="359"/>
      <c r="U1430" s="359"/>
    </row>
    <row r="1431" ht="15.75" customHeight="1">
      <c r="A1431" s="226"/>
      <c r="B1431" s="359"/>
      <c r="C1431" s="359"/>
      <c r="D1431" s="359"/>
      <c r="E1431" s="359"/>
      <c r="F1431" s="360"/>
      <c r="G1431" s="360"/>
      <c r="H1431" s="359"/>
      <c r="I1431" s="359"/>
      <c r="J1431" s="359"/>
      <c r="K1431" s="359"/>
      <c r="L1431" s="361"/>
      <c r="M1431" s="359"/>
      <c r="N1431" s="359"/>
      <c r="O1431" s="359"/>
      <c r="P1431" s="359"/>
      <c r="Q1431" s="359"/>
      <c r="R1431" s="359"/>
      <c r="S1431" s="359"/>
      <c r="T1431" s="359"/>
      <c r="U1431" s="359"/>
    </row>
    <row r="1432" ht="15.75" customHeight="1">
      <c r="A1432" s="226"/>
      <c r="B1432" s="359"/>
      <c r="C1432" s="359"/>
      <c r="D1432" s="359"/>
      <c r="E1432" s="359"/>
      <c r="F1432" s="360"/>
      <c r="G1432" s="360"/>
      <c r="H1432" s="359"/>
      <c r="I1432" s="359"/>
      <c r="J1432" s="359"/>
      <c r="K1432" s="359"/>
      <c r="L1432" s="361"/>
      <c r="M1432" s="359"/>
      <c r="N1432" s="359"/>
      <c r="O1432" s="359"/>
      <c r="P1432" s="359"/>
      <c r="Q1432" s="359"/>
      <c r="R1432" s="359"/>
      <c r="S1432" s="359"/>
      <c r="T1432" s="359"/>
      <c r="U1432" s="359"/>
    </row>
    <row r="1433" ht="15.75" customHeight="1">
      <c r="A1433" s="226"/>
      <c r="B1433" s="359"/>
      <c r="C1433" s="359"/>
      <c r="D1433" s="359"/>
      <c r="E1433" s="359"/>
      <c r="F1433" s="360"/>
      <c r="G1433" s="360"/>
      <c r="H1433" s="359"/>
      <c r="I1433" s="359"/>
      <c r="J1433" s="359"/>
      <c r="K1433" s="359"/>
      <c r="L1433" s="361"/>
      <c r="M1433" s="359"/>
      <c r="N1433" s="359"/>
      <c r="O1433" s="359"/>
      <c r="P1433" s="359"/>
      <c r="Q1433" s="359"/>
      <c r="R1433" s="359"/>
      <c r="S1433" s="359"/>
      <c r="T1433" s="359"/>
      <c r="U1433" s="359"/>
    </row>
    <row r="1434" ht="15.75" customHeight="1">
      <c r="A1434" s="226"/>
      <c r="B1434" s="359"/>
      <c r="C1434" s="359"/>
      <c r="D1434" s="359"/>
      <c r="E1434" s="359"/>
      <c r="F1434" s="360"/>
      <c r="G1434" s="360"/>
      <c r="H1434" s="359"/>
      <c r="I1434" s="359"/>
      <c r="J1434" s="359"/>
      <c r="K1434" s="359"/>
      <c r="L1434" s="361"/>
      <c r="M1434" s="359"/>
      <c r="N1434" s="359"/>
      <c r="O1434" s="359"/>
      <c r="P1434" s="359"/>
      <c r="Q1434" s="359"/>
      <c r="R1434" s="359"/>
      <c r="S1434" s="359"/>
      <c r="T1434" s="359"/>
      <c r="U1434" s="359"/>
    </row>
    <row r="1435" ht="15.75" customHeight="1">
      <c r="A1435" s="226"/>
      <c r="B1435" s="359"/>
      <c r="C1435" s="359"/>
      <c r="D1435" s="359"/>
      <c r="E1435" s="359"/>
      <c r="F1435" s="360"/>
      <c r="G1435" s="360"/>
      <c r="H1435" s="359"/>
      <c r="I1435" s="359"/>
      <c r="J1435" s="359"/>
      <c r="K1435" s="359"/>
      <c r="L1435" s="361"/>
      <c r="M1435" s="359"/>
      <c r="N1435" s="359"/>
      <c r="O1435" s="359"/>
      <c r="P1435" s="359"/>
      <c r="Q1435" s="359"/>
      <c r="R1435" s="359"/>
      <c r="S1435" s="359"/>
      <c r="T1435" s="359"/>
      <c r="U1435" s="359"/>
    </row>
    <row r="1436" ht="15.75" customHeight="1">
      <c r="A1436" s="226"/>
      <c r="B1436" s="359"/>
      <c r="C1436" s="359"/>
      <c r="D1436" s="359"/>
      <c r="E1436" s="359"/>
      <c r="F1436" s="360"/>
      <c r="G1436" s="360"/>
      <c r="H1436" s="359"/>
      <c r="I1436" s="359"/>
      <c r="J1436" s="359"/>
      <c r="K1436" s="359"/>
      <c r="L1436" s="361"/>
      <c r="M1436" s="359"/>
      <c r="N1436" s="359"/>
      <c r="O1436" s="359"/>
      <c r="P1436" s="359"/>
      <c r="Q1436" s="359"/>
      <c r="R1436" s="359"/>
      <c r="S1436" s="359"/>
      <c r="T1436" s="359"/>
      <c r="U1436" s="359"/>
    </row>
    <row r="1437" ht="15.75" customHeight="1">
      <c r="A1437" s="226"/>
      <c r="B1437" s="359"/>
      <c r="C1437" s="359"/>
      <c r="D1437" s="359"/>
      <c r="E1437" s="359"/>
      <c r="F1437" s="360"/>
      <c r="G1437" s="360"/>
      <c r="H1437" s="359"/>
      <c r="I1437" s="359"/>
      <c r="J1437" s="359"/>
      <c r="K1437" s="359"/>
      <c r="L1437" s="361"/>
      <c r="M1437" s="359"/>
      <c r="N1437" s="359"/>
      <c r="O1437" s="359"/>
      <c r="P1437" s="359"/>
      <c r="Q1437" s="359"/>
      <c r="R1437" s="359"/>
      <c r="S1437" s="359"/>
      <c r="T1437" s="359"/>
      <c r="U1437" s="359"/>
    </row>
    <row r="1438" ht="15.75" customHeight="1">
      <c r="A1438" s="226"/>
      <c r="B1438" s="359"/>
      <c r="C1438" s="359"/>
      <c r="D1438" s="359"/>
      <c r="E1438" s="359"/>
      <c r="F1438" s="360"/>
      <c r="G1438" s="360"/>
      <c r="H1438" s="359"/>
      <c r="I1438" s="359"/>
      <c r="J1438" s="359"/>
      <c r="K1438" s="359"/>
      <c r="L1438" s="361"/>
      <c r="M1438" s="359"/>
      <c r="N1438" s="359"/>
      <c r="O1438" s="359"/>
      <c r="P1438" s="359"/>
      <c r="Q1438" s="359"/>
      <c r="R1438" s="359"/>
      <c r="S1438" s="359"/>
      <c r="T1438" s="359"/>
      <c r="U1438" s="359"/>
    </row>
    <row r="1439" ht="15.75" customHeight="1">
      <c r="A1439" s="226"/>
      <c r="B1439" s="359"/>
      <c r="C1439" s="359"/>
      <c r="D1439" s="359"/>
      <c r="E1439" s="359"/>
      <c r="F1439" s="360"/>
      <c r="G1439" s="360"/>
      <c r="H1439" s="359"/>
      <c r="I1439" s="359"/>
      <c r="J1439" s="359"/>
      <c r="K1439" s="359"/>
      <c r="L1439" s="361"/>
      <c r="M1439" s="359"/>
      <c r="N1439" s="359"/>
      <c r="O1439" s="359"/>
      <c r="P1439" s="359"/>
      <c r="Q1439" s="359"/>
      <c r="R1439" s="359"/>
      <c r="S1439" s="359"/>
      <c r="T1439" s="359"/>
      <c r="U1439" s="359"/>
    </row>
    <row r="1440" ht="15.75" customHeight="1">
      <c r="A1440" s="226"/>
      <c r="B1440" s="359"/>
      <c r="C1440" s="359"/>
      <c r="D1440" s="359"/>
      <c r="E1440" s="359"/>
      <c r="F1440" s="360"/>
      <c r="G1440" s="360"/>
      <c r="H1440" s="359"/>
      <c r="I1440" s="359"/>
      <c r="J1440" s="359"/>
      <c r="K1440" s="359"/>
      <c r="L1440" s="361"/>
      <c r="M1440" s="359"/>
      <c r="N1440" s="359"/>
      <c r="O1440" s="359"/>
      <c r="P1440" s="359"/>
      <c r="Q1440" s="359"/>
      <c r="R1440" s="359"/>
      <c r="S1440" s="359"/>
      <c r="T1440" s="359"/>
      <c r="U1440" s="359"/>
    </row>
    <row r="1441" ht="15.75" customHeight="1">
      <c r="A1441" s="226"/>
      <c r="B1441" s="359"/>
      <c r="C1441" s="359"/>
      <c r="D1441" s="359"/>
      <c r="E1441" s="359"/>
      <c r="F1441" s="360"/>
      <c r="G1441" s="360"/>
      <c r="H1441" s="359"/>
      <c r="I1441" s="359"/>
      <c r="J1441" s="359"/>
      <c r="K1441" s="359"/>
      <c r="L1441" s="361"/>
      <c r="M1441" s="359"/>
      <c r="N1441" s="359"/>
      <c r="O1441" s="359"/>
      <c r="P1441" s="359"/>
      <c r="Q1441" s="359"/>
      <c r="R1441" s="359"/>
      <c r="S1441" s="359"/>
      <c r="T1441" s="359"/>
      <c r="U1441" s="359"/>
    </row>
    <row r="1442" ht="15.75" customHeight="1">
      <c r="A1442" s="226"/>
      <c r="B1442" s="359"/>
      <c r="C1442" s="359"/>
      <c r="D1442" s="359"/>
      <c r="E1442" s="359"/>
      <c r="F1442" s="360"/>
      <c r="G1442" s="360"/>
      <c r="H1442" s="359"/>
      <c r="I1442" s="359"/>
      <c r="J1442" s="359"/>
      <c r="K1442" s="359"/>
      <c r="L1442" s="361"/>
      <c r="M1442" s="359"/>
      <c r="N1442" s="359"/>
      <c r="O1442" s="359"/>
      <c r="P1442" s="359"/>
      <c r="Q1442" s="359"/>
      <c r="R1442" s="359"/>
      <c r="S1442" s="359"/>
      <c r="T1442" s="359"/>
      <c r="U1442" s="359"/>
    </row>
    <row r="1443" ht="15.75" customHeight="1">
      <c r="A1443" s="226"/>
      <c r="B1443" s="359"/>
      <c r="C1443" s="359"/>
      <c r="D1443" s="359"/>
      <c r="E1443" s="359"/>
      <c r="F1443" s="360"/>
      <c r="G1443" s="360"/>
      <c r="H1443" s="359"/>
      <c r="I1443" s="359"/>
      <c r="J1443" s="359"/>
      <c r="K1443" s="359"/>
      <c r="L1443" s="361"/>
      <c r="M1443" s="359"/>
      <c r="N1443" s="359"/>
      <c r="O1443" s="359"/>
      <c r="P1443" s="359"/>
      <c r="Q1443" s="359"/>
      <c r="R1443" s="359"/>
      <c r="S1443" s="359"/>
      <c r="T1443" s="359"/>
      <c r="U1443" s="359"/>
    </row>
    <row r="1444" ht="15.75" customHeight="1">
      <c r="A1444" s="226"/>
      <c r="B1444" s="359"/>
      <c r="C1444" s="359"/>
      <c r="D1444" s="359"/>
      <c r="E1444" s="359"/>
      <c r="F1444" s="360"/>
      <c r="G1444" s="360"/>
      <c r="H1444" s="359"/>
      <c r="I1444" s="359"/>
      <c r="J1444" s="359"/>
      <c r="K1444" s="359"/>
      <c r="L1444" s="361"/>
      <c r="M1444" s="359"/>
      <c r="N1444" s="359"/>
      <c r="O1444" s="359"/>
      <c r="P1444" s="359"/>
      <c r="Q1444" s="359"/>
      <c r="R1444" s="359"/>
      <c r="S1444" s="359"/>
      <c r="T1444" s="359"/>
      <c r="U1444" s="359"/>
    </row>
    <row r="1445" ht="15.75" customHeight="1">
      <c r="A1445" s="226"/>
      <c r="B1445" s="359"/>
      <c r="C1445" s="359"/>
      <c r="D1445" s="359"/>
      <c r="E1445" s="359"/>
      <c r="F1445" s="360"/>
      <c r="G1445" s="360"/>
      <c r="H1445" s="359"/>
      <c r="I1445" s="359"/>
      <c r="J1445" s="359"/>
      <c r="K1445" s="359"/>
      <c r="L1445" s="361"/>
      <c r="M1445" s="359"/>
      <c r="N1445" s="359"/>
      <c r="O1445" s="359"/>
      <c r="P1445" s="359"/>
      <c r="Q1445" s="359"/>
      <c r="R1445" s="359"/>
      <c r="S1445" s="359"/>
      <c r="T1445" s="359"/>
      <c r="U1445" s="359"/>
    </row>
    <row r="1446" ht="15.75" customHeight="1">
      <c r="A1446" s="226"/>
      <c r="B1446" s="359"/>
      <c r="C1446" s="359"/>
      <c r="D1446" s="359"/>
      <c r="E1446" s="359"/>
      <c r="F1446" s="360"/>
      <c r="G1446" s="360"/>
      <c r="H1446" s="359"/>
      <c r="I1446" s="359"/>
      <c r="J1446" s="359"/>
      <c r="K1446" s="359"/>
      <c r="L1446" s="361"/>
      <c r="M1446" s="359"/>
      <c r="N1446" s="359"/>
      <c r="O1446" s="359"/>
      <c r="P1446" s="359"/>
      <c r="Q1446" s="359"/>
      <c r="R1446" s="359"/>
      <c r="S1446" s="359"/>
      <c r="T1446" s="359"/>
      <c r="U1446" s="359"/>
    </row>
    <row r="1447" ht="15.75" customHeight="1">
      <c r="A1447" s="226"/>
      <c r="B1447" s="359"/>
      <c r="C1447" s="359"/>
      <c r="D1447" s="359"/>
      <c r="E1447" s="359"/>
      <c r="F1447" s="360"/>
      <c r="G1447" s="360"/>
      <c r="H1447" s="359"/>
      <c r="I1447" s="359"/>
      <c r="J1447" s="359"/>
      <c r="K1447" s="359"/>
      <c r="L1447" s="361"/>
      <c r="M1447" s="359"/>
      <c r="N1447" s="359"/>
      <c r="O1447" s="359"/>
      <c r="P1447" s="359"/>
      <c r="Q1447" s="359"/>
      <c r="R1447" s="359"/>
      <c r="S1447" s="359"/>
      <c r="T1447" s="359"/>
      <c r="U1447" s="359"/>
    </row>
    <row r="1448" ht="15.75" customHeight="1">
      <c r="A1448" s="226"/>
      <c r="B1448" s="359"/>
      <c r="C1448" s="359"/>
      <c r="D1448" s="359"/>
      <c r="E1448" s="359"/>
      <c r="F1448" s="360"/>
      <c r="G1448" s="360"/>
      <c r="H1448" s="359"/>
      <c r="I1448" s="359"/>
      <c r="J1448" s="359"/>
      <c r="K1448" s="359"/>
      <c r="L1448" s="361"/>
      <c r="M1448" s="359"/>
      <c r="N1448" s="359"/>
      <c r="O1448" s="359"/>
      <c r="P1448" s="359"/>
      <c r="Q1448" s="359"/>
      <c r="R1448" s="359"/>
      <c r="S1448" s="359"/>
      <c r="T1448" s="359"/>
      <c r="U1448" s="359"/>
    </row>
    <row r="1449" ht="15.75" customHeight="1">
      <c r="A1449" s="226"/>
      <c r="B1449" s="359"/>
      <c r="C1449" s="359"/>
      <c r="D1449" s="359"/>
      <c r="E1449" s="359"/>
      <c r="F1449" s="360"/>
      <c r="G1449" s="360"/>
      <c r="H1449" s="359"/>
      <c r="I1449" s="359"/>
      <c r="J1449" s="359"/>
      <c r="K1449" s="359"/>
      <c r="L1449" s="361"/>
      <c r="M1449" s="359"/>
      <c r="N1449" s="359"/>
      <c r="O1449" s="359"/>
      <c r="P1449" s="359"/>
      <c r="Q1449" s="359"/>
      <c r="R1449" s="359"/>
      <c r="S1449" s="359"/>
      <c r="T1449" s="359"/>
      <c r="U1449" s="359"/>
    </row>
    <row r="1450" ht="15.75" customHeight="1">
      <c r="A1450" s="226"/>
      <c r="B1450" s="359"/>
      <c r="C1450" s="359"/>
      <c r="D1450" s="359"/>
      <c r="E1450" s="359"/>
      <c r="F1450" s="360"/>
      <c r="G1450" s="360"/>
      <c r="H1450" s="359"/>
      <c r="I1450" s="359"/>
      <c r="J1450" s="359"/>
      <c r="K1450" s="359"/>
      <c r="L1450" s="361"/>
      <c r="M1450" s="359"/>
      <c r="N1450" s="359"/>
      <c r="O1450" s="359"/>
      <c r="P1450" s="359"/>
      <c r="Q1450" s="359"/>
      <c r="R1450" s="359"/>
      <c r="S1450" s="359"/>
      <c r="T1450" s="359"/>
      <c r="U1450" s="359"/>
    </row>
    <row r="1451" ht="15.75" customHeight="1">
      <c r="A1451" s="226"/>
      <c r="B1451" s="359"/>
      <c r="C1451" s="359"/>
      <c r="D1451" s="359"/>
      <c r="E1451" s="359"/>
      <c r="F1451" s="360"/>
      <c r="G1451" s="360"/>
      <c r="H1451" s="359"/>
      <c r="I1451" s="359"/>
      <c r="J1451" s="359"/>
      <c r="K1451" s="359"/>
      <c r="L1451" s="361"/>
      <c r="M1451" s="359"/>
      <c r="N1451" s="359"/>
      <c r="O1451" s="359"/>
      <c r="P1451" s="359"/>
      <c r="Q1451" s="359"/>
      <c r="R1451" s="359"/>
      <c r="S1451" s="359"/>
      <c r="T1451" s="359"/>
      <c r="U1451" s="359"/>
    </row>
    <row r="1452" ht="15.75" customHeight="1">
      <c r="A1452" s="226"/>
      <c r="B1452" s="359"/>
      <c r="C1452" s="359"/>
      <c r="D1452" s="359"/>
      <c r="E1452" s="359"/>
      <c r="F1452" s="360"/>
      <c r="G1452" s="360"/>
      <c r="H1452" s="359"/>
      <c r="I1452" s="359"/>
      <c r="J1452" s="359"/>
      <c r="K1452" s="359"/>
      <c r="L1452" s="361"/>
      <c r="M1452" s="359"/>
      <c r="N1452" s="359"/>
      <c r="O1452" s="359"/>
      <c r="P1452" s="359"/>
      <c r="Q1452" s="359"/>
      <c r="R1452" s="359"/>
      <c r="S1452" s="359"/>
      <c r="T1452" s="359"/>
      <c r="U1452" s="359"/>
    </row>
    <row r="1453" ht="15.75" customHeight="1">
      <c r="A1453" s="226"/>
      <c r="B1453" s="359"/>
      <c r="C1453" s="359"/>
      <c r="D1453" s="359"/>
      <c r="E1453" s="359"/>
      <c r="F1453" s="360"/>
      <c r="G1453" s="360"/>
      <c r="H1453" s="359"/>
      <c r="I1453" s="359"/>
      <c r="J1453" s="359"/>
      <c r="K1453" s="359"/>
      <c r="L1453" s="361"/>
      <c r="M1453" s="359"/>
      <c r="N1453" s="359"/>
      <c r="O1453" s="359"/>
      <c r="P1453" s="359"/>
      <c r="Q1453" s="359"/>
      <c r="R1453" s="359"/>
      <c r="S1453" s="359"/>
      <c r="T1453" s="359"/>
      <c r="U1453" s="359"/>
    </row>
    <row r="1454" ht="15.75" customHeight="1">
      <c r="A1454" s="226"/>
      <c r="B1454" s="359"/>
      <c r="C1454" s="359"/>
      <c r="D1454" s="359"/>
      <c r="E1454" s="359"/>
      <c r="F1454" s="360"/>
      <c r="G1454" s="360"/>
      <c r="H1454" s="359"/>
      <c r="I1454" s="359"/>
      <c r="J1454" s="359"/>
      <c r="K1454" s="359"/>
      <c r="L1454" s="361"/>
      <c r="M1454" s="359"/>
      <c r="N1454" s="359"/>
      <c r="O1454" s="359"/>
      <c r="P1454" s="359"/>
      <c r="Q1454" s="359"/>
      <c r="R1454" s="359"/>
      <c r="S1454" s="359"/>
      <c r="T1454" s="359"/>
      <c r="U1454" s="359"/>
    </row>
    <row r="1455" ht="15.75" customHeight="1">
      <c r="A1455" s="226"/>
      <c r="B1455" s="359"/>
      <c r="C1455" s="359"/>
      <c r="D1455" s="359"/>
      <c r="E1455" s="359"/>
      <c r="F1455" s="360"/>
      <c r="G1455" s="360"/>
      <c r="H1455" s="359"/>
      <c r="I1455" s="359"/>
      <c r="J1455" s="359"/>
      <c r="K1455" s="359"/>
      <c r="L1455" s="361"/>
      <c r="M1455" s="359"/>
      <c r="N1455" s="359"/>
      <c r="O1455" s="359"/>
      <c r="P1455" s="359"/>
      <c r="Q1455" s="359"/>
      <c r="R1455" s="359"/>
      <c r="S1455" s="359"/>
      <c r="T1455" s="359"/>
      <c r="U1455" s="359"/>
    </row>
    <row r="1456" ht="15.75" customHeight="1">
      <c r="A1456" s="226"/>
      <c r="B1456" s="359"/>
      <c r="C1456" s="359"/>
      <c r="D1456" s="359"/>
      <c r="E1456" s="359"/>
      <c r="F1456" s="360"/>
      <c r="G1456" s="360"/>
      <c r="H1456" s="359"/>
      <c r="I1456" s="359"/>
      <c r="J1456" s="359"/>
      <c r="K1456" s="359"/>
      <c r="L1456" s="361"/>
      <c r="M1456" s="359"/>
      <c r="N1456" s="359"/>
      <c r="O1456" s="359"/>
      <c r="P1456" s="359"/>
      <c r="Q1456" s="359"/>
      <c r="R1456" s="359"/>
      <c r="S1456" s="359"/>
      <c r="T1456" s="359"/>
      <c r="U1456" s="359"/>
    </row>
    <row r="1457" ht="15.75" customHeight="1">
      <c r="A1457" s="226"/>
      <c r="B1457" s="359"/>
      <c r="C1457" s="359"/>
      <c r="D1457" s="359"/>
      <c r="E1457" s="359"/>
      <c r="F1457" s="360"/>
      <c r="G1457" s="360"/>
      <c r="H1457" s="359"/>
      <c r="I1457" s="359"/>
      <c r="J1457" s="359"/>
      <c r="K1457" s="359"/>
      <c r="L1457" s="361"/>
      <c r="M1457" s="359"/>
      <c r="N1457" s="359"/>
      <c r="O1457" s="359"/>
      <c r="P1457" s="359"/>
      <c r="Q1457" s="359"/>
      <c r="R1457" s="359"/>
      <c r="S1457" s="359"/>
      <c r="T1457" s="359"/>
      <c r="U1457" s="359"/>
    </row>
    <row r="1458" ht="15.75" customHeight="1">
      <c r="A1458" s="226"/>
      <c r="B1458" s="359"/>
      <c r="C1458" s="359"/>
      <c r="D1458" s="359"/>
      <c r="E1458" s="359"/>
      <c r="F1458" s="360"/>
      <c r="G1458" s="360"/>
      <c r="H1458" s="359"/>
      <c r="I1458" s="359"/>
      <c r="J1458" s="359"/>
      <c r="K1458" s="359"/>
      <c r="L1458" s="361"/>
      <c r="M1458" s="359"/>
      <c r="N1458" s="359"/>
      <c r="O1458" s="359"/>
      <c r="P1458" s="359"/>
      <c r="Q1458" s="359"/>
      <c r="R1458" s="359"/>
      <c r="S1458" s="359"/>
      <c r="T1458" s="359"/>
      <c r="U1458" s="359"/>
    </row>
    <row r="1459" ht="15.75" customHeight="1">
      <c r="A1459" s="226"/>
      <c r="B1459" s="359"/>
      <c r="C1459" s="359"/>
      <c r="D1459" s="359"/>
      <c r="E1459" s="359"/>
      <c r="F1459" s="360"/>
      <c r="G1459" s="360"/>
      <c r="H1459" s="359"/>
      <c r="I1459" s="359"/>
      <c r="J1459" s="359"/>
      <c r="K1459" s="359"/>
      <c r="L1459" s="361"/>
      <c r="M1459" s="359"/>
      <c r="N1459" s="359"/>
      <c r="O1459" s="359"/>
      <c r="P1459" s="359"/>
      <c r="Q1459" s="359"/>
      <c r="R1459" s="359"/>
      <c r="S1459" s="359"/>
      <c r="T1459" s="359"/>
      <c r="U1459" s="359"/>
    </row>
    <row r="1460" ht="15.75" customHeight="1">
      <c r="A1460" s="226"/>
      <c r="B1460" s="359"/>
      <c r="C1460" s="359"/>
      <c r="D1460" s="359"/>
      <c r="E1460" s="359"/>
      <c r="F1460" s="360"/>
      <c r="G1460" s="360"/>
      <c r="H1460" s="359"/>
      <c r="I1460" s="359"/>
      <c r="J1460" s="359"/>
      <c r="K1460" s="359"/>
      <c r="L1460" s="361"/>
      <c r="M1460" s="359"/>
      <c r="N1460" s="359"/>
      <c r="O1460" s="359"/>
      <c r="P1460" s="359"/>
      <c r="Q1460" s="359"/>
      <c r="R1460" s="359"/>
      <c r="S1460" s="359"/>
      <c r="T1460" s="359"/>
      <c r="U1460" s="359"/>
    </row>
    <row r="1461" ht="15.75" customHeight="1">
      <c r="A1461" s="226"/>
      <c r="B1461" s="359"/>
      <c r="C1461" s="359"/>
      <c r="D1461" s="359"/>
      <c r="E1461" s="359"/>
      <c r="F1461" s="360"/>
      <c r="G1461" s="360"/>
      <c r="H1461" s="359"/>
      <c r="I1461" s="359"/>
      <c r="J1461" s="359"/>
      <c r="K1461" s="359"/>
      <c r="L1461" s="361"/>
      <c r="M1461" s="359"/>
      <c r="N1461" s="359"/>
      <c r="O1461" s="359"/>
      <c r="P1461" s="359"/>
      <c r="Q1461" s="359"/>
      <c r="R1461" s="359"/>
      <c r="S1461" s="359"/>
      <c r="T1461" s="359"/>
      <c r="U1461" s="359"/>
    </row>
    <row r="1462" ht="15.75" customHeight="1">
      <c r="A1462" s="226"/>
      <c r="B1462" s="359"/>
      <c r="C1462" s="359"/>
      <c r="D1462" s="359"/>
      <c r="E1462" s="359"/>
      <c r="F1462" s="360"/>
      <c r="G1462" s="360"/>
      <c r="H1462" s="359"/>
      <c r="I1462" s="359"/>
      <c r="J1462" s="359"/>
      <c r="K1462" s="359"/>
      <c r="L1462" s="361"/>
      <c r="M1462" s="359"/>
      <c r="N1462" s="359"/>
      <c r="O1462" s="359"/>
      <c r="P1462" s="359"/>
      <c r="Q1462" s="359"/>
      <c r="R1462" s="359"/>
      <c r="S1462" s="359"/>
      <c r="T1462" s="359"/>
      <c r="U1462" s="359"/>
    </row>
    <row r="1463" ht="15.75" customHeight="1">
      <c r="A1463" s="226"/>
      <c r="B1463" s="359"/>
      <c r="C1463" s="359"/>
      <c r="D1463" s="359"/>
      <c r="E1463" s="359"/>
      <c r="F1463" s="360"/>
      <c r="G1463" s="360"/>
      <c r="H1463" s="359"/>
      <c r="I1463" s="359"/>
      <c r="J1463" s="359"/>
      <c r="K1463" s="359"/>
      <c r="L1463" s="361"/>
      <c r="M1463" s="359"/>
      <c r="N1463" s="359"/>
      <c r="O1463" s="359"/>
      <c r="P1463" s="359"/>
      <c r="Q1463" s="359"/>
      <c r="R1463" s="359"/>
      <c r="S1463" s="359"/>
      <c r="T1463" s="359"/>
      <c r="U1463" s="359"/>
    </row>
    <row r="1464" ht="15.75" customHeight="1">
      <c r="A1464" s="226"/>
      <c r="B1464" s="359"/>
      <c r="C1464" s="359"/>
      <c r="D1464" s="359"/>
      <c r="E1464" s="359"/>
      <c r="F1464" s="360"/>
      <c r="G1464" s="360"/>
      <c r="H1464" s="359"/>
      <c r="I1464" s="359"/>
      <c r="J1464" s="359"/>
      <c r="K1464" s="359"/>
      <c r="L1464" s="361"/>
      <c r="M1464" s="359"/>
      <c r="N1464" s="359"/>
      <c r="O1464" s="359"/>
      <c r="P1464" s="359"/>
      <c r="Q1464" s="359"/>
      <c r="R1464" s="359"/>
      <c r="S1464" s="359"/>
      <c r="T1464" s="359"/>
      <c r="U1464" s="359"/>
    </row>
    <row r="1465" ht="15.75" customHeight="1">
      <c r="A1465" s="226"/>
      <c r="B1465" s="359"/>
      <c r="C1465" s="359"/>
      <c r="D1465" s="359"/>
      <c r="E1465" s="359"/>
      <c r="F1465" s="360"/>
      <c r="G1465" s="360"/>
      <c r="H1465" s="359"/>
      <c r="I1465" s="359"/>
      <c r="J1465" s="359"/>
      <c r="K1465" s="359"/>
      <c r="L1465" s="361"/>
      <c r="M1465" s="359"/>
      <c r="N1465" s="359"/>
      <c r="O1465" s="359"/>
      <c r="P1465" s="359"/>
      <c r="Q1465" s="359"/>
      <c r="R1465" s="359"/>
      <c r="S1465" s="359"/>
      <c r="T1465" s="359"/>
      <c r="U1465" s="359"/>
    </row>
    <row r="1466" ht="15.75" customHeight="1">
      <c r="A1466" s="226"/>
      <c r="B1466" s="359"/>
      <c r="C1466" s="359"/>
      <c r="D1466" s="359"/>
      <c r="E1466" s="359"/>
      <c r="F1466" s="360"/>
      <c r="G1466" s="360"/>
      <c r="H1466" s="359"/>
      <c r="I1466" s="359"/>
      <c r="J1466" s="359"/>
      <c r="K1466" s="359"/>
      <c r="L1466" s="361"/>
      <c r="M1466" s="359"/>
      <c r="N1466" s="359"/>
      <c r="O1466" s="359"/>
      <c r="P1466" s="359"/>
      <c r="Q1466" s="359"/>
      <c r="R1466" s="359"/>
      <c r="S1466" s="359"/>
      <c r="T1466" s="359"/>
      <c r="U1466" s="359"/>
    </row>
    <row r="1467" ht="15.75" customHeight="1">
      <c r="A1467" s="226"/>
      <c r="B1467" s="359"/>
      <c r="C1467" s="359"/>
      <c r="D1467" s="359"/>
      <c r="E1467" s="359"/>
      <c r="F1467" s="360"/>
      <c r="G1467" s="360"/>
      <c r="H1467" s="359"/>
      <c r="I1467" s="359"/>
      <c r="J1467" s="359"/>
      <c r="K1467" s="359"/>
      <c r="L1467" s="361"/>
      <c r="M1467" s="359"/>
      <c r="N1467" s="359"/>
      <c r="O1467" s="359"/>
      <c r="P1467" s="359"/>
      <c r="Q1467" s="359"/>
      <c r="R1467" s="359"/>
      <c r="S1467" s="359"/>
      <c r="T1467" s="359"/>
      <c r="U1467" s="359"/>
    </row>
    <row r="1468" ht="15.75" customHeight="1">
      <c r="A1468" s="226"/>
      <c r="B1468" s="359"/>
      <c r="C1468" s="359"/>
      <c r="D1468" s="359"/>
      <c r="E1468" s="359"/>
      <c r="F1468" s="360"/>
      <c r="G1468" s="360"/>
      <c r="H1468" s="359"/>
      <c r="I1468" s="359"/>
      <c r="J1468" s="359"/>
      <c r="K1468" s="359"/>
      <c r="L1468" s="361"/>
      <c r="M1468" s="359"/>
      <c r="N1468" s="359"/>
      <c r="O1468" s="359"/>
      <c r="P1468" s="359"/>
      <c r="Q1468" s="359"/>
      <c r="R1468" s="359"/>
      <c r="S1468" s="359"/>
      <c r="T1468" s="359"/>
      <c r="U1468" s="359"/>
    </row>
    <row r="1469" ht="15.75" customHeight="1">
      <c r="A1469" s="226"/>
      <c r="B1469" s="359"/>
      <c r="C1469" s="359"/>
      <c r="D1469" s="359"/>
      <c r="E1469" s="359"/>
      <c r="F1469" s="360"/>
      <c r="G1469" s="360"/>
      <c r="H1469" s="359"/>
      <c r="I1469" s="359"/>
      <c r="J1469" s="359"/>
      <c r="K1469" s="359"/>
      <c r="L1469" s="361"/>
      <c r="M1469" s="359"/>
      <c r="N1469" s="359"/>
      <c r="O1469" s="359"/>
      <c r="P1469" s="359"/>
      <c r="Q1469" s="359"/>
      <c r="R1469" s="359"/>
      <c r="S1469" s="359"/>
      <c r="T1469" s="359"/>
      <c r="U1469" s="359"/>
    </row>
    <row r="1470" ht="15.75" customHeight="1">
      <c r="A1470" s="226"/>
      <c r="B1470" s="359"/>
      <c r="C1470" s="359"/>
      <c r="D1470" s="359"/>
      <c r="E1470" s="359"/>
      <c r="F1470" s="360"/>
      <c r="G1470" s="360"/>
      <c r="H1470" s="359"/>
      <c r="I1470" s="359"/>
      <c r="J1470" s="359"/>
      <c r="K1470" s="359"/>
      <c r="L1470" s="361"/>
      <c r="M1470" s="359"/>
      <c r="N1470" s="359"/>
      <c r="O1470" s="359"/>
      <c r="P1470" s="359"/>
      <c r="Q1470" s="359"/>
      <c r="R1470" s="359"/>
      <c r="S1470" s="359"/>
      <c r="T1470" s="359"/>
      <c r="U1470" s="359"/>
    </row>
    <row r="1471" ht="15.75" customHeight="1">
      <c r="A1471" s="226"/>
      <c r="B1471" s="359"/>
      <c r="C1471" s="359"/>
      <c r="D1471" s="359"/>
      <c r="E1471" s="359"/>
      <c r="F1471" s="360"/>
      <c r="G1471" s="360"/>
      <c r="H1471" s="359"/>
      <c r="I1471" s="359"/>
      <c r="J1471" s="359"/>
      <c r="K1471" s="359"/>
      <c r="L1471" s="361"/>
      <c r="M1471" s="359"/>
      <c r="N1471" s="359"/>
      <c r="O1471" s="359"/>
      <c r="P1471" s="359"/>
      <c r="Q1471" s="359"/>
      <c r="R1471" s="359"/>
      <c r="S1471" s="359"/>
      <c r="T1471" s="359"/>
      <c r="U1471" s="359"/>
    </row>
    <row r="1472" ht="15.75" customHeight="1">
      <c r="A1472" s="226"/>
      <c r="B1472" s="359"/>
      <c r="C1472" s="359"/>
      <c r="D1472" s="359"/>
      <c r="E1472" s="359"/>
      <c r="F1472" s="360"/>
      <c r="G1472" s="360"/>
      <c r="H1472" s="359"/>
      <c r="I1472" s="359"/>
      <c r="J1472" s="359"/>
      <c r="K1472" s="359"/>
      <c r="L1472" s="361"/>
      <c r="M1472" s="359"/>
      <c r="N1472" s="359"/>
      <c r="O1472" s="359"/>
      <c r="P1472" s="359"/>
      <c r="Q1472" s="359"/>
      <c r="R1472" s="359"/>
      <c r="S1472" s="359"/>
      <c r="T1472" s="359"/>
      <c r="U1472" s="359"/>
    </row>
    <row r="1473" ht="15.75" customHeight="1">
      <c r="A1473" s="226"/>
      <c r="B1473" s="359"/>
      <c r="C1473" s="359"/>
      <c r="D1473" s="359"/>
      <c r="E1473" s="359"/>
      <c r="F1473" s="360"/>
      <c r="G1473" s="360"/>
      <c r="H1473" s="359"/>
      <c r="I1473" s="359"/>
      <c r="J1473" s="359"/>
      <c r="K1473" s="359"/>
      <c r="L1473" s="361"/>
      <c r="M1473" s="359"/>
      <c r="N1473" s="359"/>
      <c r="O1473" s="359"/>
      <c r="P1473" s="359"/>
      <c r="Q1473" s="359"/>
      <c r="R1473" s="359"/>
      <c r="S1473" s="359"/>
      <c r="T1473" s="359"/>
      <c r="U1473" s="359"/>
    </row>
    <row r="1474" ht="15.75" customHeight="1">
      <c r="A1474" s="226"/>
      <c r="B1474" s="359"/>
      <c r="C1474" s="359"/>
      <c r="D1474" s="359"/>
      <c r="E1474" s="359"/>
      <c r="F1474" s="360"/>
      <c r="G1474" s="360"/>
      <c r="H1474" s="359"/>
      <c r="I1474" s="359"/>
      <c r="J1474" s="359"/>
      <c r="K1474" s="359"/>
      <c r="L1474" s="361"/>
      <c r="M1474" s="359"/>
      <c r="N1474" s="359"/>
      <c r="O1474" s="359"/>
      <c r="P1474" s="359"/>
      <c r="Q1474" s="359"/>
      <c r="R1474" s="359"/>
      <c r="S1474" s="359"/>
      <c r="T1474" s="359"/>
      <c r="U1474" s="359"/>
    </row>
    <row r="1475" ht="15.75" customHeight="1">
      <c r="A1475" s="226"/>
      <c r="B1475" s="359"/>
      <c r="C1475" s="359"/>
      <c r="D1475" s="359"/>
      <c r="E1475" s="359"/>
      <c r="F1475" s="360"/>
      <c r="G1475" s="360"/>
      <c r="H1475" s="359"/>
      <c r="I1475" s="359"/>
      <c r="J1475" s="359"/>
      <c r="K1475" s="359"/>
      <c r="L1475" s="361"/>
      <c r="M1475" s="359"/>
      <c r="N1475" s="359"/>
      <c r="O1475" s="359"/>
      <c r="P1475" s="359"/>
      <c r="Q1475" s="359"/>
      <c r="R1475" s="359"/>
      <c r="S1475" s="359"/>
      <c r="T1475" s="359"/>
      <c r="U1475" s="359"/>
    </row>
    <row r="1476" ht="15.75" customHeight="1">
      <c r="A1476" s="226"/>
      <c r="B1476" s="359"/>
      <c r="C1476" s="359"/>
      <c r="D1476" s="359"/>
      <c r="E1476" s="359"/>
      <c r="F1476" s="360"/>
      <c r="G1476" s="360"/>
      <c r="H1476" s="359"/>
      <c r="I1476" s="359"/>
      <c r="J1476" s="359"/>
      <c r="K1476" s="359"/>
      <c r="L1476" s="361"/>
      <c r="M1476" s="359"/>
      <c r="N1476" s="359"/>
      <c r="O1476" s="359"/>
      <c r="P1476" s="359"/>
      <c r="Q1476" s="359"/>
      <c r="R1476" s="359"/>
      <c r="S1476" s="359"/>
      <c r="T1476" s="359"/>
      <c r="U1476" s="359"/>
    </row>
    <row r="1477" ht="15.75" customHeight="1">
      <c r="A1477" s="226"/>
      <c r="B1477" s="359"/>
      <c r="C1477" s="359"/>
      <c r="D1477" s="359"/>
      <c r="E1477" s="359"/>
      <c r="F1477" s="360"/>
      <c r="G1477" s="360"/>
      <c r="H1477" s="359"/>
      <c r="I1477" s="359"/>
      <c r="J1477" s="359"/>
      <c r="K1477" s="359"/>
      <c r="L1477" s="361"/>
      <c r="M1477" s="359"/>
      <c r="N1477" s="359"/>
      <c r="O1477" s="359"/>
      <c r="P1477" s="359"/>
      <c r="Q1477" s="359"/>
      <c r="R1477" s="359"/>
      <c r="S1477" s="359"/>
      <c r="T1477" s="359"/>
      <c r="U1477" s="359"/>
    </row>
    <row r="1478" ht="15.75" customHeight="1">
      <c r="A1478" s="226"/>
      <c r="B1478" s="359"/>
      <c r="C1478" s="359"/>
      <c r="D1478" s="359"/>
      <c r="E1478" s="359"/>
      <c r="F1478" s="360"/>
      <c r="G1478" s="360"/>
      <c r="H1478" s="359"/>
      <c r="I1478" s="359"/>
      <c r="J1478" s="359"/>
      <c r="K1478" s="359"/>
      <c r="L1478" s="361"/>
      <c r="M1478" s="359"/>
      <c r="N1478" s="359"/>
      <c r="O1478" s="359"/>
      <c r="P1478" s="359"/>
      <c r="Q1478" s="359"/>
      <c r="R1478" s="359"/>
      <c r="S1478" s="359"/>
      <c r="T1478" s="359"/>
      <c r="U1478" s="359"/>
    </row>
    <row r="1479" ht="15.75" customHeight="1">
      <c r="A1479" s="226"/>
      <c r="B1479" s="359"/>
      <c r="C1479" s="359"/>
      <c r="D1479" s="359"/>
      <c r="E1479" s="359"/>
      <c r="F1479" s="360"/>
      <c r="G1479" s="360"/>
      <c r="H1479" s="359"/>
      <c r="I1479" s="359"/>
      <c r="J1479" s="359"/>
      <c r="K1479" s="359"/>
      <c r="L1479" s="361"/>
      <c r="M1479" s="359"/>
      <c r="N1479" s="359"/>
      <c r="O1479" s="359"/>
      <c r="P1479" s="359"/>
      <c r="Q1479" s="359"/>
      <c r="R1479" s="359"/>
      <c r="S1479" s="359"/>
      <c r="T1479" s="359"/>
      <c r="U1479" s="359"/>
    </row>
    <row r="1480" ht="15.75" customHeight="1">
      <c r="A1480" s="226"/>
      <c r="B1480" s="359"/>
      <c r="C1480" s="359"/>
      <c r="D1480" s="359"/>
      <c r="E1480" s="359"/>
      <c r="F1480" s="360"/>
      <c r="G1480" s="360"/>
      <c r="H1480" s="359"/>
      <c r="I1480" s="359"/>
      <c r="J1480" s="359"/>
      <c r="K1480" s="359"/>
      <c r="L1480" s="361"/>
      <c r="M1480" s="359"/>
      <c r="N1480" s="359"/>
      <c r="O1480" s="359"/>
      <c r="P1480" s="359"/>
      <c r="Q1480" s="359"/>
      <c r="R1480" s="359"/>
      <c r="S1480" s="359"/>
      <c r="T1480" s="359"/>
      <c r="U1480" s="359"/>
    </row>
    <row r="1481" ht="15.75" customHeight="1">
      <c r="A1481" s="226"/>
      <c r="B1481" s="359"/>
      <c r="C1481" s="359"/>
      <c r="D1481" s="359"/>
      <c r="E1481" s="359"/>
      <c r="F1481" s="360"/>
      <c r="G1481" s="360"/>
      <c r="H1481" s="359"/>
      <c r="I1481" s="359"/>
      <c r="J1481" s="359"/>
      <c r="K1481" s="359"/>
      <c r="L1481" s="361"/>
      <c r="M1481" s="359"/>
      <c r="N1481" s="359"/>
      <c r="O1481" s="359"/>
      <c r="P1481" s="359"/>
      <c r="Q1481" s="359"/>
      <c r="R1481" s="359"/>
      <c r="S1481" s="359"/>
      <c r="T1481" s="359"/>
      <c r="U1481" s="359"/>
    </row>
    <row r="1482" ht="15.75" customHeight="1">
      <c r="A1482" s="226"/>
      <c r="B1482" s="359"/>
      <c r="C1482" s="359"/>
      <c r="D1482" s="359"/>
      <c r="E1482" s="359"/>
      <c r="F1482" s="360"/>
      <c r="G1482" s="360"/>
      <c r="H1482" s="359"/>
      <c r="I1482" s="359"/>
      <c r="J1482" s="359"/>
      <c r="K1482" s="359"/>
      <c r="L1482" s="361"/>
      <c r="M1482" s="359"/>
      <c r="N1482" s="359"/>
      <c r="O1482" s="359"/>
      <c r="P1482" s="359"/>
      <c r="Q1482" s="359"/>
      <c r="R1482" s="359"/>
      <c r="S1482" s="359"/>
      <c r="T1482" s="359"/>
      <c r="U1482" s="359"/>
    </row>
    <row r="1483" ht="15.75" customHeight="1">
      <c r="A1483" s="226"/>
      <c r="B1483" s="359"/>
      <c r="C1483" s="359"/>
      <c r="D1483" s="359"/>
      <c r="E1483" s="359"/>
      <c r="F1483" s="360"/>
      <c r="G1483" s="360"/>
      <c r="H1483" s="359"/>
      <c r="I1483" s="359"/>
      <c r="J1483" s="359"/>
      <c r="K1483" s="359"/>
      <c r="L1483" s="361"/>
      <c r="M1483" s="359"/>
      <c r="N1483" s="359"/>
      <c r="O1483" s="359"/>
      <c r="P1483" s="359"/>
      <c r="Q1483" s="359"/>
      <c r="R1483" s="359"/>
      <c r="S1483" s="359"/>
      <c r="T1483" s="359"/>
      <c r="U1483" s="359"/>
    </row>
    <row r="1484" ht="15.75" customHeight="1">
      <c r="A1484" s="226"/>
      <c r="B1484" s="359"/>
      <c r="C1484" s="359"/>
      <c r="D1484" s="359"/>
      <c r="E1484" s="359"/>
      <c r="F1484" s="360"/>
      <c r="G1484" s="360"/>
      <c r="H1484" s="359"/>
      <c r="I1484" s="359"/>
      <c r="J1484" s="359"/>
      <c r="K1484" s="359"/>
      <c r="L1484" s="361"/>
      <c r="M1484" s="359"/>
      <c r="N1484" s="359"/>
      <c r="O1484" s="359"/>
      <c r="P1484" s="359"/>
      <c r="Q1484" s="359"/>
      <c r="R1484" s="359"/>
      <c r="S1484" s="359"/>
      <c r="T1484" s="359"/>
      <c r="U1484" s="359"/>
    </row>
    <row r="1485" ht="15.75" customHeight="1">
      <c r="A1485" s="226"/>
      <c r="B1485" s="359"/>
      <c r="C1485" s="359"/>
      <c r="D1485" s="359"/>
      <c r="E1485" s="359"/>
      <c r="F1485" s="360"/>
      <c r="G1485" s="360"/>
      <c r="H1485" s="359"/>
      <c r="I1485" s="359"/>
      <c r="J1485" s="359"/>
      <c r="K1485" s="359"/>
      <c r="L1485" s="361"/>
      <c r="M1485" s="359"/>
      <c r="N1485" s="359"/>
      <c r="O1485" s="359"/>
      <c r="P1485" s="359"/>
      <c r="Q1485" s="359"/>
      <c r="R1485" s="359"/>
      <c r="S1485" s="359"/>
      <c r="T1485" s="359"/>
      <c r="U1485" s="359"/>
    </row>
    <row r="1486" ht="15.75" customHeight="1">
      <c r="A1486" s="226"/>
      <c r="B1486" s="359"/>
      <c r="C1486" s="359"/>
      <c r="D1486" s="359"/>
      <c r="E1486" s="359"/>
      <c r="F1486" s="360"/>
      <c r="G1486" s="360"/>
      <c r="H1486" s="359"/>
      <c r="I1486" s="359"/>
      <c r="J1486" s="359"/>
      <c r="K1486" s="359"/>
      <c r="L1486" s="361"/>
      <c r="M1486" s="359"/>
      <c r="N1486" s="359"/>
      <c r="O1486" s="359"/>
      <c r="P1486" s="359"/>
      <c r="Q1486" s="359"/>
      <c r="R1486" s="359"/>
      <c r="S1486" s="359"/>
      <c r="T1486" s="359"/>
      <c r="U1486" s="359"/>
    </row>
    <row r="1487" ht="15.75" customHeight="1">
      <c r="A1487" s="226"/>
      <c r="B1487" s="359"/>
      <c r="C1487" s="359"/>
      <c r="D1487" s="359"/>
      <c r="E1487" s="359"/>
      <c r="F1487" s="360"/>
      <c r="G1487" s="360"/>
      <c r="H1487" s="359"/>
      <c r="I1487" s="359"/>
      <c r="J1487" s="359"/>
      <c r="K1487" s="359"/>
      <c r="L1487" s="361"/>
      <c r="M1487" s="359"/>
      <c r="N1487" s="359"/>
      <c r="O1487" s="359"/>
      <c r="P1487" s="359"/>
      <c r="Q1487" s="359"/>
      <c r="R1487" s="359"/>
      <c r="S1487" s="359"/>
      <c r="T1487" s="359"/>
      <c r="U1487" s="359"/>
    </row>
    <row r="1488" ht="15.75" customHeight="1">
      <c r="A1488" s="226"/>
      <c r="B1488" s="359"/>
      <c r="C1488" s="359"/>
      <c r="D1488" s="359"/>
      <c r="E1488" s="359"/>
      <c r="F1488" s="360"/>
      <c r="G1488" s="360"/>
      <c r="H1488" s="359"/>
      <c r="I1488" s="359"/>
      <c r="J1488" s="359"/>
      <c r="K1488" s="359"/>
      <c r="L1488" s="361"/>
      <c r="M1488" s="359"/>
      <c r="N1488" s="359"/>
      <c r="O1488" s="359"/>
      <c r="P1488" s="359"/>
      <c r="Q1488" s="359"/>
      <c r="R1488" s="359"/>
      <c r="S1488" s="359"/>
      <c r="T1488" s="359"/>
      <c r="U1488" s="359"/>
    </row>
    <row r="1489" ht="15.75" customHeight="1">
      <c r="A1489" s="226"/>
      <c r="B1489" s="359"/>
      <c r="C1489" s="359"/>
      <c r="D1489" s="359"/>
      <c r="E1489" s="359"/>
      <c r="F1489" s="360"/>
      <c r="G1489" s="360"/>
      <c r="H1489" s="359"/>
      <c r="I1489" s="359"/>
      <c r="J1489" s="359"/>
      <c r="K1489" s="359"/>
      <c r="L1489" s="361"/>
      <c r="M1489" s="359"/>
      <c r="N1489" s="359"/>
      <c r="O1489" s="359"/>
      <c r="P1489" s="359"/>
      <c r="Q1489" s="359"/>
      <c r="R1489" s="359"/>
      <c r="S1489" s="359"/>
      <c r="T1489" s="359"/>
      <c r="U1489" s="359"/>
    </row>
    <row r="1490" ht="15.75" customHeight="1">
      <c r="A1490" s="226"/>
      <c r="B1490" s="359"/>
      <c r="C1490" s="359"/>
      <c r="D1490" s="359"/>
      <c r="E1490" s="359"/>
      <c r="F1490" s="360"/>
      <c r="G1490" s="360"/>
      <c r="H1490" s="359"/>
      <c r="I1490" s="359"/>
      <c r="J1490" s="359"/>
      <c r="K1490" s="359"/>
      <c r="L1490" s="361"/>
      <c r="M1490" s="359"/>
      <c r="N1490" s="359"/>
      <c r="O1490" s="359"/>
      <c r="P1490" s="359"/>
      <c r="Q1490" s="359"/>
      <c r="R1490" s="359"/>
      <c r="S1490" s="359"/>
      <c r="T1490" s="359"/>
      <c r="U1490" s="359"/>
    </row>
    <row r="1491" ht="15.75" customHeight="1">
      <c r="A1491" s="226"/>
      <c r="B1491" s="359"/>
      <c r="C1491" s="359"/>
      <c r="D1491" s="359"/>
      <c r="E1491" s="359"/>
      <c r="F1491" s="360"/>
      <c r="G1491" s="360"/>
      <c r="H1491" s="359"/>
      <c r="I1491" s="359"/>
      <c r="J1491" s="359"/>
      <c r="K1491" s="359"/>
      <c r="L1491" s="361"/>
      <c r="M1491" s="359"/>
      <c r="N1491" s="359"/>
      <c r="O1491" s="359"/>
      <c r="P1491" s="359"/>
      <c r="Q1491" s="359"/>
      <c r="R1491" s="359"/>
      <c r="S1491" s="359"/>
      <c r="T1491" s="359"/>
      <c r="U1491" s="359"/>
    </row>
    <row r="1492" ht="15.75" customHeight="1">
      <c r="A1492" s="226"/>
      <c r="B1492" s="359"/>
      <c r="C1492" s="359"/>
      <c r="D1492" s="359"/>
      <c r="E1492" s="359"/>
      <c r="F1492" s="360"/>
      <c r="G1492" s="360"/>
      <c r="H1492" s="359"/>
      <c r="I1492" s="359"/>
      <c r="J1492" s="359"/>
      <c r="K1492" s="359"/>
      <c r="L1492" s="361"/>
      <c r="M1492" s="359"/>
      <c r="N1492" s="359"/>
      <c r="O1492" s="359"/>
      <c r="P1492" s="359"/>
      <c r="Q1492" s="359"/>
      <c r="R1492" s="359"/>
      <c r="S1492" s="359"/>
      <c r="T1492" s="359"/>
      <c r="U1492" s="359"/>
    </row>
    <row r="1493" ht="15.75" customHeight="1">
      <c r="A1493" s="226"/>
      <c r="B1493" s="359"/>
      <c r="C1493" s="359"/>
      <c r="D1493" s="359"/>
      <c r="E1493" s="359"/>
      <c r="F1493" s="360"/>
      <c r="G1493" s="360"/>
      <c r="H1493" s="359"/>
      <c r="I1493" s="359"/>
      <c r="J1493" s="359"/>
      <c r="K1493" s="359"/>
      <c r="L1493" s="361"/>
      <c r="M1493" s="359"/>
      <c r="N1493" s="359"/>
      <c r="O1493" s="359"/>
      <c r="P1493" s="359"/>
      <c r="Q1493" s="359"/>
      <c r="R1493" s="359"/>
      <c r="S1493" s="359"/>
      <c r="T1493" s="359"/>
      <c r="U1493" s="359"/>
    </row>
    <row r="1494" ht="15.75" customHeight="1">
      <c r="A1494" s="226"/>
      <c r="B1494" s="359"/>
      <c r="C1494" s="359"/>
      <c r="D1494" s="359"/>
      <c r="E1494" s="359"/>
      <c r="F1494" s="360"/>
      <c r="G1494" s="360"/>
      <c r="H1494" s="359"/>
      <c r="I1494" s="359"/>
      <c r="J1494" s="359"/>
      <c r="K1494" s="359"/>
      <c r="L1494" s="361"/>
      <c r="M1494" s="359"/>
      <c r="N1494" s="359"/>
      <c r="O1494" s="359"/>
      <c r="P1494" s="359"/>
      <c r="Q1494" s="359"/>
      <c r="R1494" s="359"/>
      <c r="S1494" s="359"/>
      <c r="T1494" s="359"/>
      <c r="U1494" s="359"/>
    </row>
    <row r="1495" ht="15.75" customHeight="1">
      <c r="A1495" s="226"/>
      <c r="B1495" s="359"/>
      <c r="C1495" s="359"/>
      <c r="D1495" s="359"/>
      <c r="E1495" s="359"/>
      <c r="F1495" s="360"/>
      <c r="G1495" s="360"/>
      <c r="H1495" s="359"/>
      <c r="I1495" s="359"/>
      <c r="J1495" s="359"/>
      <c r="K1495" s="359"/>
      <c r="L1495" s="361"/>
      <c r="M1495" s="359"/>
      <c r="N1495" s="359"/>
      <c r="O1495" s="359"/>
      <c r="P1495" s="359"/>
      <c r="Q1495" s="359"/>
      <c r="R1495" s="359"/>
      <c r="S1495" s="359"/>
      <c r="T1495" s="359"/>
      <c r="U1495" s="359"/>
    </row>
    <row r="1496" ht="15.75" customHeight="1">
      <c r="A1496" s="226"/>
      <c r="B1496" s="359"/>
      <c r="C1496" s="359"/>
      <c r="D1496" s="359"/>
      <c r="E1496" s="359"/>
      <c r="F1496" s="360"/>
      <c r="G1496" s="360"/>
      <c r="H1496" s="359"/>
      <c r="I1496" s="359"/>
      <c r="J1496" s="359"/>
      <c r="K1496" s="359"/>
      <c r="L1496" s="361"/>
      <c r="M1496" s="359"/>
      <c r="N1496" s="359"/>
      <c r="O1496" s="359"/>
      <c r="P1496" s="359"/>
      <c r="Q1496" s="359"/>
      <c r="R1496" s="359"/>
      <c r="S1496" s="359"/>
      <c r="T1496" s="359"/>
      <c r="U1496" s="359"/>
    </row>
    <row r="1497" ht="15.75" customHeight="1">
      <c r="A1497" s="226"/>
      <c r="B1497" s="359"/>
      <c r="C1497" s="359"/>
      <c r="D1497" s="359"/>
      <c r="E1497" s="359"/>
      <c r="F1497" s="360"/>
      <c r="G1497" s="360"/>
      <c r="H1497" s="359"/>
      <c r="I1497" s="359"/>
      <c r="J1497" s="359"/>
      <c r="K1497" s="359"/>
      <c r="L1497" s="361"/>
      <c r="M1497" s="359"/>
      <c r="N1497" s="359"/>
      <c r="O1497" s="359"/>
      <c r="P1497" s="359"/>
      <c r="Q1497" s="359"/>
      <c r="R1497" s="359"/>
      <c r="S1497" s="359"/>
      <c r="T1497" s="359"/>
      <c r="U1497" s="359"/>
    </row>
    <row r="1498" ht="15.75" customHeight="1">
      <c r="A1498" s="226"/>
      <c r="B1498" s="359"/>
      <c r="C1498" s="359"/>
      <c r="D1498" s="359"/>
      <c r="E1498" s="359"/>
      <c r="F1498" s="360"/>
      <c r="G1498" s="360"/>
      <c r="H1498" s="359"/>
      <c r="I1498" s="359"/>
      <c r="J1498" s="359"/>
      <c r="K1498" s="359"/>
      <c r="L1498" s="361"/>
      <c r="M1498" s="359"/>
      <c r="N1498" s="359"/>
      <c r="O1498" s="359"/>
      <c r="P1498" s="359"/>
      <c r="Q1498" s="359"/>
      <c r="R1498" s="359"/>
      <c r="S1498" s="359"/>
      <c r="T1498" s="359"/>
      <c r="U1498" s="359"/>
    </row>
    <row r="1499" ht="15.75" customHeight="1">
      <c r="A1499" s="226"/>
      <c r="B1499" s="359"/>
      <c r="C1499" s="359"/>
      <c r="D1499" s="359"/>
      <c r="E1499" s="359"/>
      <c r="F1499" s="360"/>
      <c r="G1499" s="360"/>
      <c r="H1499" s="359"/>
      <c r="I1499" s="359"/>
      <c r="J1499" s="359"/>
      <c r="K1499" s="359"/>
      <c r="L1499" s="361"/>
      <c r="M1499" s="359"/>
      <c r="N1499" s="359"/>
      <c r="O1499" s="359"/>
      <c r="P1499" s="359"/>
      <c r="Q1499" s="359"/>
      <c r="R1499" s="359"/>
      <c r="S1499" s="359"/>
      <c r="T1499" s="359"/>
      <c r="U1499" s="359"/>
    </row>
    <row r="1500" ht="15.75" customHeight="1">
      <c r="A1500" s="226"/>
      <c r="B1500" s="359"/>
      <c r="C1500" s="359"/>
      <c r="D1500" s="359"/>
      <c r="E1500" s="359"/>
      <c r="F1500" s="360"/>
      <c r="G1500" s="360"/>
      <c r="H1500" s="359"/>
      <c r="I1500" s="359"/>
      <c r="J1500" s="359"/>
      <c r="K1500" s="359"/>
      <c r="L1500" s="361"/>
      <c r="M1500" s="359"/>
      <c r="N1500" s="359"/>
      <c r="O1500" s="359"/>
      <c r="P1500" s="359"/>
      <c r="Q1500" s="359"/>
      <c r="R1500" s="359"/>
      <c r="S1500" s="359"/>
      <c r="T1500" s="359"/>
      <c r="U1500" s="359"/>
    </row>
    <row r="1501" ht="15.75" customHeight="1">
      <c r="A1501" s="226"/>
      <c r="B1501" s="359"/>
      <c r="C1501" s="359"/>
      <c r="D1501" s="359"/>
      <c r="E1501" s="359"/>
      <c r="F1501" s="360"/>
      <c r="G1501" s="360"/>
      <c r="H1501" s="359"/>
      <c r="I1501" s="359"/>
      <c r="J1501" s="359"/>
      <c r="K1501" s="359"/>
      <c r="L1501" s="361"/>
      <c r="M1501" s="359"/>
      <c r="N1501" s="359"/>
      <c r="O1501" s="359"/>
      <c r="P1501" s="359"/>
      <c r="Q1501" s="359"/>
      <c r="R1501" s="359"/>
      <c r="S1501" s="359"/>
      <c r="T1501" s="359"/>
      <c r="U1501" s="359"/>
    </row>
    <row r="1502" ht="15.75" customHeight="1">
      <c r="A1502" s="226"/>
      <c r="B1502" s="359"/>
      <c r="C1502" s="359"/>
      <c r="D1502" s="359"/>
      <c r="E1502" s="359"/>
      <c r="F1502" s="360"/>
      <c r="G1502" s="360"/>
      <c r="H1502" s="359"/>
      <c r="I1502" s="359"/>
      <c r="J1502" s="359"/>
      <c r="K1502" s="359"/>
      <c r="L1502" s="361"/>
      <c r="M1502" s="359"/>
      <c r="N1502" s="359"/>
      <c r="O1502" s="359"/>
      <c r="P1502" s="359"/>
      <c r="Q1502" s="359"/>
      <c r="R1502" s="359"/>
      <c r="S1502" s="359"/>
      <c r="T1502" s="359"/>
      <c r="U1502" s="359"/>
    </row>
    <row r="1503" ht="15.75" customHeight="1">
      <c r="A1503" s="226"/>
      <c r="B1503" s="359"/>
      <c r="C1503" s="359"/>
      <c r="D1503" s="359"/>
      <c r="E1503" s="359"/>
      <c r="F1503" s="360"/>
      <c r="G1503" s="360"/>
      <c r="H1503" s="359"/>
      <c r="I1503" s="359"/>
      <c r="J1503" s="359"/>
      <c r="K1503" s="359"/>
      <c r="L1503" s="361"/>
      <c r="M1503" s="359"/>
      <c r="N1503" s="359"/>
      <c r="O1503" s="359"/>
      <c r="P1503" s="359"/>
      <c r="Q1503" s="359"/>
      <c r="R1503" s="359"/>
      <c r="S1503" s="359"/>
      <c r="T1503" s="359"/>
      <c r="U1503" s="359"/>
    </row>
    <row r="1504" ht="15.75" customHeight="1">
      <c r="A1504" s="226"/>
      <c r="B1504" s="359"/>
      <c r="C1504" s="359"/>
      <c r="D1504" s="359"/>
      <c r="E1504" s="359"/>
      <c r="F1504" s="360"/>
      <c r="G1504" s="360"/>
      <c r="H1504" s="359"/>
      <c r="I1504" s="359"/>
      <c r="J1504" s="359"/>
      <c r="K1504" s="359"/>
      <c r="L1504" s="361"/>
      <c r="M1504" s="359"/>
      <c r="N1504" s="359"/>
      <c r="O1504" s="359"/>
      <c r="P1504" s="359"/>
      <c r="Q1504" s="359"/>
      <c r="R1504" s="359"/>
      <c r="S1504" s="359"/>
      <c r="T1504" s="359"/>
      <c r="U1504" s="359"/>
    </row>
    <row r="1505" ht="15.75" customHeight="1">
      <c r="A1505" s="226"/>
      <c r="B1505" s="359"/>
      <c r="C1505" s="359"/>
      <c r="D1505" s="359"/>
      <c r="E1505" s="359"/>
      <c r="F1505" s="360"/>
      <c r="G1505" s="360"/>
      <c r="H1505" s="359"/>
      <c r="I1505" s="359"/>
      <c r="J1505" s="359"/>
      <c r="K1505" s="359"/>
      <c r="L1505" s="361"/>
      <c r="M1505" s="359"/>
      <c r="N1505" s="359"/>
      <c r="O1505" s="359"/>
      <c r="P1505" s="359"/>
      <c r="Q1505" s="359"/>
      <c r="R1505" s="359"/>
      <c r="S1505" s="359"/>
      <c r="T1505" s="359"/>
      <c r="U1505" s="359"/>
    </row>
    <row r="1506" ht="15.75" customHeight="1">
      <c r="A1506" s="226"/>
      <c r="B1506" s="359"/>
      <c r="C1506" s="359"/>
      <c r="D1506" s="359"/>
      <c r="E1506" s="359"/>
      <c r="F1506" s="360"/>
      <c r="G1506" s="360"/>
      <c r="H1506" s="359"/>
      <c r="I1506" s="359"/>
      <c r="J1506" s="359"/>
      <c r="K1506" s="359"/>
      <c r="L1506" s="361"/>
      <c r="M1506" s="359"/>
      <c r="N1506" s="359"/>
      <c r="O1506" s="359"/>
      <c r="P1506" s="359"/>
      <c r="Q1506" s="359"/>
      <c r="R1506" s="359"/>
      <c r="S1506" s="359"/>
      <c r="T1506" s="359"/>
      <c r="U1506" s="359"/>
    </row>
    <row r="1507" ht="15.75" customHeight="1">
      <c r="A1507" s="226"/>
      <c r="B1507" s="359"/>
      <c r="C1507" s="359"/>
      <c r="D1507" s="359"/>
      <c r="E1507" s="359"/>
      <c r="F1507" s="360"/>
      <c r="G1507" s="360"/>
      <c r="H1507" s="359"/>
      <c r="I1507" s="359"/>
      <c r="J1507" s="359"/>
      <c r="K1507" s="359"/>
      <c r="L1507" s="361"/>
      <c r="M1507" s="359"/>
      <c r="N1507" s="359"/>
      <c r="O1507" s="359"/>
      <c r="P1507" s="359"/>
      <c r="Q1507" s="359"/>
      <c r="R1507" s="359"/>
      <c r="S1507" s="359"/>
      <c r="T1507" s="359"/>
      <c r="U1507" s="359"/>
    </row>
    <row r="1508" ht="15.75" customHeight="1">
      <c r="A1508" s="226"/>
      <c r="B1508" s="359"/>
      <c r="C1508" s="359"/>
      <c r="D1508" s="359"/>
      <c r="E1508" s="359"/>
      <c r="F1508" s="360"/>
      <c r="G1508" s="360"/>
      <c r="H1508" s="359"/>
      <c r="I1508" s="359"/>
      <c r="J1508" s="359"/>
      <c r="K1508" s="359"/>
      <c r="L1508" s="361"/>
      <c r="M1508" s="359"/>
      <c r="N1508" s="359"/>
      <c r="O1508" s="359"/>
      <c r="P1508" s="359"/>
      <c r="Q1508" s="359"/>
      <c r="R1508" s="359"/>
      <c r="S1508" s="359"/>
      <c r="T1508" s="359"/>
      <c r="U1508" s="359"/>
    </row>
    <row r="1509" ht="15.75" customHeight="1">
      <c r="A1509" s="226"/>
      <c r="B1509" s="359"/>
      <c r="C1509" s="359"/>
      <c r="D1509" s="359"/>
      <c r="E1509" s="359"/>
      <c r="F1509" s="360"/>
      <c r="G1509" s="360"/>
      <c r="H1509" s="359"/>
      <c r="I1509" s="359"/>
      <c r="J1509" s="359"/>
      <c r="K1509" s="359"/>
      <c r="L1509" s="361"/>
      <c r="M1509" s="359"/>
      <c r="N1509" s="359"/>
      <c r="O1509" s="359"/>
      <c r="P1509" s="359"/>
      <c r="Q1509" s="359"/>
      <c r="R1509" s="359"/>
      <c r="S1509" s="359"/>
      <c r="T1509" s="359"/>
      <c r="U1509" s="359"/>
    </row>
    <row r="1510" ht="15.75" customHeight="1">
      <c r="A1510" s="226"/>
      <c r="B1510" s="359"/>
      <c r="C1510" s="359"/>
      <c r="D1510" s="359"/>
      <c r="E1510" s="359"/>
      <c r="F1510" s="360"/>
      <c r="G1510" s="360"/>
      <c r="H1510" s="359"/>
      <c r="I1510" s="359"/>
      <c r="J1510" s="359"/>
      <c r="K1510" s="359"/>
      <c r="L1510" s="361"/>
      <c r="M1510" s="359"/>
      <c r="N1510" s="359"/>
      <c r="O1510" s="359"/>
      <c r="P1510" s="359"/>
      <c r="Q1510" s="359"/>
      <c r="R1510" s="359"/>
      <c r="S1510" s="359"/>
      <c r="T1510" s="359"/>
      <c r="U1510" s="359"/>
    </row>
    <row r="1511" ht="15.75" customHeight="1">
      <c r="A1511" s="226"/>
      <c r="B1511" s="359"/>
      <c r="C1511" s="359"/>
      <c r="D1511" s="359"/>
      <c r="E1511" s="359"/>
      <c r="F1511" s="360"/>
      <c r="G1511" s="360"/>
      <c r="H1511" s="359"/>
      <c r="I1511" s="359"/>
      <c r="J1511" s="359"/>
      <c r="K1511" s="359"/>
      <c r="L1511" s="361"/>
      <c r="M1511" s="359"/>
      <c r="N1511" s="359"/>
      <c r="O1511" s="359"/>
      <c r="P1511" s="359"/>
      <c r="Q1511" s="359"/>
      <c r="R1511" s="359"/>
      <c r="S1511" s="359"/>
      <c r="T1511" s="359"/>
      <c r="U1511" s="359"/>
    </row>
    <row r="1512" ht="15.75" customHeight="1">
      <c r="A1512" s="226"/>
      <c r="B1512" s="359"/>
      <c r="C1512" s="359"/>
      <c r="D1512" s="359"/>
      <c r="E1512" s="359"/>
      <c r="F1512" s="360"/>
      <c r="G1512" s="360"/>
      <c r="H1512" s="359"/>
      <c r="I1512" s="359"/>
      <c r="J1512" s="359"/>
      <c r="K1512" s="359"/>
      <c r="L1512" s="361"/>
      <c r="M1512" s="359"/>
      <c r="N1512" s="359"/>
      <c r="O1512" s="359"/>
      <c r="P1512" s="359"/>
      <c r="Q1512" s="359"/>
      <c r="R1512" s="359"/>
      <c r="S1512" s="359"/>
      <c r="T1512" s="359"/>
      <c r="U1512" s="359"/>
    </row>
    <row r="1513" ht="15.75" customHeight="1">
      <c r="A1513" s="226"/>
      <c r="B1513" s="359"/>
      <c r="C1513" s="359"/>
      <c r="D1513" s="359"/>
      <c r="E1513" s="359"/>
      <c r="F1513" s="360"/>
      <c r="G1513" s="360"/>
      <c r="H1513" s="359"/>
      <c r="I1513" s="359"/>
      <c r="J1513" s="359"/>
      <c r="K1513" s="359"/>
      <c r="L1513" s="361"/>
      <c r="M1513" s="359"/>
      <c r="N1513" s="359"/>
      <c r="O1513" s="359"/>
      <c r="P1513" s="359"/>
      <c r="Q1513" s="359"/>
      <c r="R1513" s="359"/>
      <c r="S1513" s="359"/>
      <c r="T1513" s="359"/>
      <c r="U1513" s="359"/>
    </row>
    <row r="1514" ht="15.75" customHeight="1">
      <c r="A1514" s="226"/>
      <c r="B1514" s="359"/>
      <c r="C1514" s="359"/>
      <c r="D1514" s="359"/>
      <c r="E1514" s="359"/>
      <c r="F1514" s="360"/>
      <c r="G1514" s="360"/>
      <c r="H1514" s="359"/>
      <c r="I1514" s="359"/>
      <c r="J1514" s="359"/>
      <c r="K1514" s="359"/>
      <c r="L1514" s="361"/>
      <c r="M1514" s="359"/>
      <c r="N1514" s="359"/>
      <c r="O1514" s="359"/>
      <c r="P1514" s="359"/>
      <c r="Q1514" s="359"/>
      <c r="R1514" s="359"/>
      <c r="S1514" s="359"/>
      <c r="T1514" s="359"/>
      <c r="U1514" s="359"/>
    </row>
    <row r="1515" ht="15.75" customHeight="1">
      <c r="A1515" s="226"/>
      <c r="B1515" s="359"/>
      <c r="C1515" s="359"/>
      <c r="D1515" s="359"/>
      <c r="E1515" s="359"/>
      <c r="F1515" s="360"/>
      <c r="G1515" s="360"/>
      <c r="H1515" s="359"/>
      <c r="I1515" s="359"/>
      <c r="J1515" s="359"/>
      <c r="K1515" s="359"/>
      <c r="L1515" s="361"/>
      <c r="M1515" s="359"/>
      <c r="N1515" s="359"/>
      <c r="O1515" s="359"/>
      <c r="P1515" s="359"/>
      <c r="Q1515" s="359"/>
      <c r="R1515" s="359"/>
      <c r="S1515" s="359"/>
      <c r="T1515" s="359"/>
      <c r="U1515" s="359"/>
    </row>
    <row r="1516" ht="15.75" customHeight="1">
      <c r="A1516" s="226"/>
      <c r="B1516" s="359"/>
      <c r="C1516" s="359"/>
      <c r="D1516" s="359"/>
      <c r="E1516" s="359"/>
      <c r="F1516" s="360"/>
      <c r="G1516" s="360"/>
      <c r="H1516" s="359"/>
      <c r="I1516" s="359"/>
      <c r="J1516" s="359"/>
      <c r="K1516" s="359"/>
      <c r="L1516" s="361"/>
      <c r="M1516" s="359"/>
      <c r="N1516" s="359"/>
      <c r="O1516" s="359"/>
      <c r="P1516" s="359"/>
      <c r="Q1516" s="359"/>
      <c r="R1516" s="359"/>
      <c r="S1516" s="359"/>
      <c r="T1516" s="359"/>
      <c r="U1516" s="359"/>
    </row>
    <row r="1517" ht="15.75" customHeight="1">
      <c r="A1517" s="226"/>
      <c r="B1517" s="359"/>
      <c r="C1517" s="359"/>
      <c r="D1517" s="359"/>
      <c r="E1517" s="359"/>
      <c r="F1517" s="360"/>
      <c r="G1517" s="360"/>
      <c r="H1517" s="359"/>
      <c r="I1517" s="359"/>
      <c r="J1517" s="359"/>
      <c r="K1517" s="359"/>
      <c r="L1517" s="361"/>
      <c r="M1517" s="359"/>
      <c r="N1517" s="359"/>
      <c r="O1517" s="359"/>
      <c r="P1517" s="359"/>
      <c r="Q1517" s="359"/>
      <c r="R1517" s="359"/>
      <c r="S1517" s="359"/>
      <c r="T1517" s="359"/>
      <c r="U1517" s="359"/>
    </row>
    <row r="1518" ht="15.75" customHeight="1">
      <c r="A1518" s="226"/>
      <c r="B1518" s="359"/>
      <c r="C1518" s="359"/>
      <c r="D1518" s="359"/>
      <c r="E1518" s="359"/>
      <c r="F1518" s="360"/>
      <c r="G1518" s="360"/>
      <c r="H1518" s="359"/>
      <c r="I1518" s="359"/>
      <c r="J1518" s="359"/>
      <c r="K1518" s="359"/>
      <c r="L1518" s="361"/>
      <c r="M1518" s="359"/>
      <c r="N1518" s="359"/>
      <c r="O1518" s="359"/>
      <c r="P1518" s="359"/>
      <c r="Q1518" s="359"/>
      <c r="R1518" s="359"/>
      <c r="S1518" s="359"/>
      <c r="T1518" s="359"/>
      <c r="U1518" s="359"/>
    </row>
    <row r="1519" ht="15.75" customHeight="1">
      <c r="A1519" s="226"/>
      <c r="B1519" s="359"/>
      <c r="C1519" s="359"/>
      <c r="D1519" s="359"/>
      <c r="E1519" s="359"/>
      <c r="F1519" s="360"/>
      <c r="G1519" s="360"/>
      <c r="H1519" s="359"/>
      <c r="I1519" s="359"/>
      <c r="J1519" s="359"/>
      <c r="K1519" s="359"/>
      <c r="L1519" s="361"/>
      <c r="M1519" s="359"/>
      <c r="N1519" s="359"/>
      <c r="O1519" s="359"/>
      <c r="P1519" s="359"/>
      <c r="Q1519" s="359"/>
      <c r="R1519" s="359"/>
      <c r="S1519" s="359"/>
      <c r="T1519" s="359"/>
      <c r="U1519" s="359"/>
    </row>
    <row r="1520" ht="15.75" customHeight="1">
      <c r="A1520" s="226"/>
      <c r="B1520" s="359"/>
      <c r="C1520" s="359"/>
      <c r="D1520" s="359"/>
      <c r="E1520" s="359"/>
      <c r="F1520" s="360"/>
      <c r="G1520" s="360"/>
      <c r="H1520" s="359"/>
      <c r="I1520" s="359"/>
      <c r="J1520" s="359"/>
      <c r="K1520" s="359"/>
      <c r="L1520" s="361"/>
      <c r="M1520" s="359"/>
      <c r="N1520" s="359"/>
      <c r="O1520" s="359"/>
      <c r="P1520" s="359"/>
      <c r="Q1520" s="359"/>
      <c r="R1520" s="359"/>
      <c r="S1520" s="359"/>
      <c r="T1520" s="359"/>
      <c r="U1520" s="359"/>
    </row>
    <row r="1521" ht="15.75" customHeight="1">
      <c r="A1521" s="226"/>
      <c r="B1521" s="359"/>
      <c r="C1521" s="359"/>
      <c r="D1521" s="359"/>
      <c r="E1521" s="359"/>
      <c r="F1521" s="360"/>
      <c r="G1521" s="360"/>
      <c r="H1521" s="359"/>
      <c r="I1521" s="359"/>
      <c r="J1521" s="359"/>
      <c r="K1521" s="359"/>
      <c r="L1521" s="361"/>
      <c r="M1521" s="359"/>
      <c r="N1521" s="359"/>
      <c r="O1521" s="359"/>
      <c r="P1521" s="359"/>
      <c r="Q1521" s="359"/>
      <c r="R1521" s="359"/>
      <c r="S1521" s="359"/>
      <c r="T1521" s="359"/>
      <c r="U1521" s="359"/>
    </row>
    <row r="1522" ht="15.75" customHeight="1">
      <c r="A1522" s="226"/>
      <c r="B1522" s="359"/>
      <c r="C1522" s="359"/>
      <c r="D1522" s="359"/>
      <c r="E1522" s="359"/>
      <c r="F1522" s="360"/>
      <c r="G1522" s="360"/>
      <c r="H1522" s="359"/>
      <c r="I1522" s="359"/>
      <c r="J1522" s="359"/>
      <c r="K1522" s="359"/>
      <c r="L1522" s="361"/>
      <c r="M1522" s="359"/>
      <c r="N1522" s="359"/>
      <c r="O1522" s="359"/>
      <c r="P1522" s="359"/>
      <c r="Q1522" s="359"/>
      <c r="R1522" s="359"/>
      <c r="S1522" s="359"/>
      <c r="T1522" s="359"/>
      <c r="U1522" s="359"/>
    </row>
    <row r="1523" ht="15.75" customHeight="1">
      <c r="A1523" s="226"/>
      <c r="B1523" s="359"/>
      <c r="C1523" s="359"/>
      <c r="D1523" s="359"/>
      <c r="E1523" s="359"/>
      <c r="F1523" s="360"/>
      <c r="G1523" s="360"/>
      <c r="H1523" s="359"/>
      <c r="I1523" s="359"/>
      <c r="J1523" s="359"/>
      <c r="K1523" s="359"/>
      <c r="L1523" s="361"/>
      <c r="M1523" s="359"/>
      <c r="N1523" s="359"/>
      <c r="O1523" s="359"/>
      <c r="P1523" s="359"/>
      <c r="Q1523" s="359"/>
      <c r="R1523" s="359"/>
      <c r="S1523" s="359"/>
      <c r="T1523" s="359"/>
      <c r="U1523" s="359"/>
    </row>
    <row r="1524" ht="15.75" customHeight="1">
      <c r="A1524" s="226"/>
      <c r="B1524" s="359"/>
      <c r="C1524" s="359"/>
      <c r="D1524" s="359"/>
      <c r="E1524" s="359"/>
      <c r="F1524" s="360"/>
      <c r="G1524" s="360"/>
      <c r="H1524" s="359"/>
      <c r="I1524" s="359"/>
      <c r="J1524" s="359"/>
      <c r="K1524" s="359"/>
      <c r="L1524" s="361"/>
      <c r="M1524" s="359"/>
      <c r="N1524" s="359"/>
      <c r="O1524" s="359"/>
      <c r="P1524" s="359"/>
      <c r="Q1524" s="359"/>
      <c r="R1524" s="359"/>
      <c r="S1524" s="359"/>
      <c r="T1524" s="359"/>
      <c r="U1524" s="359"/>
    </row>
    <row r="1525" ht="15.75" customHeight="1">
      <c r="A1525" s="226"/>
      <c r="B1525" s="359"/>
      <c r="C1525" s="359"/>
      <c r="D1525" s="359"/>
      <c r="E1525" s="359"/>
      <c r="F1525" s="360"/>
      <c r="G1525" s="360"/>
      <c r="H1525" s="359"/>
      <c r="I1525" s="359"/>
      <c r="J1525" s="359"/>
      <c r="K1525" s="359"/>
      <c r="L1525" s="361"/>
      <c r="M1525" s="359"/>
      <c r="N1525" s="359"/>
      <c r="O1525" s="359"/>
      <c r="P1525" s="359"/>
      <c r="Q1525" s="359"/>
      <c r="R1525" s="359"/>
      <c r="S1525" s="359"/>
      <c r="T1525" s="359"/>
      <c r="U1525" s="359"/>
    </row>
    <row r="1526" ht="15.75" customHeight="1">
      <c r="A1526" s="226"/>
      <c r="B1526" s="359"/>
      <c r="C1526" s="359"/>
      <c r="D1526" s="359"/>
      <c r="E1526" s="359"/>
      <c r="F1526" s="360"/>
      <c r="G1526" s="360"/>
      <c r="H1526" s="359"/>
      <c r="I1526" s="359"/>
      <c r="J1526" s="359"/>
      <c r="K1526" s="359"/>
      <c r="L1526" s="361"/>
      <c r="M1526" s="359"/>
      <c r="N1526" s="359"/>
      <c r="O1526" s="359"/>
      <c r="P1526" s="359"/>
      <c r="Q1526" s="359"/>
      <c r="R1526" s="359"/>
      <c r="S1526" s="359"/>
      <c r="T1526" s="359"/>
      <c r="U1526" s="359"/>
    </row>
    <row r="1527" ht="15.75" customHeight="1">
      <c r="A1527" s="226"/>
      <c r="B1527" s="359"/>
      <c r="C1527" s="359"/>
      <c r="D1527" s="359"/>
      <c r="E1527" s="359"/>
      <c r="F1527" s="360"/>
      <c r="G1527" s="360"/>
      <c r="H1527" s="359"/>
      <c r="I1527" s="359"/>
      <c r="J1527" s="359"/>
      <c r="K1527" s="359"/>
      <c r="L1527" s="361"/>
      <c r="M1527" s="359"/>
      <c r="N1527" s="359"/>
      <c r="O1527" s="359"/>
      <c r="P1527" s="359"/>
      <c r="Q1527" s="359"/>
      <c r="R1527" s="359"/>
      <c r="S1527" s="359"/>
      <c r="T1527" s="359"/>
      <c r="U1527" s="359"/>
    </row>
    <row r="1528" ht="15.75" customHeight="1">
      <c r="A1528" s="226"/>
      <c r="B1528" s="359"/>
      <c r="C1528" s="359"/>
      <c r="D1528" s="359"/>
      <c r="E1528" s="359"/>
      <c r="F1528" s="360"/>
      <c r="G1528" s="360"/>
      <c r="H1528" s="359"/>
      <c r="I1528" s="359"/>
      <c r="J1528" s="359"/>
      <c r="K1528" s="359"/>
      <c r="L1528" s="361"/>
      <c r="M1528" s="359"/>
      <c r="N1528" s="359"/>
      <c r="O1528" s="359"/>
      <c r="P1528" s="359"/>
      <c r="Q1528" s="359"/>
      <c r="R1528" s="359"/>
      <c r="S1528" s="359"/>
      <c r="T1528" s="359"/>
      <c r="U1528" s="359"/>
    </row>
    <row r="1529" ht="15.75" customHeight="1">
      <c r="A1529" s="226"/>
      <c r="B1529" s="359"/>
      <c r="C1529" s="359"/>
      <c r="D1529" s="359"/>
      <c r="E1529" s="359"/>
      <c r="F1529" s="360"/>
      <c r="G1529" s="360"/>
      <c r="H1529" s="359"/>
      <c r="I1529" s="359"/>
      <c r="J1529" s="359"/>
      <c r="K1529" s="359"/>
      <c r="L1529" s="361"/>
      <c r="M1529" s="359"/>
      <c r="N1529" s="359"/>
      <c r="O1529" s="359"/>
      <c r="P1529" s="359"/>
      <c r="Q1529" s="359"/>
      <c r="R1529" s="359"/>
      <c r="S1529" s="359"/>
      <c r="T1529" s="359"/>
      <c r="U1529" s="359"/>
    </row>
    <row r="1530" ht="15.75" customHeight="1">
      <c r="A1530" s="226"/>
      <c r="B1530" s="359"/>
      <c r="C1530" s="359"/>
      <c r="D1530" s="359"/>
      <c r="E1530" s="359"/>
      <c r="F1530" s="360"/>
      <c r="G1530" s="360"/>
      <c r="H1530" s="359"/>
      <c r="I1530" s="359"/>
      <c r="J1530" s="359"/>
      <c r="K1530" s="359"/>
      <c r="L1530" s="361"/>
      <c r="M1530" s="359"/>
      <c r="N1530" s="359"/>
      <c r="O1530" s="359"/>
      <c r="P1530" s="359"/>
      <c r="Q1530" s="359"/>
      <c r="R1530" s="359"/>
      <c r="S1530" s="359"/>
      <c r="T1530" s="359"/>
      <c r="U1530" s="359"/>
    </row>
    <row r="1531" ht="15.75" customHeight="1">
      <c r="A1531" s="226"/>
      <c r="B1531" s="359"/>
      <c r="C1531" s="359"/>
      <c r="D1531" s="359"/>
      <c r="E1531" s="359"/>
      <c r="F1531" s="360"/>
      <c r="G1531" s="360"/>
      <c r="H1531" s="359"/>
      <c r="I1531" s="359"/>
      <c r="J1531" s="359"/>
      <c r="K1531" s="359"/>
      <c r="L1531" s="361"/>
      <c r="M1531" s="359"/>
      <c r="N1531" s="359"/>
      <c r="O1531" s="359"/>
      <c r="P1531" s="359"/>
      <c r="Q1531" s="359"/>
      <c r="R1531" s="359"/>
      <c r="S1531" s="359"/>
      <c r="T1531" s="359"/>
      <c r="U1531" s="359"/>
    </row>
    <row r="1532" ht="15.75" customHeight="1">
      <c r="A1532" s="226"/>
      <c r="B1532" s="359"/>
      <c r="C1532" s="359"/>
      <c r="D1532" s="359"/>
      <c r="E1532" s="359"/>
      <c r="F1532" s="360"/>
      <c r="G1532" s="360"/>
      <c r="H1532" s="359"/>
      <c r="I1532" s="359"/>
      <c r="J1532" s="359"/>
      <c r="K1532" s="359"/>
      <c r="L1532" s="361"/>
      <c r="M1532" s="359"/>
      <c r="N1532" s="359"/>
      <c r="O1532" s="359"/>
      <c r="P1532" s="359"/>
      <c r="Q1532" s="359"/>
      <c r="R1532" s="359"/>
      <c r="S1532" s="359"/>
      <c r="T1532" s="359"/>
      <c r="U1532" s="359"/>
    </row>
    <row r="1533" ht="15.75" customHeight="1">
      <c r="A1533" s="226"/>
      <c r="B1533" s="359"/>
      <c r="C1533" s="359"/>
      <c r="D1533" s="359"/>
      <c r="E1533" s="359"/>
      <c r="F1533" s="360"/>
      <c r="G1533" s="360"/>
      <c r="H1533" s="359"/>
      <c r="I1533" s="359"/>
      <c r="J1533" s="359"/>
      <c r="K1533" s="359"/>
      <c r="L1533" s="361"/>
      <c r="M1533" s="359"/>
      <c r="N1533" s="359"/>
      <c r="O1533" s="359"/>
      <c r="P1533" s="359"/>
      <c r="Q1533" s="359"/>
      <c r="R1533" s="359"/>
      <c r="S1533" s="359"/>
      <c r="T1533" s="359"/>
      <c r="U1533" s="359"/>
    </row>
    <row r="1534" ht="15.75" customHeight="1">
      <c r="A1534" s="226"/>
      <c r="B1534" s="359"/>
      <c r="C1534" s="359"/>
      <c r="D1534" s="359"/>
      <c r="E1534" s="359"/>
      <c r="F1534" s="360"/>
      <c r="G1534" s="360"/>
      <c r="H1534" s="359"/>
      <c r="I1534" s="359"/>
      <c r="J1534" s="359"/>
      <c r="K1534" s="359"/>
      <c r="L1534" s="361"/>
      <c r="M1534" s="359"/>
      <c r="N1534" s="359"/>
      <c r="O1534" s="359"/>
      <c r="P1534" s="359"/>
      <c r="Q1534" s="359"/>
      <c r="R1534" s="359"/>
      <c r="S1534" s="359"/>
      <c r="T1534" s="359"/>
      <c r="U1534" s="359"/>
    </row>
    <row r="1535" ht="15.75" customHeight="1">
      <c r="A1535" s="226"/>
      <c r="B1535" s="359"/>
      <c r="C1535" s="359"/>
      <c r="D1535" s="359"/>
      <c r="E1535" s="359"/>
      <c r="F1535" s="360"/>
      <c r="G1535" s="360"/>
      <c r="H1535" s="359"/>
      <c r="I1535" s="359"/>
      <c r="J1535" s="359"/>
      <c r="K1535" s="359"/>
      <c r="L1535" s="361"/>
      <c r="M1535" s="359"/>
      <c r="N1535" s="359"/>
      <c r="O1535" s="359"/>
      <c r="P1535" s="359"/>
      <c r="Q1535" s="359"/>
      <c r="R1535" s="359"/>
      <c r="S1535" s="359"/>
      <c r="T1535" s="359"/>
      <c r="U1535" s="359"/>
    </row>
    <row r="1536" ht="15.75" customHeight="1">
      <c r="A1536" s="226"/>
      <c r="B1536" s="359"/>
      <c r="C1536" s="359"/>
      <c r="D1536" s="359"/>
      <c r="E1536" s="359"/>
      <c r="F1536" s="360"/>
      <c r="G1536" s="360"/>
      <c r="H1536" s="359"/>
      <c r="I1536" s="359"/>
      <c r="J1536" s="359"/>
      <c r="K1536" s="359"/>
      <c r="L1536" s="361"/>
      <c r="M1536" s="359"/>
      <c r="N1536" s="359"/>
      <c r="O1536" s="359"/>
      <c r="P1536" s="359"/>
      <c r="Q1536" s="359"/>
      <c r="R1536" s="359"/>
      <c r="S1536" s="359"/>
      <c r="T1536" s="359"/>
      <c r="U1536" s="359"/>
    </row>
    <row r="1537" ht="15.75" customHeight="1">
      <c r="A1537" s="226"/>
      <c r="B1537" s="359"/>
      <c r="C1537" s="359"/>
      <c r="D1537" s="359"/>
      <c r="E1537" s="359"/>
      <c r="F1537" s="360"/>
      <c r="G1537" s="360"/>
      <c r="H1537" s="359"/>
      <c r="I1537" s="359"/>
      <c r="J1537" s="359"/>
      <c r="K1537" s="359"/>
      <c r="L1537" s="361"/>
      <c r="M1537" s="359"/>
      <c r="N1537" s="359"/>
      <c r="O1537" s="359"/>
      <c r="P1537" s="359"/>
      <c r="Q1537" s="359"/>
      <c r="R1537" s="359"/>
      <c r="S1537" s="359"/>
      <c r="T1537" s="359"/>
      <c r="U1537" s="359"/>
    </row>
    <row r="1538" ht="15.75" customHeight="1">
      <c r="A1538" s="226"/>
      <c r="B1538" s="359"/>
      <c r="C1538" s="359"/>
      <c r="D1538" s="359"/>
      <c r="E1538" s="359"/>
      <c r="F1538" s="360"/>
      <c r="G1538" s="360"/>
      <c r="H1538" s="359"/>
      <c r="I1538" s="359"/>
      <c r="J1538" s="359"/>
      <c r="K1538" s="359"/>
      <c r="L1538" s="361"/>
      <c r="M1538" s="359"/>
      <c r="N1538" s="359"/>
      <c r="O1538" s="359"/>
      <c r="P1538" s="359"/>
      <c r="Q1538" s="359"/>
      <c r="R1538" s="359"/>
      <c r="S1538" s="359"/>
      <c r="T1538" s="359"/>
      <c r="U1538" s="359"/>
    </row>
    <row r="1539" ht="15.75" customHeight="1">
      <c r="A1539" s="226"/>
      <c r="B1539" s="359"/>
      <c r="C1539" s="359"/>
      <c r="D1539" s="359"/>
      <c r="E1539" s="359"/>
      <c r="F1539" s="360"/>
      <c r="G1539" s="360"/>
      <c r="H1539" s="359"/>
      <c r="I1539" s="359"/>
      <c r="J1539" s="359"/>
      <c r="K1539" s="359"/>
      <c r="L1539" s="361"/>
      <c r="M1539" s="359"/>
      <c r="N1539" s="359"/>
      <c r="O1539" s="359"/>
      <c r="P1539" s="359"/>
      <c r="Q1539" s="359"/>
      <c r="R1539" s="359"/>
      <c r="S1539" s="359"/>
      <c r="T1539" s="359"/>
      <c r="U1539" s="359"/>
    </row>
    <row r="1540" ht="15.75" customHeight="1">
      <c r="A1540" s="226"/>
      <c r="B1540" s="359"/>
      <c r="C1540" s="359"/>
      <c r="D1540" s="359"/>
      <c r="E1540" s="359"/>
      <c r="F1540" s="360"/>
      <c r="G1540" s="360"/>
      <c r="H1540" s="359"/>
      <c r="I1540" s="359"/>
      <c r="J1540" s="359"/>
      <c r="K1540" s="359"/>
      <c r="L1540" s="361"/>
      <c r="M1540" s="359"/>
      <c r="N1540" s="359"/>
      <c r="O1540" s="359"/>
      <c r="P1540" s="359"/>
      <c r="Q1540" s="359"/>
      <c r="R1540" s="359"/>
      <c r="S1540" s="359"/>
      <c r="T1540" s="359"/>
      <c r="U1540" s="359"/>
    </row>
    <row r="1541" ht="15.75" customHeight="1">
      <c r="A1541" s="226"/>
      <c r="B1541" s="359"/>
      <c r="C1541" s="359"/>
      <c r="D1541" s="359"/>
      <c r="E1541" s="359"/>
      <c r="F1541" s="360"/>
      <c r="G1541" s="360"/>
      <c r="H1541" s="359"/>
      <c r="I1541" s="359"/>
      <c r="J1541" s="359"/>
      <c r="K1541" s="359"/>
      <c r="L1541" s="361"/>
      <c r="M1541" s="359"/>
      <c r="N1541" s="359"/>
      <c r="O1541" s="359"/>
      <c r="P1541" s="359"/>
      <c r="Q1541" s="359"/>
      <c r="R1541" s="359"/>
      <c r="S1541" s="359"/>
      <c r="T1541" s="359"/>
      <c r="U1541" s="359"/>
    </row>
    <row r="1542" ht="15.75" customHeight="1">
      <c r="A1542" s="226"/>
      <c r="B1542" s="359"/>
      <c r="C1542" s="359"/>
      <c r="D1542" s="359"/>
      <c r="E1542" s="359"/>
      <c r="F1542" s="360"/>
      <c r="G1542" s="360"/>
      <c r="H1542" s="359"/>
      <c r="I1542" s="359"/>
      <c r="J1542" s="359"/>
      <c r="K1542" s="359"/>
      <c r="L1542" s="361"/>
      <c r="M1542" s="359"/>
      <c r="N1542" s="359"/>
      <c r="O1542" s="359"/>
      <c r="P1542" s="359"/>
      <c r="Q1542" s="359"/>
      <c r="R1542" s="359"/>
      <c r="S1542" s="359"/>
      <c r="T1542" s="359"/>
      <c r="U1542" s="359"/>
    </row>
    <row r="1543" ht="15.75" customHeight="1">
      <c r="A1543" s="226"/>
      <c r="B1543" s="359"/>
      <c r="C1543" s="359"/>
      <c r="D1543" s="359"/>
      <c r="E1543" s="359"/>
      <c r="F1543" s="360"/>
      <c r="G1543" s="360"/>
      <c r="H1543" s="359"/>
      <c r="I1543" s="359"/>
      <c r="J1543" s="359"/>
      <c r="K1543" s="359"/>
      <c r="L1543" s="361"/>
      <c r="M1543" s="359"/>
      <c r="N1543" s="359"/>
      <c r="O1543" s="359"/>
      <c r="P1543" s="359"/>
      <c r="Q1543" s="359"/>
      <c r="R1543" s="359"/>
      <c r="S1543" s="359"/>
      <c r="T1543" s="359"/>
      <c r="U1543" s="359"/>
    </row>
    <row r="1544" ht="15.75" customHeight="1">
      <c r="A1544" s="226"/>
      <c r="B1544" s="359"/>
      <c r="C1544" s="359"/>
      <c r="D1544" s="359"/>
      <c r="E1544" s="359"/>
      <c r="F1544" s="360"/>
      <c r="G1544" s="360"/>
      <c r="H1544" s="359"/>
      <c r="I1544" s="359"/>
      <c r="J1544" s="359"/>
      <c r="K1544" s="359"/>
      <c r="L1544" s="361"/>
      <c r="M1544" s="359"/>
      <c r="N1544" s="359"/>
      <c r="O1544" s="359"/>
      <c r="P1544" s="359"/>
      <c r="Q1544" s="359"/>
      <c r="R1544" s="359"/>
      <c r="S1544" s="359"/>
      <c r="T1544" s="359"/>
      <c r="U1544" s="359"/>
    </row>
    <row r="1545" ht="15.75" customHeight="1">
      <c r="A1545" s="226"/>
      <c r="B1545" s="359"/>
      <c r="C1545" s="359"/>
      <c r="D1545" s="359"/>
      <c r="E1545" s="359"/>
      <c r="F1545" s="360"/>
      <c r="G1545" s="360"/>
      <c r="H1545" s="359"/>
      <c r="I1545" s="359"/>
      <c r="J1545" s="359"/>
      <c r="K1545" s="359"/>
      <c r="L1545" s="361"/>
      <c r="M1545" s="359"/>
      <c r="N1545" s="359"/>
      <c r="O1545" s="359"/>
      <c r="P1545" s="359"/>
      <c r="Q1545" s="359"/>
      <c r="R1545" s="359"/>
      <c r="S1545" s="359"/>
      <c r="T1545" s="359"/>
      <c r="U1545" s="359"/>
    </row>
    <row r="1546" ht="15.75" customHeight="1">
      <c r="A1546" s="226"/>
      <c r="B1546" s="359"/>
      <c r="C1546" s="359"/>
      <c r="D1546" s="359"/>
      <c r="E1546" s="359"/>
      <c r="F1546" s="360"/>
      <c r="G1546" s="360"/>
      <c r="H1546" s="359"/>
      <c r="I1546" s="359"/>
      <c r="J1546" s="359"/>
      <c r="K1546" s="359"/>
      <c r="L1546" s="361"/>
      <c r="M1546" s="359"/>
      <c r="N1546" s="359"/>
      <c r="O1546" s="359"/>
      <c r="P1546" s="359"/>
      <c r="Q1546" s="359"/>
      <c r="R1546" s="359"/>
      <c r="S1546" s="359"/>
      <c r="T1546" s="359"/>
      <c r="U1546" s="359"/>
    </row>
    <row r="1547" ht="15.75" customHeight="1">
      <c r="A1547" s="226"/>
      <c r="B1547" s="359"/>
      <c r="C1547" s="359"/>
      <c r="D1547" s="359"/>
      <c r="E1547" s="359"/>
      <c r="F1547" s="360"/>
      <c r="G1547" s="360"/>
      <c r="H1547" s="359"/>
      <c r="I1547" s="359"/>
      <c r="J1547" s="359"/>
      <c r="K1547" s="359"/>
      <c r="L1547" s="361"/>
      <c r="M1547" s="359"/>
      <c r="N1547" s="359"/>
      <c r="O1547" s="359"/>
      <c r="P1547" s="359"/>
      <c r="Q1547" s="359"/>
      <c r="R1547" s="359"/>
      <c r="S1547" s="359"/>
      <c r="T1547" s="359"/>
      <c r="U1547" s="359"/>
    </row>
    <row r="1548" ht="15.75" customHeight="1">
      <c r="A1548" s="226"/>
      <c r="B1548" s="359"/>
      <c r="C1548" s="359"/>
      <c r="D1548" s="359"/>
      <c r="E1548" s="359"/>
      <c r="F1548" s="360"/>
      <c r="G1548" s="360"/>
      <c r="H1548" s="359"/>
      <c r="I1548" s="359"/>
      <c r="J1548" s="359"/>
      <c r="K1548" s="359"/>
      <c r="L1548" s="361"/>
      <c r="M1548" s="359"/>
      <c r="N1548" s="359"/>
      <c r="O1548" s="359"/>
      <c r="P1548" s="359"/>
      <c r="Q1548" s="359"/>
      <c r="R1548" s="359"/>
      <c r="S1548" s="359"/>
      <c r="T1548" s="359"/>
      <c r="U1548" s="359"/>
    </row>
    <row r="1549" ht="15.75" customHeight="1">
      <c r="A1549" s="226"/>
      <c r="B1549" s="359"/>
      <c r="C1549" s="359"/>
      <c r="D1549" s="359"/>
      <c r="E1549" s="359"/>
      <c r="F1549" s="360"/>
      <c r="G1549" s="360"/>
      <c r="H1549" s="359"/>
      <c r="I1549" s="359"/>
      <c r="J1549" s="359"/>
      <c r="K1549" s="359"/>
      <c r="L1549" s="361"/>
      <c r="M1549" s="359"/>
      <c r="N1549" s="359"/>
      <c r="O1549" s="359"/>
      <c r="P1549" s="359"/>
      <c r="Q1549" s="359"/>
      <c r="R1549" s="359"/>
      <c r="S1549" s="359"/>
      <c r="T1549" s="359"/>
      <c r="U1549" s="359"/>
    </row>
    <row r="1550" ht="15.75" customHeight="1">
      <c r="A1550" s="226"/>
      <c r="B1550" s="359"/>
      <c r="C1550" s="359"/>
      <c r="D1550" s="359"/>
      <c r="E1550" s="359"/>
      <c r="F1550" s="360"/>
      <c r="G1550" s="360"/>
      <c r="H1550" s="359"/>
      <c r="I1550" s="359"/>
      <c r="J1550" s="359"/>
      <c r="K1550" s="359"/>
      <c r="L1550" s="361"/>
      <c r="M1550" s="359"/>
      <c r="N1550" s="359"/>
      <c r="O1550" s="359"/>
      <c r="P1550" s="359"/>
      <c r="Q1550" s="359"/>
      <c r="R1550" s="359"/>
      <c r="S1550" s="359"/>
      <c r="T1550" s="359"/>
      <c r="U1550" s="359"/>
    </row>
    <row r="1551" ht="15.75" customHeight="1">
      <c r="A1551" s="226"/>
      <c r="B1551" s="359"/>
      <c r="C1551" s="359"/>
      <c r="D1551" s="359"/>
      <c r="E1551" s="359"/>
      <c r="F1551" s="360"/>
      <c r="G1551" s="360"/>
      <c r="H1551" s="359"/>
      <c r="I1551" s="359"/>
      <c r="J1551" s="359"/>
      <c r="K1551" s="359"/>
      <c r="L1551" s="361"/>
      <c r="M1551" s="359"/>
      <c r="N1551" s="359"/>
      <c r="O1551" s="359"/>
      <c r="P1551" s="359"/>
      <c r="Q1551" s="359"/>
      <c r="R1551" s="359"/>
      <c r="S1551" s="359"/>
      <c r="T1551" s="359"/>
      <c r="U1551" s="359"/>
    </row>
    <row r="1552" ht="15.75" customHeight="1">
      <c r="A1552" s="226"/>
      <c r="B1552" s="359"/>
      <c r="C1552" s="359"/>
      <c r="D1552" s="359"/>
      <c r="E1552" s="359"/>
      <c r="F1552" s="360"/>
      <c r="G1552" s="360"/>
      <c r="H1552" s="359"/>
      <c r="I1552" s="359"/>
      <c r="J1552" s="359"/>
      <c r="K1552" s="359"/>
      <c r="L1552" s="361"/>
      <c r="M1552" s="359"/>
      <c r="N1552" s="359"/>
      <c r="O1552" s="359"/>
      <c r="P1552" s="359"/>
      <c r="Q1552" s="359"/>
      <c r="R1552" s="359"/>
      <c r="S1552" s="359"/>
      <c r="T1552" s="359"/>
      <c r="U1552" s="359"/>
    </row>
    <row r="1553" ht="15.75" customHeight="1">
      <c r="A1553" s="226"/>
      <c r="B1553" s="359"/>
      <c r="C1553" s="359"/>
      <c r="D1553" s="359"/>
      <c r="E1553" s="359"/>
      <c r="F1553" s="360"/>
      <c r="G1553" s="360"/>
      <c r="H1553" s="359"/>
      <c r="I1553" s="359"/>
      <c r="J1553" s="359"/>
      <c r="K1553" s="359"/>
      <c r="L1553" s="361"/>
      <c r="M1553" s="359"/>
      <c r="N1553" s="359"/>
      <c r="O1553" s="359"/>
      <c r="P1553" s="359"/>
      <c r="Q1553" s="359"/>
      <c r="R1553" s="359"/>
      <c r="S1553" s="359"/>
      <c r="T1553" s="359"/>
      <c r="U1553" s="359"/>
    </row>
    <row r="1554" ht="15.75" customHeight="1">
      <c r="A1554" s="226"/>
      <c r="B1554" s="359"/>
      <c r="C1554" s="359"/>
      <c r="D1554" s="359"/>
      <c r="E1554" s="359"/>
      <c r="F1554" s="360"/>
      <c r="G1554" s="360"/>
      <c r="H1554" s="359"/>
      <c r="I1554" s="359"/>
      <c r="J1554" s="359"/>
      <c r="K1554" s="359"/>
      <c r="L1554" s="361"/>
      <c r="M1554" s="359"/>
      <c r="N1554" s="359"/>
      <c r="O1554" s="359"/>
      <c r="P1554" s="359"/>
      <c r="Q1554" s="359"/>
      <c r="R1554" s="359"/>
      <c r="S1554" s="359"/>
      <c r="T1554" s="359"/>
      <c r="U1554" s="359"/>
    </row>
    <row r="1555" ht="15.75" customHeight="1">
      <c r="A1555" s="226"/>
      <c r="B1555" s="359"/>
      <c r="C1555" s="359"/>
      <c r="D1555" s="359"/>
      <c r="E1555" s="359"/>
      <c r="F1555" s="360"/>
      <c r="G1555" s="360"/>
      <c r="H1555" s="359"/>
      <c r="I1555" s="359"/>
      <c r="J1555" s="359"/>
      <c r="K1555" s="359"/>
      <c r="L1555" s="361"/>
      <c r="M1555" s="359"/>
      <c r="N1555" s="359"/>
      <c r="O1555" s="359"/>
      <c r="P1555" s="359"/>
      <c r="Q1555" s="359"/>
      <c r="R1555" s="359"/>
      <c r="S1555" s="359"/>
      <c r="T1555" s="359"/>
      <c r="U1555" s="359"/>
    </row>
    <row r="1556" ht="15.75" customHeight="1">
      <c r="A1556" s="226"/>
      <c r="B1556" s="359"/>
      <c r="C1556" s="359"/>
      <c r="D1556" s="359"/>
      <c r="E1556" s="359"/>
      <c r="F1556" s="360"/>
      <c r="G1556" s="360"/>
      <c r="H1556" s="359"/>
      <c r="I1556" s="359"/>
      <c r="J1556" s="359"/>
      <c r="K1556" s="359"/>
      <c r="L1556" s="361"/>
      <c r="M1556" s="359"/>
      <c r="N1556" s="359"/>
      <c r="O1556" s="359"/>
      <c r="P1556" s="359"/>
      <c r="Q1556" s="359"/>
      <c r="R1556" s="359"/>
      <c r="S1556" s="359"/>
      <c r="T1556" s="359"/>
      <c r="U1556" s="359"/>
    </row>
    <row r="1557" ht="15.75" customHeight="1">
      <c r="A1557" s="226"/>
      <c r="B1557" s="359"/>
      <c r="C1557" s="359"/>
      <c r="D1557" s="359"/>
      <c r="E1557" s="359"/>
      <c r="F1557" s="360"/>
      <c r="G1557" s="360"/>
      <c r="H1557" s="359"/>
      <c r="I1557" s="359"/>
      <c r="J1557" s="359"/>
      <c r="K1557" s="359"/>
      <c r="L1557" s="361"/>
      <c r="M1557" s="359"/>
      <c r="N1557" s="359"/>
      <c r="O1557" s="359"/>
      <c r="P1557" s="359"/>
      <c r="Q1557" s="359"/>
      <c r="R1557" s="359"/>
      <c r="S1557" s="359"/>
      <c r="T1557" s="359"/>
      <c r="U1557" s="359"/>
    </row>
    <row r="1558" ht="15.75" customHeight="1">
      <c r="A1558" s="226"/>
      <c r="B1558" s="359"/>
      <c r="C1558" s="359"/>
      <c r="D1558" s="359"/>
      <c r="E1558" s="359"/>
      <c r="F1558" s="360"/>
      <c r="G1558" s="360"/>
      <c r="H1558" s="359"/>
      <c r="I1558" s="359"/>
      <c r="J1558" s="359"/>
      <c r="K1558" s="359"/>
      <c r="L1558" s="361"/>
      <c r="M1558" s="359"/>
      <c r="N1558" s="359"/>
      <c r="O1558" s="359"/>
      <c r="P1558" s="359"/>
      <c r="Q1558" s="359"/>
      <c r="R1558" s="359"/>
      <c r="S1558" s="359"/>
      <c r="T1558" s="359"/>
      <c r="U1558" s="359"/>
    </row>
    <row r="1559" ht="15.75" customHeight="1">
      <c r="A1559" s="226"/>
      <c r="B1559" s="359"/>
      <c r="C1559" s="359"/>
      <c r="D1559" s="359"/>
      <c r="E1559" s="359"/>
      <c r="F1559" s="360"/>
      <c r="G1559" s="360"/>
      <c r="H1559" s="359"/>
      <c r="I1559" s="359"/>
      <c r="J1559" s="359"/>
      <c r="K1559" s="359"/>
      <c r="L1559" s="361"/>
      <c r="M1559" s="359"/>
      <c r="N1559" s="359"/>
      <c r="O1559" s="359"/>
      <c r="P1559" s="359"/>
      <c r="Q1559" s="359"/>
      <c r="R1559" s="359"/>
      <c r="S1559" s="359"/>
      <c r="T1559" s="359"/>
      <c r="U1559" s="359"/>
    </row>
    <row r="1560" ht="15.75" customHeight="1">
      <c r="A1560" s="226"/>
      <c r="B1560" s="359"/>
      <c r="C1560" s="359"/>
      <c r="D1560" s="359"/>
      <c r="E1560" s="359"/>
      <c r="F1560" s="360"/>
      <c r="G1560" s="360"/>
      <c r="H1560" s="359"/>
      <c r="I1560" s="359"/>
      <c r="J1560" s="359"/>
      <c r="K1560" s="359"/>
      <c r="L1560" s="361"/>
      <c r="M1560" s="359"/>
      <c r="N1560" s="359"/>
      <c r="O1560" s="359"/>
      <c r="P1560" s="359"/>
      <c r="Q1560" s="359"/>
      <c r="R1560" s="359"/>
      <c r="S1560" s="359"/>
      <c r="T1560" s="359"/>
      <c r="U1560" s="359"/>
    </row>
    <row r="1561" ht="15.75" customHeight="1">
      <c r="A1561" s="226"/>
      <c r="B1561" s="359"/>
      <c r="C1561" s="359"/>
      <c r="D1561" s="359"/>
      <c r="E1561" s="359"/>
      <c r="F1561" s="360"/>
      <c r="G1561" s="360"/>
      <c r="H1561" s="359"/>
      <c r="I1561" s="359"/>
      <c r="J1561" s="359"/>
      <c r="K1561" s="359"/>
      <c r="L1561" s="361"/>
      <c r="M1561" s="359"/>
      <c r="N1561" s="359"/>
      <c r="O1561" s="359"/>
      <c r="P1561" s="359"/>
      <c r="Q1561" s="359"/>
      <c r="R1561" s="359"/>
      <c r="S1561" s="359"/>
      <c r="T1561" s="359"/>
      <c r="U1561" s="359"/>
    </row>
    <row r="1562" ht="15.75" customHeight="1">
      <c r="A1562" s="226"/>
      <c r="B1562" s="359"/>
      <c r="C1562" s="359"/>
      <c r="D1562" s="359"/>
      <c r="E1562" s="359"/>
      <c r="F1562" s="360"/>
      <c r="G1562" s="360"/>
      <c r="H1562" s="359"/>
      <c r="I1562" s="359"/>
      <c r="J1562" s="359"/>
      <c r="K1562" s="359"/>
      <c r="L1562" s="361"/>
      <c r="M1562" s="359"/>
      <c r="N1562" s="359"/>
      <c r="O1562" s="359"/>
      <c r="P1562" s="359"/>
      <c r="Q1562" s="359"/>
      <c r="R1562" s="359"/>
      <c r="S1562" s="359"/>
      <c r="T1562" s="359"/>
      <c r="U1562" s="359"/>
    </row>
    <row r="1563" ht="15.75" customHeight="1">
      <c r="A1563" s="226"/>
      <c r="B1563" s="359"/>
      <c r="C1563" s="359"/>
      <c r="D1563" s="359"/>
      <c r="E1563" s="359"/>
      <c r="F1563" s="360"/>
      <c r="G1563" s="360"/>
      <c r="H1563" s="359"/>
      <c r="I1563" s="359"/>
      <c r="J1563" s="359"/>
      <c r="K1563" s="359"/>
      <c r="L1563" s="361"/>
      <c r="M1563" s="359"/>
      <c r="N1563" s="359"/>
      <c r="O1563" s="359"/>
      <c r="P1563" s="359"/>
      <c r="Q1563" s="359"/>
      <c r="R1563" s="359"/>
      <c r="S1563" s="359"/>
      <c r="T1563" s="359"/>
      <c r="U1563" s="359"/>
    </row>
    <row r="1564" ht="15.75" customHeight="1">
      <c r="A1564" s="226"/>
      <c r="B1564" s="359"/>
      <c r="C1564" s="359"/>
      <c r="D1564" s="359"/>
      <c r="E1564" s="359"/>
      <c r="F1564" s="360"/>
      <c r="G1564" s="360"/>
      <c r="H1564" s="359"/>
      <c r="I1564" s="359"/>
      <c r="J1564" s="359"/>
      <c r="K1564" s="359"/>
      <c r="L1564" s="361"/>
      <c r="M1564" s="359"/>
      <c r="N1564" s="359"/>
      <c r="O1564" s="359"/>
      <c r="P1564" s="359"/>
      <c r="Q1564" s="359"/>
      <c r="R1564" s="359"/>
      <c r="S1564" s="359"/>
      <c r="T1564" s="359"/>
      <c r="U1564" s="359"/>
    </row>
    <row r="1565" ht="15.75" customHeight="1">
      <c r="A1565" s="226"/>
      <c r="B1565" s="359"/>
      <c r="C1565" s="359"/>
      <c r="D1565" s="359"/>
      <c r="E1565" s="359"/>
      <c r="F1565" s="360"/>
      <c r="G1565" s="360"/>
      <c r="H1565" s="359"/>
      <c r="I1565" s="359"/>
      <c r="J1565" s="359"/>
      <c r="K1565" s="359"/>
      <c r="L1565" s="361"/>
      <c r="M1565" s="359"/>
      <c r="N1565" s="359"/>
      <c r="O1565" s="359"/>
      <c r="P1565" s="359"/>
      <c r="Q1565" s="359"/>
      <c r="R1565" s="359"/>
      <c r="S1565" s="359"/>
      <c r="T1565" s="359"/>
      <c r="U1565" s="359"/>
    </row>
    <row r="1566" ht="15.75" customHeight="1">
      <c r="A1566" s="226"/>
      <c r="B1566" s="359"/>
      <c r="C1566" s="359"/>
      <c r="D1566" s="359"/>
      <c r="E1566" s="359"/>
      <c r="F1566" s="360"/>
      <c r="G1566" s="360"/>
      <c r="H1566" s="359"/>
      <c r="I1566" s="359"/>
      <c r="J1566" s="359"/>
      <c r="K1566" s="359"/>
      <c r="L1566" s="361"/>
      <c r="M1566" s="359"/>
      <c r="N1566" s="359"/>
      <c r="O1566" s="359"/>
      <c r="P1566" s="359"/>
      <c r="Q1566" s="359"/>
      <c r="R1566" s="359"/>
      <c r="S1566" s="359"/>
      <c r="T1566" s="359"/>
      <c r="U1566" s="359"/>
    </row>
    <row r="1567" ht="15.75" customHeight="1">
      <c r="A1567" s="226"/>
      <c r="B1567" s="359"/>
      <c r="C1567" s="359"/>
      <c r="D1567" s="359"/>
      <c r="E1567" s="359"/>
      <c r="F1567" s="360"/>
      <c r="G1567" s="360"/>
      <c r="H1567" s="359"/>
      <c r="I1567" s="359"/>
      <c r="J1567" s="359"/>
      <c r="K1567" s="359"/>
      <c r="L1567" s="361"/>
      <c r="M1567" s="359"/>
      <c r="N1567" s="359"/>
      <c r="O1567" s="359"/>
      <c r="P1567" s="359"/>
      <c r="Q1567" s="359"/>
      <c r="R1567" s="359"/>
      <c r="S1567" s="359"/>
      <c r="T1567" s="359"/>
      <c r="U1567" s="359"/>
    </row>
    <row r="1568" ht="15.75" customHeight="1">
      <c r="A1568" s="226"/>
      <c r="B1568" s="359"/>
      <c r="C1568" s="359"/>
      <c r="D1568" s="359"/>
      <c r="E1568" s="359"/>
      <c r="F1568" s="360"/>
      <c r="G1568" s="360"/>
      <c r="H1568" s="359"/>
      <c r="I1568" s="359"/>
      <c r="J1568" s="359"/>
      <c r="K1568" s="359"/>
      <c r="L1568" s="361"/>
      <c r="M1568" s="359"/>
      <c r="N1568" s="359"/>
      <c r="O1568" s="359"/>
      <c r="P1568" s="359"/>
      <c r="Q1568" s="359"/>
      <c r="R1568" s="359"/>
      <c r="S1568" s="359"/>
      <c r="T1568" s="359"/>
      <c r="U1568" s="359"/>
    </row>
    <row r="1569" ht="15.75" customHeight="1">
      <c r="A1569" s="226"/>
      <c r="B1569" s="359"/>
      <c r="C1569" s="359"/>
      <c r="D1569" s="359"/>
      <c r="E1569" s="359"/>
      <c r="F1569" s="360"/>
      <c r="G1569" s="360"/>
      <c r="H1569" s="359"/>
      <c r="I1569" s="359"/>
      <c r="J1569" s="359"/>
      <c r="K1569" s="359"/>
      <c r="L1569" s="361"/>
      <c r="M1569" s="359"/>
      <c r="N1569" s="359"/>
      <c r="O1569" s="359"/>
      <c r="P1569" s="359"/>
      <c r="Q1569" s="359"/>
      <c r="R1569" s="359"/>
      <c r="S1569" s="359"/>
      <c r="T1569" s="359"/>
      <c r="U1569" s="359"/>
    </row>
    <row r="1570" ht="15.75" customHeight="1">
      <c r="A1570" s="226"/>
      <c r="B1570" s="359"/>
      <c r="C1570" s="359"/>
      <c r="D1570" s="359"/>
      <c r="E1570" s="359"/>
      <c r="F1570" s="360"/>
      <c r="G1570" s="360"/>
      <c r="H1570" s="359"/>
      <c r="I1570" s="359"/>
      <c r="J1570" s="359"/>
      <c r="K1570" s="359"/>
      <c r="L1570" s="361"/>
      <c r="M1570" s="359"/>
      <c r="N1570" s="359"/>
      <c r="O1570" s="359"/>
      <c r="P1570" s="359"/>
      <c r="Q1570" s="359"/>
      <c r="R1570" s="359"/>
      <c r="S1570" s="359"/>
      <c r="T1570" s="359"/>
      <c r="U1570" s="359"/>
    </row>
    <row r="1571" ht="15.75" customHeight="1">
      <c r="A1571" s="226"/>
      <c r="B1571" s="359"/>
      <c r="C1571" s="359"/>
      <c r="D1571" s="359"/>
      <c r="E1571" s="359"/>
      <c r="F1571" s="360"/>
      <c r="G1571" s="360"/>
      <c r="H1571" s="359"/>
      <c r="I1571" s="359"/>
      <c r="J1571" s="359"/>
      <c r="K1571" s="359"/>
      <c r="L1571" s="361"/>
      <c r="M1571" s="359"/>
      <c r="N1571" s="359"/>
      <c r="O1571" s="359"/>
      <c r="P1571" s="359"/>
      <c r="Q1571" s="359"/>
      <c r="R1571" s="359"/>
      <c r="S1571" s="359"/>
      <c r="T1571" s="359"/>
      <c r="U1571" s="359"/>
    </row>
    <row r="1572" ht="15.75" customHeight="1">
      <c r="A1572" s="226"/>
      <c r="B1572" s="359"/>
      <c r="C1572" s="359"/>
      <c r="D1572" s="359"/>
      <c r="E1572" s="359"/>
      <c r="F1572" s="360"/>
      <c r="G1572" s="360"/>
      <c r="H1572" s="359"/>
      <c r="I1572" s="359"/>
      <c r="J1572" s="359"/>
      <c r="K1572" s="359"/>
      <c r="L1572" s="361"/>
      <c r="M1572" s="359"/>
      <c r="N1572" s="359"/>
      <c r="O1572" s="359"/>
      <c r="P1572" s="359"/>
      <c r="Q1572" s="359"/>
      <c r="R1572" s="359"/>
      <c r="S1572" s="359"/>
      <c r="T1572" s="359"/>
      <c r="U1572" s="359"/>
    </row>
    <row r="1573" ht="15.75" customHeight="1">
      <c r="A1573" s="226"/>
      <c r="B1573" s="359"/>
      <c r="C1573" s="359"/>
      <c r="D1573" s="359"/>
      <c r="E1573" s="359"/>
      <c r="F1573" s="360"/>
      <c r="G1573" s="360"/>
      <c r="H1573" s="359"/>
      <c r="I1573" s="359"/>
      <c r="J1573" s="359"/>
      <c r="K1573" s="359"/>
      <c r="L1573" s="361"/>
      <c r="M1573" s="359"/>
      <c r="N1573" s="359"/>
      <c r="O1573" s="359"/>
      <c r="P1573" s="359"/>
      <c r="Q1573" s="359"/>
      <c r="R1573" s="359"/>
      <c r="S1573" s="359"/>
      <c r="T1573" s="359"/>
      <c r="U1573" s="359"/>
    </row>
    <row r="1574" ht="15.75" customHeight="1">
      <c r="A1574" s="226"/>
      <c r="B1574" s="359"/>
      <c r="C1574" s="359"/>
      <c r="D1574" s="359"/>
      <c r="E1574" s="359"/>
      <c r="F1574" s="360"/>
      <c r="G1574" s="360"/>
      <c r="H1574" s="359"/>
      <c r="I1574" s="359"/>
      <c r="J1574" s="359"/>
      <c r="K1574" s="359"/>
      <c r="L1574" s="361"/>
      <c r="M1574" s="359"/>
      <c r="N1574" s="359"/>
      <c r="O1574" s="359"/>
      <c r="P1574" s="359"/>
      <c r="Q1574" s="359"/>
      <c r="R1574" s="359"/>
      <c r="S1574" s="359"/>
      <c r="T1574" s="359"/>
      <c r="U1574" s="359"/>
    </row>
    <row r="1575" ht="15.75" customHeight="1">
      <c r="A1575" s="226"/>
      <c r="B1575" s="359"/>
      <c r="C1575" s="359"/>
      <c r="D1575" s="359"/>
      <c r="E1575" s="359"/>
      <c r="F1575" s="360"/>
      <c r="G1575" s="360"/>
      <c r="H1575" s="359"/>
      <c r="I1575" s="359"/>
      <c r="J1575" s="359"/>
      <c r="K1575" s="359"/>
      <c r="L1575" s="361"/>
      <c r="M1575" s="359"/>
      <c r="N1575" s="359"/>
      <c r="O1575" s="359"/>
      <c r="P1575" s="359"/>
      <c r="Q1575" s="359"/>
      <c r="R1575" s="359"/>
      <c r="S1575" s="359"/>
      <c r="T1575" s="359"/>
      <c r="U1575" s="359"/>
    </row>
    <row r="1576" ht="15.75" customHeight="1">
      <c r="A1576" s="226"/>
      <c r="B1576" s="359"/>
      <c r="C1576" s="359"/>
      <c r="D1576" s="359"/>
      <c r="E1576" s="359"/>
      <c r="F1576" s="360"/>
      <c r="G1576" s="360"/>
      <c r="H1576" s="359"/>
      <c r="I1576" s="359"/>
      <c r="J1576" s="359"/>
      <c r="K1576" s="359"/>
      <c r="L1576" s="361"/>
      <c r="M1576" s="359"/>
      <c r="N1576" s="359"/>
      <c r="O1576" s="359"/>
      <c r="P1576" s="359"/>
      <c r="Q1576" s="359"/>
      <c r="R1576" s="359"/>
      <c r="S1576" s="359"/>
      <c r="T1576" s="359"/>
      <c r="U1576" s="359"/>
    </row>
    <row r="1577" ht="15.75" customHeight="1">
      <c r="A1577" s="226"/>
      <c r="B1577" s="359"/>
      <c r="C1577" s="359"/>
      <c r="D1577" s="359"/>
      <c r="E1577" s="359"/>
      <c r="F1577" s="360"/>
      <c r="G1577" s="360"/>
      <c r="H1577" s="359"/>
      <c r="I1577" s="359"/>
      <c r="J1577" s="359"/>
      <c r="K1577" s="359"/>
      <c r="L1577" s="361"/>
      <c r="M1577" s="359"/>
      <c r="N1577" s="359"/>
      <c r="O1577" s="359"/>
      <c r="P1577" s="359"/>
      <c r="Q1577" s="359"/>
      <c r="R1577" s="359"/>
      <c r="S1577" s="359"/>
      <c r="T1577" s="359"/>
      <c r="U1577" s="359"/>
    </row>
    <row r="1578" ht="15.75" customHeight="1">
      <c r="A1578" s="226"/>
      <c r="B1578" s="359"/>
      <c r="C1578" s="359"/>
      <c r="D1578" s="359"/>
      <c r="E1578" s="359"/>
      <c r="F1578" s="360"/>
      <c r="G1578" s="360"/>
      <c r="H1578" s="359"/>
      <c r="I1578" s="359"/>
      <c r="J1578" s="359"/>
      <c r="K1578" s="359"/>
      <c r="L1578" s="361"/>
      <c r="M1578" s="359"/>
      <c r="N1578" s="359"/>
      <c r="O1578" s="359"/>
      <c r="P1578" s="359"/>
      <c r="Q1578" s="359"/>
      <c r="R1578" s="359"/>
      <c r="S1578" s="359"/>
      <c r="T1578" s="359"/>
      <c r="U1578" s="359"/>
    </row>
    <row r="1579" ht="15.75" customHeight="1">
      <c r="A1579" s="226"/>
      <c r="B1579" s="359"/>
      <c r="C1579" s="359"/>
      <c r="D1579" s="359"/>
      <c r="E1579" s="359"/>
      <c r="F1579" s="360"/>
      <c r="G1579" s="360"/>
      <c r="H1579" s="359"/>
      <c r="I1579" s="359"/>
      <c r="J1579" s="359"/>
      <c r="K1579" s="359"/>
      <c r="L1579" s="361"/>
      <c r="M1579" s="359"/>
      <c r="N1579" s="359"/>
      <c r="O1579" s="359"/>
      <c r="P1579" s="359"/>
      <c r="Q1579" s="359"/>
      <c r="R1579" s="359"/>
      <c r="S1579" s="359"/>
      <c r="T1579" s="359"/>
      <c r="U1579" s="359"/>
    </row>
    <row r="1580" ht="15.75" customHeight="1">
      <c r="A1580" s="226"/>
      <c r="B1580" s="359"/>
      <c r="C1580" s="359"/>
      <c r="D1580" s="359"/>
      <c r="E1580" s="359"/>
      <c r="F1580" s="360"/>
      <c r="G1580" s="360"/>
      <c r="H1580" s="359"/>
      <c r="I1580" s="359"/>
      <c r="J1580" s="359"/>
      <c r="K1580" s="359"/>
      <c r="L1580" s="361"/>
      <c r="M1580" s="359"/>
      <c r="N1580" s="359"/>
      <c r="O1580" s="359"/>
      <c r="P1580" s="359"/>
      <c r="Q1580" s="359"/>
      <c r="R1580" s="359"/>
      <c r="S1580" s="359"/>
      <c r="T1580" s="359"/>
      <c r="U1580" s="359"/>
    </row>
    <row r="1581" ht="15.75" customHeight="1">
      <c r="A1581" s="226"/>
      <c r="B1581" s="359"/>
      <c r="C1581" s="359"/>
      <c r="D1581" s="359"/>
      <c r="E1581" s="359"/>
      <c r="F1581" s="360"/>
      <c r="G1581" s="360"/>
      <c r="H1581" s="359"/>
      <c r="I1581" s="359"/>
      <c r="J1581" s="359"/>
      <c r="K1581" s="359"/>
      <c r="L1581" s="361"/>
      <c r="M1581" s="359"/>
      <c r="N1581" s="359"/>
      <c r="O1581" s="359"/>
      <c r="P1581" s="359"/>
      <c r="Q1581" s="359"/>
      <c r="R1581" s="359"/>
      <c r="S1581" s="359"/>
      <c r="T1581" s="359"/>
      <c r="U1581" s="359"/>
    </row>
    <row r="1582" ht="15.75" customHeight="1">
      <c r="A1582" s="226"/>
      <c r="B1582" s="359"/>
      <c r="C1582" s="359"/>
      <c r="D1582" s="359"/>
      <c r="E1582" s="359"/>
      <c r="F1582" s="360"/>
      <c r="G1582" s="360"/>
      <c r="H1582" s="359"/>
      <c r="I1582" s="359"/>
      <c r="J1582" s="359"/>
      <c r="K1582" s="359"/>
      <c r="L1582" s="361"/>
      <c r="M1582" s="359"/>
      <c r="N1582" s="359"/>
      <c r="O1582" s="359"/>
      <c r="P1582" s="359"/>
      <c r="Q1582" s="359"/>
      <c r="R1582" s="359"/>
      <c r="S1582" s="359"/>
      <c r="T1582" s="359"/>
      <c r="U1582" s="359"/>
    </row>
    <row r="1583" ht="15.75" customHeight="1">
      <c r="A1583" s="226"/>
      <c r="B1583" s="359"/>
      <c r="C1583" s="359"/>
      <c r="D1583" s="359"/>
      <c r="E1583" s="359"/>
      <c r="F1583" s="360"/>
      <c r="G1583" s="360"/>
      <c r="H1583" s="359"/>
      <c r="I1583" s="359"/>
      <c r="J1583" s="359"/>
      <c r="K1583" s="359"/>
      <c r="L1583" s="361"/>
      <c r="M1583" s="359"/>
      <c r="N1583" s="359"/>
      <c r="O1583" s="359"/>
      <c r="P1583" s="359"/>
      <c r="Q1583" s="359"/>
      <c r="R1583" s="359"/>
      <c r="S1583" s="359"/>
      <c r="T1583" s="359"/>
      <c r="U1583" s="359"/>
    </row>
    <row r="1584" ht="15.75" customHeight="1">
      <c r="A1584" s="226"/>
      <c r="B1584" s="359"/>
      <c r="C1584" s="359"/>
      <c r="D1584" s="359"/>
      <c r="E1584" s="359"/>
      <c r="F1584" s="360"/>
      <c r="G1584" s="360"/>
      <c r="H1584" s="359"/>
      <c r="I1584" s="359"/>
      <c r="J1584" s="359"/>
      <c r="K1584" s="359"/>
      <c r="L1584" s="361"/>
      <c r="M1584" s="359"/>
      <c r="N1584" s="359"/>
      <c r="O1584" s="359"/>
      <c r="P1584" s="359"/>
      <c r="Q1584" s="359"/>
      <c r="R1584" s="359"/>
      <c r="S1584" s="359"/>
      <c r="T1584" s="359"/>
      <c r="U1584" s="359"/>
    </row>
    <row r="1585" ht="15.75" customHeight="1">
      <c r="A1585" s="226"/>
      <c r="B1585" s="359"/>
      <c r="C1585" s="359"/>
      <c r="D1585" s="359"/>
      <c r="E1585" s="359"/>
      <c r="F1585" s="360"/>
      <c r="G1585" s="360"/>
      <c r="H1585" s="359"/>
      <c r="I1585" s="359"/>
      <c r="J1585" s="359"/>
      <c r="K1585" s="359"/>
      <c r="L1585" s="361"/>
      <c r="M1585" s="359"/>
      <c r="N1585" s="359"/>
      <c r="O1585" s="359"/>
      <c r="P1585" s="359"/>
      <c r="Q1585" s="359"/>
      <c r="R1585" s="359"/>
      <c r="S1585" s="359"/>
      <c r="T1585" s="359"/>
      <c r="U1585" s="359"/>
    </row>
    <row r="1586" ht="15.75" customHeight="1">
      <c r="A1586" s="226"/>
      <c r="B1586" s="359"/>
      <c r="C1586" s="359"/>
      <c r="D1586" s="359"/>
      <c r="E1586" s="359"/>
      <c r="F1586" s="360"/>
      <c r="G1586" s="360"/>
      <c r="H1586" s="359"/>
      <c r="I1586" s="359"/>
      <c r="J1586" s="359"/>
      <c r="K1586" s="359"/>
      <c r="L1586" s="361"/>
      <c r="M1586" s="359"/>
      <c r="N1586" s="359"/>
      <c r="O1586" s="359"/>
      <c r="P1586" s="359"/>
      <c r="Q1586" s="359"/>
      <c r="R1586" s="359"/>
      <c r="S1586" s="359"/>
      <c r="T1586" s="359"/>
      <c r="U1586" s="359"/>
    </row>
    <row r="1587" ht="15.75" customHeight="1">
      <c r="A1587" s="226"/>
      <c r="B1587" s="359"/>
      <c r="C1587" s="359"/>
      <c r="D1587" s="359"/>
      <c r="E1587" s="359"/>
      <c r="F1587" s="360"/>
      <c r="G1587" s="360"/>
      <c r="H1587" s="359"/>
      <c r="I1587" s="359"/>
      <c r="J1587" s="359"/>
      <c r="K1587" s="359"/>
      <c r="L1587" s="361"/>
      <c r="M1587" s="359"/>
      <c r="N1587" s="359"/>
      <c r="O1587" s="359"/>
      <c r="P1587" s="359"/>
      <c r="Q1587" s="359"/>
      <c r="R1587" s="359"/>
      <c r="S1587" s="359"/>
      <c r="T1587" s="359"/>
      <c r="U1587" s="359"/>
    </row>
    <row r="1588" ht="15.75" customHeight="1">
      <c r="A1588" s="226"/>
      <c r="B1588" s="359"/>
      <c r="C1588" s="359"/>
      <c r="D1588" s="359"/>
      <c r="E1588" s="359"/>
      <c r="F1588" s="360"/>
      <c r="G1588" s="360"/>
      <c r="H1588" s="359"/>
      <c r="I1588" s="359"/>
      <c r="J1588" s="359"/>
      <c r="K1588" s="359"/>
      <c r="L1588" s="361"/>
      <c r="M1588" s="359"/>
      <c r="N1588" s="359"/>
      <c r="O1588" s="359"/>
      <c r="P1588" s="359"/>
      <c r="Q1588" s="359"/>
      <c r="R1588" s="359"/>
      <c r="S1588" s="359"/>
      <c r="T1588" s="359"/>
      <c r="U1588" s="359"/>
    </row>
    <row r="1589" ht="15.75" customHeight="1">
      <c r="A1589" s="226"/>
      <c r="B1589" s="359"/>
      <c r="C1589" s="359"/>
      <c r="D1589" s="359"/>
      <c r="E1589" s="359"/>
      <c r="F1589" s="360"/>
      <c r="G1589" s="360"/>
      <c r="H1589" s="359"/>
      <c r="I1589" s="359"/>
      <c r="J1589" s="359"/>
      <c r="K1589" s="359"/>
      <c r="L1589" s="361"/>
      <c r="M1589" s="359"/>
      <c r="N1589" s="359"/>
      <c r="O1589" s="359"/>
      <c r="P1589" s="359"/>
      <c r="Q1589" s="359"/>
      <c r="R1589" s="359"/>
      <c r="S1589" s="359"/>
      <c r="T1589" s="359"/>
      <c r="U1589" s="359"/>
    </row>
    <row r="1590" ht="15.75" customHeight="1">
      <c r="A1590" s="226"/>
      <c r="B1590" s="359"/>
      <c r="C1590" s="359"/>
      <c r="D1590" s="359"/>
      <c r="E1590" s="359"/>
      <c r="F1590" s="360"/>
      <c r="G1590" s="360"/>
      <c r="H1590" s="359"/>
      <c r="I1590" s="359"/>
      <c r="J1590" s="359"/>
      <c r="K1590" s="359"/>
      <c r="L1590" s="361"/>
      <c r="M1590" s="359"/>
      <c r="N1590" s="359"/>
      <c r="O1590" s="359"/>
      <c r="P1590" s="359"/>
      <c r="Q1590" s="359"/>
      <c r="R1590" s="359"/>
      <c r="S1590" s="359"/>
      <c r="T1590" s="359"/>
      <c r="U1590" s="359"/>
    </row>
    <row r="1591" ht="15.75" customHeight="1">
      <c r="A1591" s="226"/>
      <c r="B1591" s="359"/>
      <c r="C1591" s="359"/>
      <c r="D1591" s="359"/>
      <c r="E1591" s="359"/>
      <c r="F1591" s="360"/>
      <c r="G1591" s="360"/>
      <c r="H1591" s="359"/>
      <c r="I1591" s="359"/>
      <c r="J1591" s="359"/>
      <c r="K1591" s="359"/>
      <c r="L1591" s="361"/>
      <c r="M1591" s="359"/>
      <c r="N1591" s="359"/>
      <c r="O1591" s="359"/>
      <c r="P1591" s="359"/>
      <c r="Q1591" s="359"/>
      <c r="R1591" s="359"/>
      <c r="S1591" s="359"/>
      <c r="T1591" s="359"/>
      <c r="U1591" s="359"/>
    </row>
    <row r="1592" ht="15.75" customHeight="1">
      <c r="A1592" s="226"/>
      <c r="B1592" s="359"/>
      <c r="C1592" s="359"/>
      <c r="D1592" s="359"/>
      <c r="E1592" s="359"/>
      <c r="F1592" s="360"/>
      <c r="G1592" s="360"/>
      <c r="H1592" s="359"/>
      <c r="I1592" s="359"/>
      <c r="J1592" s="359"/>
      <c r="K1592" s="359"/>
      <c r="L1592" s="361"/>
      <c r="M1592" s="359"/>
      <c r="N1592" s="359"/>
      <c r="O1592" s="359"/>
      <c r="P1592" s="359"/>
      <c r="Q1592" s="359"/>
      <c r="R1592" s="359"/>
      <c r="S1592" s="359"/>
      <c r="T1592" s="359"/>
      <c r="U1592" s="359"/>
    </row>
    <row r="1593" ht="15.75" customHeight="1">
      <c r="A1593" s="226"/>
      <c r="B1593" s="359"/>
      <c r="C1593" s="359"/>
      <c r="D1593" s="359"/>
      <c r="E1593" s="359"/>
      <c r="F1593" s="360"/>
      <c r="G1593" s="360"/>
      <c r="H1593" s="359"/>
      <c r="I1593" s="359"/>
      <c r="J1593" s="359"/>
      <c r="K1593" s="359"/>
      <c r="L1593" s="361"/>
      <c r="M1593" s="359"/>
      <c r="N1593" s="359"/>
      <c r="O1593" s="359"/>
      <c r="P1593" s="359"/>
      <c r="Q1593" s="359"/>
      <c r="R1593" s="359"/>
      <c r="S1593" s="359"/>
      <c r="T1593" s="359"/>
      <c r="U1593" s="359"/>
    </row>
    <row r="1594" ht="15.75" customHeight="1">
      <c r="A1594" s="226"/>
      <c r="B1594" s="359"/>
      <c r="C1594" s="359"/>
      <c r="D1594" s="359"/>
      <c r="E1594" s="359"/>
      <c r="F1594" s="360"/>
      <c r="G1594" s="360"/>
      <c r="H1594" s="359"/>
      <c r="I1594" s="359"/>
      <c r="J1594" s="359"/>
      <c r="K1594" s="359"/>
      <c r="L1594" s="361"/>
      <c r="M1594" s="359"/>
      <c r="N1594" s="359"/>
      <c r="O1594" s="359"/>
      <c r="P1594" s="359"/>
      <c r="Q1594" s="359"/>
      <c r="R1594" s="359"/>
      <c r="S1594" s="359"/>
      <c r="T1594" s="359"/>
      <c r="U1594" s="359"/>
    </row>
    <row r="1595" ht="15.75" customHeight="1">
      <c r="A1595" s="226"/>
      <c r="B1595" s="359"/>
      <c r="C1595" s="359"/>
      <c r="D1595" s="359"/>
      <c r="E1595" s="359"/>
      <c r="F1595" s="360"/>
      <c r="G1595" s="360"/>
      <c r="H1595" s="359"/>
      <c r="I1595" s="359"/>
      <c r="J1595" s="359"/>
      <c r="K1595" s="359"/>
      <c r="L1595" s="361"/>
      <c r="M1595" s="359"/>
      <c r="N1595" s="359"/>
      <c r="O1595" s="359"/>
      <c r="P1595" s="359"/>
      <c r="Q1595" s="359"/>
      <c r="R1595" s="359"/>
      <c r="S1595" s="359"/>
      <c r="T1595" s="359"/>
      <c r="U1595" s="359"/>
    </row>
    <row r="1596" ht="15.75" customHeight="1">
      <c r="A1596" s="226"/>
      <c r="B1596" s="359"/>
      <c r="C1596" s="359"/>
      <c r="D1596" s="359"/>
      <c r="E1596" s="359"/>
      <c r="F1596" s="360"/>
      <c r="G1596" s="360"/>
      <c r="H1596" s="359"/>
      <c r="I1596" s="359"/>
      <c r="J1596" s="359"/>
      <c r="K1596" s="359"/>
      <c r="L1596" s="361"/>
      <c r="M1596" s="359"/>
      <c r="N1596" s="359"/>
      <c r="O1596" s="359"/>
      <c r="P1596" s="359"/>
      <c r="Q1596" s="359"/>
      <c r="R1596" s="359"/>
      <c r="S1596" s="359"/>
      <c r="T1596" s="359"/>
      <c r="U1596" s="359"/>
    </row>
    <row r="1597" ht="15.75" customHeight="1">
      <c r="A1597" s="226"/>
      <c r="B1597" s="359"/>
      <c r="C1597" s="359"/>
      <c r="D1597" s="359"/>
      <c r="E1597" s="359"/>
      <c r="F1597" s="360"/>
      <c r="G1597" s="360"/>
      <c r="H1597" s="359"/>
      <c r="I1597" s="359"/>
      <c r="J1597" s="359"/>
      <c r="K1597" s="359"/>
      <c r="L1597" s="361"/>
      <c r="M1597" s="359"/>
      <c r="N1597" s="359"/>
      <c r="O1597" s="359"/>
      <c r="P1597" s="359"/>
      <c r="Q1597" s="359"/>
      <c r="R1597" s="359"/>
      <c r="S1597" s="359"/>
      <c r="T1597" s="359"/>
      <c r="U1597" s="359"/>
    </row>
    <row r="1598" ht="15.75" customHeight="1">
      <c r="A1598" s="226"/>
      <c r="B1598" s="359"/>
      <c r="C1598" s="359"/>
      <c r="D1598" s="359"/>
      <c r="E1598" s="359"/>
      <c r="F1598" s="360"/>
      <c r="G1598" s="360"/>
      <c r="H1598" s="359"/>
      <c r="I1598" s="359"/>
      <c r="J1598" s="359"/>
      <c r="K1598" s="359"/>
      <c r="L1598" s="361"/>
      <c r="M1598" s="359"/>
      <c r="N1598" s="359"/>
      <c r="O1598" s="359"/>
      <c r="P1598" s="359"/>
      <c r="Q1598" s="359"/>
      <c r="R1598" s="359"/>
      <c r="S1598" s="359"/>
      <c r="T1598" s="359"/>
      <c r="U1598" s="359"/>
    </row>
    <row r="1599" ht="15.75" customHeight="1">
      <c r="A1599" s="226"/>
      <c r="B1599" s="359"/>
      <c r="C1599" s="359"/>
      <c r="D1599" s="359"/>
      <c r="E1599" s="359"/>
      <c r="F1599" s="360"/>
      <c r="G1599" s="360"/>
      <c r="H1599" s="359"/>
      <c r="I1599" s="359"/>
      <c r="J1599" s="359"/>
      <c r="K1599" s="359"/>
      <c r="L1599" s="361"/>
      <c r="M1599" s="359"/>
      <c r="N1599" s="359"/>
      <c r="O1599" s="359"/>
      <c r="P1599" s="359"/>
      <c r="Q1599" s="359"/>
      <c r="R1599" s="359"/>
      <c r="S1599" s="359"/>
      <c r="T1599" s="359"/>
      <c r="U1599" s="359"/>
    </row>
    <row r="1600" ht="15.75" customHeight="1">
      <c r="A1600" s="226"/>
      <c r="B1600" s="359"/>
      <c r="C1600" s="359"/>
      <c r="D1600" s="359"/>
      <c r="E1600" s="359"/>
      <c r="F1600" s="360"/>
      <c r="G1600" s="360"/>
      <c r="H1600" s="359"/>
      <c r="I1600" s="359"/>
      <c r="J1600" s="359"/>
      <c r="K1600" s="359"/>
      <c r="L1600" s="361"/>
      <c r="M1600" s="359"/>
      <c r="N1600" s="359"/>
      <c r="O1600" s="359"/>
      <c r="P1600" s="359"/>
      <c r="Q1600" s="359"/>
      <c r="R1600" s="359"/>
      <c r="S1600" s="359"/>
      <c r="T1600" s="359"/>
      <c r="U1600" s="359"/>
    </row>
    <row r="1601" ht="15.75" customHeight="1">
      <c r="A1601" s="226"/>
      <c r="B1601" s="359"/>
      <c r="C1601" s="359"/>
      <c r="D1601" s="359"/>
      <c r="E1601" s="359"/>
      <c r="F1601" s="360"/>
      <c r="G1601" s="360"/>
      <c r="H1601" s="359"/>
      <c r="I1601" s="359"/>
      <c r="J1601" s="359"/>
      <c r="K1601" s="359"/>
      <c r="L1601" s="361"/>
      <c r="M1601" s="359"/>
      <c r="N1601" s="359"/>
      <c r="O1601" s="359"/>
      <c r="P1601" s="359"/>
      <c r="Q1601" s="359"/>
      <c r="R1601" s="359"/>
      <c r="S1601" s="359"/>
      <c r="T1601" s="359"/>
      <c r="U1601" s="359"/>
    </row>
    <row r="1602" ht="15.75" customHeight="1">
      <c r="A1602" s="226"/>
      <c r="B1602" s="359"/>
      <c r="C1602" s="359"/>
      <c r="D1602" s="359"/>
      <c r="E1602" s="359"/>
      <c r="F1602" s="360"/>
      <c r="G1602" s="360"/>
      <c r="H1602" s="359"/>
      <c r="I1602" s="359"/>
      <c r="J1602" s="359"/>
      <c r="K1602" s="359"/>
      <c r="L1602" s="361"/>
      <c r="M1602" s="359"/>
      <c r="N1602" s="359"/>
      <c r="O1602" s="359"/>
      <c r="P1602" s="359"/>
      <c r="Q1602" s="359"/>
      <c r="R1602" s="359"/>
      <c r="S1602" s="359"/>
      <c r="T1602" s="359"/>
      <c r="U1602" s="359"/>
    </row>
    <row r="1603" ht="15.75" customHeight="1">
      <c r="A1603" s="226"/>
      <c r="B1603" s="359"/>
      <c r="C1603" s="359"/>
      <c r="D1603" s="359"/>
      <c r="E1603" s="359"/>
      <c r="F1603" s="360"/>
      <c r="G1603" s="360"/>
      <c r="H1603" s="359"/>
      <c r="I1603" s="359"/>
      <c r="J1603" s="359"/>
      <c r="K1603" s="359"/>
      <c r="L1603" s="361"/>
      <c r="M1603" s="359"/>
      <c r="N1603" s="359"/>
      <c r="O1603" s="359"/>
      <c r="P1603" s="359"/>
      <c r="Q1603" s="359"/>
      <c r="R1603" s="359"/>
      <c r="S1603" s="359"/>
      <c r="T1603" s="359"/>
      <c r="U1603" s="359"/>
    </row>
    <row r="1604" ht="15.75" customHeight="1">
      <c r="A1604" s="226"/>
      <c r="B1604" s="359"/>
      <c r="C1604" s="359"/>
      <c r="D1604" s="359"/>
      <c r="E1604" s="359"/>
      <c r="F1604" s="360"/>
      <c r="G1604" s="360"/>
      <c r="H1604" s="359"/>
      <c r="I1604" s="359"/>
      <c r="J1604" s="359"/>
      <c r="K1604" s="359"/>
      <c r="L1604" s="361"/>
      <c r="M1604" s="359"/>
      <c r="N1604" s="359"/>
      <c r="O1604" s="359"/>
      <c r="P1604" s="359"/>
      <c r="Q1604" s="359"/>
      <c r="R1604" s="359"/>
      <c r="S1604" s="359"/>
      <c r="T1604" s="359"/>
      <c r="U1604" s="359"/>
    </row>
    <row r="1605" ht="15.75" customHeight="1">
      <c r="A1605" s="226"/>
      <c r="B1605" s="359"/>
      <c r="C1605" s="359"/>
      <c r="D1605" s="359"/>
      <c r="E1605" s="359"/>
      <c r="F1605" s="360"/>
      <c r="G1605" s="360"/>
      <c r="H1605" s="359"/>
      <c r="I1605" s="359"/>
      <c r="J1605" s="359"/>
      <c r="K1605" s="359"/>
      <c r="L1605" s="361"/>
      <c r="M1605" s="359"/>
      <c r="N1605" s="359"/>
      <c r="O1605" s="359"/>
      <c r="P1605" s="359"/>
      <c r="Q1605" s="359"/>
      <c r="R1605" s="359"/>
      <c r="S1605" s="359"/>
      <c r="T1605" s="359"/>
      <c r="U1605" s="359"/>
    </row>
    <row r="1606" ht="15.75" customHeight="1">
      <c r="A1606" s="226"/>
      <c r="B1606" s="359"/>
      <c r="C1606" s="359"/>
      <c r="D1606" s="359"/>
      <c r="E1606" s="359"/>
      <c r="F1606" s="360"/>
      <c r="G1606" s="360"/>
      <c r="H1606" s="359"/>
      <c r="I1606" s="359"/>
      <c r="J1606" s="359"/>
      <c r="K1606" s="359"/>
      <c r="L1606" s="361"/>
      <c r="M1606" s="359"/>
      <c r="N1606" s="359"/>
      <c r="O1606" s="359"/>
      <c r="P1606" s="359"/>
      <c r="Q1606" s="359"/>
      <c r="R1606" s="359"/>
      <c r="S1606" s="359"/>
      <c r="T1606" s="359"/>
      <c r="U1606" s="359"/>
    </row>
    <row r="1607" ht="15.75" customHeight="1">
      <c r="A1607" s="226"/>
      <c r="B1607" s="359"/>
      <c r="C1607" s="359"/>
      <c r="D1607" s="359"/>
      <c r="E1607" s="359"/>
      <c r="F1607" s="360"/>
      <c r="G1607" s="360"/>
      <c r="H1607" s="359"/>
      <c r="I1607" s="359"/>
      <c r="J1607" s="359"/>
      <c r="K1607" s="359"/>
      <c r="L1607" s="361"/>
      <c r="M1607" s="359"/>
      <c r="N1607" s="359"/>
      <c r="O1607" s="359"/>
      <c r="P1607" s="359"/>
      <c r="Q1607" s="359"/>
      <c r="R1607" s="359"/>
      <c r="S1607" s="359"/>
      <c r="T1607" s="359"/>
      <c r="U1607" s="359"/>
    </row>
    <row r="1608" ht="15.75" customHeight="1">
      <c r="A1608" s="226"/>
      <c r="B1608" s="359"/>
      <c r="C1608" s="359"/>
      <c r="D1608" s="359"/>
      <c r="E1608" s="359"/>
      <c r="F1608" s="360"/>
      <c r="G1608" s="360"/>
      <c r="H1608" s="359"/>
      <c r="I1608" s="359"/>
      <c r="J1608" s="359"/>
      <c r="K1608" s="359"/>
      <c r="L1608" s="361"/>
      <c r="M1608" s="359"/>
      <c r="N1608" s="359"/>
      <c r="O1608" s="359"/>
      <c r="P1608" s="359"/>
      <c r="Q1608" s="359"/>
      <c r="R1608" s="359"/>
      <c r="S1608" s="359"/>
      <c r="T1608" s="359"/>
      <c r="U1608" s="359"/>
    </row>
    <row r="1609" ht="15.75" customHeight="1">
      <c r="A1609" s="226"/>
      <c r="B1609" s="359"/>
      <c r="C1609" s="359"/>
      <c r="D1609" s="359"/>
      <c r="E1609" s="359"/>
      <c r="F1609" s="360"/>
      <c r="G1609" s="360"/>
      <c r="H1609" s="359"/>
      <c r="I1609" s="359"/>
      <c r="J1609" s="359"/>
      <c r="K1609" s="359"/>
      <c r="L1609" s="361"/>
      <c r="M1609" s="359"/>
      <c r="N1609" s="359"/>
      <c r="O1609" s="359"/>
      <c r="P1609" s="359"/>
      <c r="Q1609" s="359"/>
      <c r="R1609" s="359"/>
      <c r="S1609" s="359"/>
      <c r="T1609" s="359"/>
      <c r="U1609" s="359"/>
    </row>
    <row r="1610" ht="15.75" customHeight="1">
      <c r="A1610" s="226"/>
      <c r="B1610" s="359"/>
      <c r="C1610" s="359"/>
      <c r="D1610" s="359"/>
      <c r="E1610" s="359"/>
      <c r="F1610" s="360"/>
      <c r="G1610" s="360"/>
      <c r="H1610" s="359"/>
      <c r="I1610" s="359"/>
      <c r="J1610" s="359"/>
      <c r="K1610" s="359"/>
      <c r="L1610" s="361"/>
      <c r="M1610" s="359"/>
      <c r="N1610" s="359"/>
      <c r="O1610" s="359"/>
      <c r="P1610" s="359"/>
      <c r="Q1610" s="359"/>
      <c r="R1610" s="359"/>
      <c r="S1610" s="359"/>
      <c r="T1610" s="359"/>
      <c r="U1610" s="359"/>
    </row>
    <row r="1611" ht="15.75" customHeight="1">
      <c r="A1611" s="226"/>
      <c r="B1611" s="359"/>
      <c r="C1611" s="359"/>
      <c r="D1611" s="359"/>
      <c r="E1611" s="359"/>
      <c r="F1611" s="360"/>
      <c r="G1611" s="360"/>
      <c r="H1611" s="359"/>
      <c r="I1611" s="359"/>
      <c r="J1611" s="359"/>
      <c r="K1611" s="359"/>
      <c r="L1611" s="361"/>
      <c r="M1611" s="359"/>
      <c r="N1611" s="359"/>
      <c r="O1611" s="359"/>
      <c r="P1611" s="359"/>
      <c r="Q1611" s="359"/>
      <c r="R1611" s="359"/>
      <c r="S1611" s="359"/>
      <c r="T1611" s="359"/>
      <c r="U1611" s="359"/>
    </row>
    <row r="1612" ht="15.75" customHeight="1">
      <c r="A1612" s="226"/>
      <c r="B1612" s="359"/>
      <c r="C1612" s="359"/>
      <c r="D1612" s="359"/>
      <c r="E1612" s="359"/>
      <c r="F1612" s="360"/>
      <c r="G1612" s="360"/>
      <c r="H1612" s="359"/>
      <c r="I1612" s="359"/>
      <c r="J1612" s="359"/>
      <c r="K1612" s="359"/>
      <c r="L1612" s="361"/>
      <c r="M1612" s="359"/>
      <c r="N1612" s="359"/>
      <c r="O1612" s="359"/>
      <c r="P1612" s="359"/>
      <c r="Q1612" s="359"/>
      <c r="R1612" s="359"/>
      <c r="S1612" s="359"/>
      <c r="T1612" s="359"/>
      <c r="U1612" s="359"/>
    </row>
    <row r="1613" ht="15.75" customHeight="1">
      <c r="A1613" s="226"/>
      <c r="B1613" s="359"/>
      <c r="C1613" s="359"/>
      <c r="D1613" s="359"/>
      <c r="E1613" s="359"/>
      <c r="F1613" s="360"/>
      <c r="G1613" s="360"/>
      <c r="H1613" s="359"/>
      <c r="I1613" s="359"/>
      <c r="J1613" s="359"/>
      <c r="K1613" s="359"/>
      <c r="L1613" s="361"/>
      <c r="M1613" s="359"/>
      <c r="N1613" s="359"/>
      <c r="O1613" s="359"/>
      <c r="P1613" s="359"/>
      <c r="Q1613" s="359"/>
      <c r="R1613" s="359"/>
      <c r="S1613" s="359"/>
      <c r="T1613" s="359"/>
      <c r="U1613" s="359"/>
    </row>
    <row r="1614" ht="15.75" customHeight="1">
      <c r="A1614" s="226"/>
      <c r="B1614" s="359"/>
      <c r="C1614" s="359"/>
      <c r="D1614" s="359"/>
      <c r="E1614" s="359"/>
      <c r="F1614" s="360"/>
      <c r="G1614" s="360"/>
      <c r="H1614" s="359"/>
      <c r="I1614" s="359"/>
      <c r="J1614" s="359"/>
      <c r="K1614" s="359"/>
      <c r="L1614" s="361"/>
      <c r="M1614" s="359"/>
      <c r="N1614" s="359"/>
      <c r="O1614" s="359"/>
      <c r="P1614" s="359"/>
      <c r="Q1614" s="359"/>
      <c r="R1614" s="359"/>
      <c r="S1614" s="359"/>
      <c r="T1614" s="359"/>
      <c r="U1614" s="359"/>
    </row>
    <row r="1615" ht="15.75" customHeight="1">
      <c r="A1615" s="226"/>
      <c r="B1615" s="359"/>
      <c r="C1615" s="359"/>
      <c r="D1615" s="359"/>
      <c r="E1615" s="359"/>
      <c r="F1615" s="360"/>
      <c r="G1615" s="360"/>
      <c r="H1615" s="359"/>
      <c r="I1615" s="359"/>
      <c r="J1615" s="359"/>
      <c r="K1615" s="359"/>
      <c r="L1615" s="361"/>
      <c r="M1615" s="359"/>
      <c r="N1615" s="359"/>
      <c r="O1615" s="359"/>
      <c r="P1615" s="359"/>
      <c r="Q1615" s="359"/>
      <c r="R1615" s="359"/>
      <c r="S1615" s="359"/>
      <c r="T1615" s="359"/>
      <c r="U1615" s="359"/>
    </row>
    <row r="1616" ht="15.75" customHeight="1">
      <c r="A1616" s="226"/>
      <c r="B1616" s="359"/>
      <c r="C1616" s="359"/>
      <c r="D1616" s="359"/>
      <c r="E1616" s="359"/>
      <c r="F1616" s="360"/>
      <c r="G1616" s="360"/>
      <c r="H1616" s="359"/>
      <c r="I1616" s="359"/>
      <c r="J1616" s="359"/>
      <c r="K1616" s="359"/>
      <c r="L1616" s="361"/>
      <c r="M1616" s="359"/>
      <c r="N1616" s="359"/>
      <c r="O1616" s="359"/>
      <c r="P1616" s="359"/>
      <c r="Q1616" s="359"/>
      <c r="R1616" s="359"/>
      <c r="S1616" s="359"/>
      <c r="T1616" s="359"/>
      <c r="U1616" s="359"/>
    </row>
    <row r="1617" ht="15.75" customHeight="1">
      <c r="A1617" s="226"/>
      <c r="B1617" s="359"/>
      <c r="C1617" s="359"/>
      <c r="D1617" s="359"/>
      <c r="E1617" s="359"/>
      <c r="F1617" s="360"/>
      <c r="G1617" s="360"/>
      <c r="H1617" s="359"/>
      <c r="I1617" s="359"/>
      <c r="J1617" s="359"/>
      <c r="K1617" s="359"/>
      <c r="L1617" s="361"/>
      <c r="M1617" s="359"/>
      <c r="N1617" s="359"/>
      <c r="O1617" s="359"/>
      <c r="P1617" s="359"/>
      <c r="Q1617" s="359"/>
      <c r="R1617" s="359"/>
      <c r="S1617" s="359"/>
      <c r="T1617" s="359"/>
      <c r="U1617" s="359"/>
    </row>
    <row r="1618" ht="15.75" customHeight="1">
      <c r="A1618" s="226"/>
      <c r="B1618" s="359"/>
      <c r="C1618" s="359"/>
      <c r="D1618" s="359"/>
      <c r="E1618" s="359"/>
      <c r="F1618" s="360"/>
      <c r="G1618" s="360"/>
      <c r="H1618" s="359"/>
      <c r="I1618" s="359"/>
      <c r="J1618" s="359"/>
      <c r="K1618" s="359"/>
      <c r="L1618" s="361"/>
      <c r="M1618" s="359"/>
      <c r="N1618" s="359"/>
      <c r="O1618" s="359"/>
      <c r="P1618" s="359"/>
      <c r="Q1618" s="359"/>
      <c r="R1618" s="359"/>
      <c r="S1618" s="359"/>
      <c r="T1618" s="359"/>
      <c r="U1618" s="359"/>
    </row>
    <row r="1619" ht="15.75" customHeight="1">
      <c r="A1619" s="226"/>
      <c r="B1619" s="359"/>
      <c r="C1619" s="359"/>
      <c r="D1619" s="359"/>
      <c r="E1619" s="359"/>
      <c r="F1619" s="360"/>
      <c r="G1619" s="360"/>
      <c r="H1619" s="359"/>
      <c r="I1619" s="359"/>
      <c r="J1619" s="359"/>
      <c r="K1619" s="359"/>
      <c r="L1619" s="361"/>
      <c r="M1619" s="359"/>
      <c r="N1619" s="359"/>
      <c r="O1619" s="359"/>
      <c r="P1619" s="359"/>
      <c r="Q1619" s="359"/>
      <c r="R1619" s="359"/>
      <c r="S1619" s="359"/>
      <c r="T1619" s="359"/>
      <c r="U1619" s="359"/>
    </row>
    <row r="1620" ht="15.75" customHeight="1">
      <c r="A1620" s="226"/>
      <c r="B1620" s="359"/>
      <c r="C1620" s="359"/>
      <c r="D1620" s="359"/>
      <c r="E1620" s="359"/>
      <c r="F1620" s="360"/>
      <c r="G1620" s="360"/>
      <c r="H1620" s="359"/>
      <c r="I1620" s="359"/>
      <c r="J1620" s="359"/>
      <c r="K1620" s="359"/>
      <c r="L1620" s="361"/>
      <c r="M1620" s="359"/>
      <c r="N1620" s="359"/>
      <c r="O1620" s="359"/>
      <c r="P1620" s="359"/>
      <c r="Q1620" s="359"/>
      <c r="R1620" s="359"/>
      <c r="S1620" s="359"/>
      <c r="T1620" s="359"/>
      <c r="U1620" s="359"/>
    </row>
    <row r="1621" ht="15.75" customHeight="1">
      <c r="A1621" s="226"/>
      <c r="B1621" s="359"/>
      <c r="C1621" s="359"/>
      <c r="D1621" s="359"/>
      <c r="E1621" s="359"/>
      <c r="F1621" s="360"/>
      <c r="G1621" s="360"/>
      <c r="H1621" s="359"/>
      <c r="I1621" s="359"/>
      <c r="J1621" s="359"/>
      <c r="K1621" s="359"/>
      <c r="L1621" s="361"/>
      <c r="M1621" s="359"/>
      <c r="N1621" s="359"/>
      <c r="O1621" s="359"/>
      <c r="P1621" s="359"/>
      <c r="Q1621" s="359"/>
      <c r="R1621" s="359"/>
      <c r="S1621" s="359"/>
      <c r="T1621" s="359"/>
      <c r="U1621" s="359"/>
    </row>
    <row r="1622" ht="15.75" customHeight="1">
      <c r="A1622" s="226"/>
      <c r="B1622" s="359"/>
      <c r="C1622" s="359"/>
      <c r="D1622" s="359"/>
      <c r="E1622" s="359"/>
      <c r="F1622" s="360"/>
      <c r="G1622" s="360"/>
      <c r="H1622" s="359"/>
      <c r="I1622" s="359"/>
      <c r="J1622" s="359"/>
      <c r="K1622" s="359"/>
      <c r="L1622" s="361"/>
      <c r="M1622" s="359"/>
      <c r="N1622" s="359"/>
      <c r="O1622" s="359"/>
      <c r="P1622" s="359"/>
      <c r="Q1622" s="359"/>
      <c r="R1622" s="359"/>
      <c r="S1622" s="359"/>
      <c r="T1622" s="359"/>
      <c r="U1622" s="359"/>
    </row>
    <row r="1623" ht="15.75" customHeight="1">
      <c r="A1623" s="226"/>
      <c r="B1623" s="359"/>
      <c r="C1623" s="359"/>
      <c r="D1623" s="359"/>
      <c r="E1623" s="359"/>
      <c r="F1623" s="360"/>
      <c r="G1623" s="360"/>
      <c r="H1623" s="359"/>
      <c r="I1623" s="359"/>
      <c r="J1623" s="359"/>
      <c r="K1623" s="359"/>
      <c r="L1623" s="361"/>
      <c r="M1623" s="359"/>
      <c r="N1623" s="359"/>
      <c r="O1623" s="359"/>
      <c r="P1623" s="359"/>
      <c r="Q1623" s="359"/>
      <c r="R1623" s="359"/>
      <c r="S1623" s="359"/>
      <c r="T1623" s="359"/>
      <c r="U1623" s="359"/>
    </row>
    <row r="1624" ht="15.75" customHeight="1">
      <c r="A1624" s="226"/>
      <c r="B1624" s="359"/>
      <c r="C1624" s="359"/>
      <c r="D1624" s="359"/>
      <c r="E1624" s="359"/>
      <c r="F1624" s="360"/>
      <c r="G1624" s="360"/>
      <c r="H1624" s="359"/>
      <c r="I1624" s="359"/>
      <c r="J1624" s="359"/>
      <c r="K1624" s="359"/>
      <c r="L1624" s="361"/>
      <c r="M1624" s="359"/>
      <c r="N1624" s="359"/>
      <c r="O1624" s="359"/>
      <c r="P1624" s="359"/>
      <c r="Q1624" s="359"/>
      <c r="R1624" s="359"/>
      <c r="S1624" s="359"/>
      <c r="T1624" s="359"/>
      <c r="U1624" s="359"/>
    </row>
    <row r="1625" ht="15.75" customHeight="1">
      <c r="A1625" s="226"/>
      <c r="B1625" s="359"/>
      <c r="C1625" s="359"/>
      <c r="D1625" s="359"/>
      <c r="E1625" s="359"/>
      <c r="F1625" s="360"/>
      <c r="G1625" s="360"/>
      <c r="H1625" s="359"/>
      <c r="I1625" s="359"/>
      <c r="J1625" s="359"/>
      <c r="K1625" s="359"/>
      <c r="L1625" s="361"/>
      <c r="M1625" s="359"/>
      <c r="N1625" s="359"/>
      <c r="O1625" s="359"/>
      <c r="P1625" s="359"/>
      <c r="Q1625" s="359"/>
      <c r="R1625" s="359"/>
      <c r="S1625" s="359"/>
      <c r="T1625" s="359"/>
      <c r="U1625" s="359"/>
    </row>
    <row r="1626" ht="15.75" customHeight="1">
      <c r="A1626" s="226"/>
      <c r="B1626" s="359"/>
      <c r="C1626" s="359"/>
      <c r="D1626" s="359"/>
      <c r="E1626" s="359"/>
      <c r="F1626" s="360"/>
      <c r="G1626" s="360"/>
      <c r="H1626" s="359"/>
      <c r="I1626" s="359"/>
      <c r="J1626" s="359"/>
      <c r="K1626" s="359"/>
      <c r="L1626" s="361"/>
      <c r="M1626" s="359"/>
      <c r="N1626" s="359"/>
      <c r="O1626" s="359"/>
      <c r="P1626" s="359"/>
      <c r="Q1626" s="359"/>
      <c r="R1626" s="359"/>
      <c r="S1626" s="359"/>
      <c r="T1626" s="359"/>
      <c r="U1626" s="359"/>
    </row>
    <row r="1627" ht="15.75" customHeight="1">
      <c r="A1627" s="226"/>
      <c r="B1627" s="359"/>
      <c r="C1627" s="359"/>
      <c r="D1627" s="359"/>
      <c r="E1627" s="359"/>
      <c r="F1627" s="360"/>
      <c r="G1627" s="360"/>
      <c r="H1627" s="359"/>
      <c r="I1627" s="359"/>
      <c r="J1627" s="359"/>
      <c r="K1627" s="359"/>
      <c r="L1627" s="361"/>
      <c r="M1627" s="359"/>
      <c r="N1627" s="359"/>
      <c r="O1627" s="359"/>
      <c r="P1627" s="359"/>
      <c r="Q1627" s="359"/>
      <c r="R1627" s="359"/>
      <c r="S1627" s="359"/>
      <c r="T1627" s="359"/>
      <c r="U1627" s="359"/>
    </row>
    <row r="1628" ht="15.75" customHeight="1">
      <c r="A1628" s="226"/>
      <c r="B1628" s="359"/>
      <c r="C1628" s="359"/>
      <c r="D1628" s="359"/>
      <c r="E1628" s="359"/>
      <c r="F1628" s="360"/>
      <c r="G1628" s="360"/>
      <c r="H1628" s="359"/>
      <c r="I1628" s="359"/>
      <c r="J1628" s="359"/>
      <c r="K1628" s="359"/>
      <c r="L1628" s="361"/>
      <c r="M1628" s="359"/>
      <c r="N1628" s="359"/>
      <c r="O1628" s="359"/>
      <c r="P1628" s="359"/>
      <c r="Q1628" s="359"/>
      <c r="R1628" s="359"/>
      <c r="S1628" s="359"/>
      <c r="T1628" s="359"/>
      <c r="U1628" s="359"/>
    </row>
    <row r="1629" ht="15.75" customHeight="1">
      <c r="A1629" s="226"/>
      <c r="B1629" s="359"/>
      <c r="C1629" s="359"/>
      <c r="D1629" s="359"/>
      <c r="E1629" s="359"/>
      <c r="F1629" s="360"/>
      <c r="G1629" s="360"/>
      <c r="H1629" s="359"/>
      <c r="I1629" s="359"/>
      <c r="J1629" s="359"/>
      <c r="K1629" s="359"/>
      <c r="L1629" s="361"/>
      <c r="M1629" s="359"/>
      <c r="N1629" s="359"/>
      <c r="O1629" s="359"/>
      <c r="P1629" s="359"/>
      <c r="Q1629" s="359"/>
      <c r="R1629" s="359"/>
      <c r="S1629" s="359"/>
      <c r="T1629" s="359"/>
      <c r="U1629" s="359"/>
    </row>
    <row r="1630" ht="15.75" customHeight="1">
      <c r="A1630" s="226"/>
      <c r="B1630" s="359"/>
      <c r="C1630" s="359"/>
      <c r="D1630" s="359"/>
      <c r="E1630" s="359"/>
      <c r="F1630" s="360"/>
      <c r="G1630" s="360"/>
      <c r="H1630" s="359"/>
      <c r="I1630" s="359"/>
      <c r="J1630" s="359"/>
      <c r="K1630" s="359"/>
      <c r="L1630" s="361"/>
      <c r="M1630" s="359"/>
      <c r="N1630" s="359"/>
      <c r="O1630" s="359"/>
      <c r="P1630" s="359"/>
      <c r="Q1630" s="359"/>
      <c r="R1630" s="359"/>
      <c r="S1630" s="359"/>
      <c r="T1630" s="359"/>
      <c r="U1630" s="359"/>
    </row>
    <row r="1631" ht="15.75" customHeight="1">
      <c r="A1631" s="226"/>
      <c r="B1631" s="359"/>
      <c r="C1631" s="359"/>
      <c r="D1631" s="359"/>
      <c r="E1631" s="359"/>
      <c r="F1631" s="360"/>
      <c r="G1631" s="360"/>
      <c r="H1631" s="359"/>
      <c r="I1631" s="359"/>
      <c r="J1631" s="359"/>
      <c r="K1631" s="359"/>
      <c r="L1631" s="361"/>
      <c r="M1631" s="359"/>
      <c r="N1631" s="359"/>
      <c r="O1631" s="359"/>
      <c r="P1631" s="359"/>
      <c r="Q1631" s="359"/>
      <c r="R1631" s="359"/>
      <c r="S1631" s="359"/>
      <c r="T1631" s="359"/>
      <c r="U1631" s="359"/>
    </row>
    <row r="1632" ht="15.75" customHeight="1">
      <c r="A1632" s="226"/>
      <c r="B1632" s="359"/>
      <c r="C1632" s="359"/>
      <c r="D1632" s="359"/>
      <c r="E1632" s="359"/>
      <c r="F1632" s="360"/>
      <c r="G1632" s="360"/>
      <c r="H1632" s="359"/>
      <c r="I1632" s="359"/>
      <c r="J1632" s="359"/>
      <c r="K1632" s="359"/>
      <c r="L1632" s="361"/>
      <c r="M1632" s="359"/>
      <c r="N1632" s="359"/>
      <c r="O1632" s="359"/>
      <c r="P1632" s="359"/>
      <c r="Q1632" s="359"/>
      <c r="R1632" s="359"/>
      <c r="S1632" s="359"/>
      <c r="T1632" s="359"/>
      <c r="U1632" s="359"/>
    </row>
    <row r="1633" ht="15.75" customHeight="1">
      <c r="A1633" s="226"/>
      <c r="B1633" s="359"/>
      <c r="C1633" s="359"/>
      <c r="D1633" s="359"/>
      <c r="E1633" s="359"/>
      <c r="F1633" s="360"/>
      <c r="G1633" s="360"/>
      <c r="H1633" s="359"/>
      <c r="I1633" s="359"/>
      <c r="J1633" s="359"/>
      <c r="K1633" s="359"/>
      <c r="L1633" s="361"/>
      <c r="M1633" s="359"/>
      <c r="N1633" s="359"/>
      <c r="O1633" s="359"/>
      <c r="P1633" s="359"/>
      <c r="Q1633" s="359"/>
      <c r="R1633" s="359"/>
      <c r="S1633" s="359"/>
      <c r="T1633" s="359"/>
      <c r="U1633" s="359"/>
    </row>
    <row r="1634" ht="15.75" customHeight="1">
      <c r="A1634" s="226"/>
      <c r="B1634" s="359"/>
      <c r="C1634" s="359"/>
      <c r="D1634" s="359"/>
      <c r="E1634" s="359"/>
      <c r="F1634" s="360"/>
      <c r="G1634" s="360"/>
      <c r="H1634" s="359"/>
      <c r="I1634" s="359"/>
      <c r="J1634" s="359"/>
      <c r="K1634" s="359"/>
      <c r="L1634" s="361"/>
      <c r="M1634" s="359"/>
      <c r="N1634" s="359"/>
      <c r="O1634" s="359"/>
      <c r="P1634" s="359"/>
      <c r="Q1634" s="359"/>
      <c r="R1634" s="359"/>
      <c r="S1634" s="359"/>
      <c r="T1634" s="359"/>
      <c r="U1634" s="359"/>
    </row>
    <row r="1635" ht="15.75" customHeight="1">
      <c r="A1635" s="226"/>
      <c r="B1635" s="359"/>
      <c r="C1635" s="359"/>
      <c r="D1635" s="359"/>
      <c r="E1635" s="359"/>
      <c r="F1635" s="360"/>
      <c r="G1635" s="360"/>
      <c r="H1635" s="359"/>
      <c r="I1635" s="359"/>
      <c r="J1635" s="359"/>
      <c r="K1635" s="359"/>
      <c r="L1635" s="361"/>
      <c r="M1635" s="359"/>
      <c r="N1635" s="359"/>
      <c r="O1635" s="359"/>
      <c r="P1635" s="359"/>
      <c r="Q1635" s="359"/>
      <c r="R1635" s="359"/>
      <c r="S1635" s="359"/>
      <c r="T1635" s="359"/>
      <c r="U1635" s="359"/>
    </row>
    <row r="1636" ht="15.75" customHeight="1">
      <c r="A1636" s="226"/>
      <c r="B1636" s="359"/>
      <c r="C1636" s="359"/>
      <c r="D1636" s="359"/>
      <c r="E1636" s="359"/>
      <c r="F1636" s="360"/>
      <c r="G1636" s="360"/>
      <c r="H1636" s="359"/>
      <c r="I1636" s="359"/>
      <c r="J1636" s="359"/>
      <c r="K1636" s="359"/>
      <c r="L1636" s="361"/>
      <c r="M1636" s="359"/>
      <c r="N1636" s="359"/>
      <c r="O1636" s="359"/>
      <c r="P1636" s="359"/>
      <c r="Q1636" s="359"/>
      <c r="R1636" s="359"/>
      <c r="S1636" s="359"/>
      <c r="T1636" s="359"/>
      <c r="U1636" s="359"/>
    </row>
    <row r="1637" ht="15.75" customHeight="1">
      <c r="A1637" s="226"/>
      <c r="B1637" s="359"/>
      <c r="C1637" s="359"/>
      <c r="D1637" s="359"/>
      <c r="E1637" s="359"/>
      <c r="F1637" s="360"/>
      <c r="G1637" s="360"/>
      <c r="H1637" s="359"/>
      <c r="I1637" s="359"/>
      <c r="J1637" s="359"/>
      <c r="K1637" s="359"/>
      <c r="L1637" s="361"/>
      <c r="M1637" s="359"/>
      <c r="N1637" s="359"/>
      <c r="O1637" s="359"/>
      <c r="P1637" s="359"/>
      <c r="Q1637" s="359"/>
      <c r="R1637" s="359"/>
      <c r="S1637" s="359"/>
      <c r="T1637" s="359"/>
      <c r="U1637" s="359"/>
    </row>
    <row r="1638" ht="15.75" customHeight="1">
      <c r="A1638" s="226"/>
      <c r="B1638" s="359"/>
      <c r="C1638" s="359"/>
      <c r="D1638" s="359"/>
      <c r="E1638" s="359"/>
      <c r="F1638" s="360"/>
      <c r="G1638" s="360"/>
      <c r="H1638" s="359"/>
      <c r="I1638" s="359"/>
      <c r="J1638" s="359"/>
      <c r="K1638" s="359"/>
      <c r="L1638" s="361"/>
      <c r="M1638" s="359"/>
      <c r="N1638" s="359"/>
      <c r="O1638" s="359"/>
      <c r="P1638" s="359"/>
      <c r="Q1638" s="359"/>
      <c r="R1638" s="359"/>
      <c r="S1638" s="359"/>
      <c r="T1638" s="359"/>
      <c r="U1638" s="359"/>
    </row>
    <row r="1639" ht="15.75" customHeight="1">
      <c r="A1639" s="226"/>
      <c r="B1639" s="359"/>
      <c r="C1639" s="359"/>
      <c r="D1639" s="359"/>
      <c r="E1639" s="359"/>
      <c r="F1639" s="360"/>
      <c r="G1639" s="360"/>
      <c r="H1639" s="359"/>
      <c r="I1639" s="359"/>
      <c r="J1639" s="359"/>
      <c r="K1639" s="359"/>
      <c r="L1639" s="361"/>
      <c r="M1639" s="359"/>
      <c r="N1639" s="359"/>
      <c r="O1639" s="359"/>
      <c r="P1639" s="359"/>
      <c r="Q1639" s="359"/>
      <c r="R1639" s="359"/>
      <c r="S1639" s="359"/>
      <c r="T1639" s="359"/>
      <c r="U1639" s="359"/>
    </row>
    <row r="1640" ht="15.75" customHeight="1">
      <c r="A1640" s="226"/>
      <c r="B1640" s="359"/>
      <c r="C1640" s="359"/>
      <c r="D1640" s="359"/>
      <c r="E1640" s="359"/>
      <c r="F1640" s="360"/>
      <c r="G1640" s="360"/>
      <c r="H1640" s="359"/>
      <c r="I1640" s="359"/>
      <c r="J1640" s="359"/>
      <c r="K1640" s="359"/>
      <c r="L1640" s="361"/>
      <c r="M1640" s="359"/>
      <c r="N1640" s="359"/>
      <c r="O1640" s="359"/>
      <c r="P1640" s="359"/>
      <c r="Q1640" s="359"/>
      <c r="R1640" s="359"/>
      <c r="S1640" s="359"/>
      <c r="T1640" s="359"/>
      <c r="U1640" s="359"/>
    </row>
    <row r="1641" ht="15.75" customHeight="1">
      <c r="A1641" s="226"/>
      <c r="B1641" s="359"/>
      <c r="C1641" s="359"/>
      <c r="D1641" s="359"/>
      <c r="E1641" s="359"/>
      <c r="F1641" s="360"/>
      <c r="G1641" s="360"/>
      <c r="H1641" s="359"/>
      <c r="I1641" s="359"/>
      <c r="J1641" s="359"/>
      <c r="K1641" s="359"/>
      <c r="L1641" s="361"/>
      <c r="M1641" s="359"/>
      <c r="N1641" s="359"/>
      <c r="O1641" s="359"/>
      <c r="P1641" s="359"/>
      <c r="Q1641" s="359"/>
      <c r="R1641" s="359"/>
      <c r="S1641" s="359"/>
      <c r="T1641" s="359"/>
      <c r="U1641" s="359"/>
    </row>
    <row r="1642" ht="15.75" customHeight="1">
      <c r="A1642" s="226"/>
      <c r="B1642" s="359"/>
      <c r="C1642" s="359"/>
      <c r="D1642" s="359"/>
      <c r="E1642" s="359"/>
      <c r="F1642" s="360"/>
      <c r="G1642" s="360"/>
      <c r="H1642" s="359"/>
      <c r="I1642" s="359"/>
      <c r="J1642" s="359"/>
      <c r="K1642" s="359"/>
      <c r="L1642" s="361"/>
      <c r="M1642" s="359"/>
      <c r="N1642" s="359"/>
      <c r="O1642" s="359"/>
      <c r="P1642" s="359"/>
      <c r="Q1642" s="359"/>
      <c r="R1642" s="359"/>
      <c r="S1642" s="359"/>
      <c r="T1642" s="359"/>
      <c r="U1642" s="359"/>
    </row>
    <row r="1643" ht="15.75" customHeight="1">
      <c r="A1643" s="226"/>
      <c r="B1643" s="359"/>
      <c r="C1643" s="359"/>
      <c r="D1643" s="359"/>
      <c r="E1643" s="359"/>
      <c r="F1643" s="360"/>
      <c r="G1643" s="360"/>
      <c r="H1643" s="359"/>
      <c r="I1643" s="359"/>
      <c r="J1643" s="359"/>
      <c r="K1643" s="359"/>
      <c r="L1643" s="361"/>
      <c r="M1643" s="359"/>
      <c r="N1643" s="359"/>
      <c r="O1643" s="359"/>
      <c r="P1643" s="359"/>
      <c r="Q1643" s="359"/>
      <c r="R1643" s="359"/>
      <c r="S1643" s="359"/>
      <c r="T1643" s="359"/>
      <c r="U1643" s="359"/>
    </row>
    <row r="1644" ht="15.75" customHeight="1">
      <c r="A1644" s="226"/>
      <c r="B1644" s="359"/>
      <c r="C1644" s="359"/>
      <c r="D1644" s="359"/>
      <c r="E1644" s="359"/>
      <c r="F1644" s="360"/>
      <c r="G1644" s="360"/>
      <c r="H1644" s="359"/>
      <c r="I1644" s="359"/>
      <c r="J1644" s="359"/>
      <c r="K1644" s="359"/>
      <c r="L1644" s="361"/>
      <c r="M1644" s="359"/>
      <c r="N1644" s="359"/>
      <c r="O1644" s="359"/>
      <c r="P1644" s="359"/>
      <c r="Q1644" s="359"/>
      <c r="R1644" s="359"/>
      <c r="S1644" s="359"/>
      <c r="T1644" s="359"/>
      <c r="U1644" s="359"/>
    </row>
    <row r="1645" ht="15.75" customHeight="1">
      <c r="A1645" s="226"/>
      <c r="B1645" s="359"/>
      <c r="C1645" s="359"/>
      <c r="D1645" s="359"/>
      <c r="E1645" s="359"/>
      <c r="F1645" s="360"/>
      <c r="G1645" s="360"/>
      <c r="H1645" s="359"/>
      <c r="I1645" s="359"/>
      <c r="J1645" s="359"/>
      <c r="K1645" s="359"/>
      <c r="L1645" s="361"/>
      <c r="M1645" s="359"/>
      <c r="N1645" s="359"/>
      <c r="O1645" s="359"/>
      <c r="P1645" s="359"/>
      <c r="Q1645" s="359"/>
      <c r="R1645" s="359"/>
      <c r="S1645" s="359"/>
      <c r="T1645" s="359"/>
      <c r="U1645" s="359"/>
    </row>
    <row r="1646" ht="15.75" customHeight="1">
      <c r="A1646" s="226"/>
      <c r="B1646" s="359"/>
      <c r="C1646" s="359"/>
      <c r="D1646" s="359"/>
      <c r="E1646" s="359"/>
      <c r="F1646" s="360"/>
      <c r="G1646" s="360"/>
      <c r="H1646" s="359"/>
      <c r="I1646" s="359"/>
      <c r="J1646" s="359"/>
      <c r="K1646" s="359"/>
      <c r="L1646" s="361"/>
      <c r="M1646" s="359"/>
      <c r="N1646" s="359"/>
      <c r="O1646" s="359"/>
      <c r="P1646" s="359"/>
      <c r="Q1646" s="359"/>
      <c r="R1646" s="359"/>
      <c r="S1646" s="359"/>
      <c r="T1646" s="359"/>
      <c r="U1646" s="359"/>
    </row>
    <row r="1647" ht="15.75" customHeight="1">
      <c r="A1647" s="226"/>
      <c r="B1647" s="359"/>
      <c r="C1647" s="359"/>
      <c r="D1647" s="359"/>
      <c r="E1647" s="359"/>
      <c r="F1647" s="360"/>
      <c r="G1647" s="360"/>
      <c r="H1647" s="359"/>
      <c r="I1647" s="359"/>
      <c r="J1647" s="359"/>
      <c r="K1647" s="359"/>
      <c r="L1647" s="361"/>
      <c r="M1647" s="359"/>
      <c r="N1647" s="359"/>
      <c r="O1647" s="359"/>
      <c r="P1647" s="359"/>
      <c r="Q1647" s="359"/>
      <c r="R1647" s="359"/>
      <c r="S1647" s="359"/>
      <c r="T1647" s="359"/>
      <c r="U1647" s="359"/>
    </row>
    <row r="1648" ht="15.75" customHeight="1">
      <c r="A1648" s="226"/>
      <c r="B1648" s="359"/>
      <c r="C1648" s="359"/>
      <c r="D1648" s="359"/>
      <c r="E1648" s="359"/>
      <c r="F1648" s="360"/>
      <c r="G1648" s="360"/>
      <c r="H1648" s="359"/>
      <c r="I1648" s="359"/>
      <c r="J1648" s="359"/>
      <c r="K1648" s="359"/>
      <c r="L1648" s="361"/>
      <c r="M1648" s="359"/>
      <c r="N1648" s="359"/>
      <c r="O1648" s="359"/>
      <c r="P1648" s="359"/>
      <c r="Q1648" s="359"/>
      <c r="R1648" s="359"/>
      <c r="S1648" s="359"/>
      <c r="T1648" s="359"/>
      <c r="U1648" s="359"/>
    </row>
    <row r="1649" ht="15.75" customHeight="1">
      <c r="A1649" s="226"/>
      <c r="B1649" s="359"/>
      <c r="C1649" s="359"/>
      <c r="D1649" s="359"/>
      <c r="E1649" s="359"/>
      <c r="F1649" s="360"/>
      <c r="G1649" s="360"/>
      <c r="H1649" s="359"/>
      <c r="I1649" s="359"/>
      <c r="J1649" s="359"/>
      <c r="K1649" s="359"/>
      <c r="L1649" s="361"/>
      <c r="M1649" s="359"/>
      <c r="N1649" s="359"/>
      <c r="O1649" s="359"/>
      <c r="P1649" s="359"/>
      <c r="Q1649" s="359"/>
      <c r="R1649" s="359"/>
      <c r="S1649" s="359"/>
      <c r="T1649" s="359"/>
      <c r="U1649" s="359"/>
    </row>
    <row r="1650" ht="15.75" customHeight="1">
      <c r="A1650" s="226"/>
      <c r="B1650" s="359"/>
      <c r="C1650" s="359"/>
      <c r="D1650" s="359"/>
      <c r="E1650" s="359"/>
      <c r="F1650" s="360"/>
      <c r="G1650" s="360"/>
      <c r="H1650" s="359"/>
      <c r="I1650" s="359"/>
      <c r="J1650" s="359"/>
      <c r="K1650" s="359"/>
      <c r="L1650" s="361"/>
      <c r="M1650" s="359"/>
      <c r="N1650" s="359"/>
      <c r="O1650" s="359"/>
      <c r="P1650" s="359"/>
      <c r="Q1650" s="359"/>
      <c r="R1650" s="359"/>
      <c r="S1650" s="359"/>
      <c r="T1650" s="359"/>
      <c r="U1650" s="359"/>
    </row>
    <row r="1651" ht="15.75" customHeight="1">
      <c r="A1651" s="226"/>
      <c r="B1651" s="359"/>
      <c r="C1651" s="359"/>
      <c r="D1651" s="359"/>
      <c r="E1651" s="359"/>
      <c r="F1651" s="360"/>
      <c r="G1651" s="360"/>
      <c r="H1651" s="359"/>
      <c r="I1651" s="359"/>
      <c r="J1651" s="359"/>
      <c r="K1651" s="359"/>
      <c r="L1651" s="361"/>
      <c r="M1651" s="359"/>
      <c r="N1651" s="359"/>
      <c r="O1651" s="359"/>
      <c r="P1651" s="359"/>
      <c r="Q1651" s="359"/>
      <c r="R1651" s="359"/>
      <c r="S1651" s="359"/>
      <c r="T1651" s="359"/>
      <c r="U1651" s="359"/>
    </row>
    <row r="1652" ht="15.75" customHeight="1">
      <c r="A1652" s="226"/>
      <c r="B1652" s="359"/>
      <c r="C1652" s="359"/>
      <c r="D1652" s="359"/>
      <c r="E1652" s="359"/>
      <c r="F1652" s="360"/>
      <c r="G1652" s="360"/>
      <c r="H1652" s="359"/>
      <c r="I1652" s="359"/>
      <c r="J1652" s="359"/>
      <c r="K1652" s="359"/>
      <c r="L1652" s="361"/>
      <c r="M1652" s="359"/>
      <c r="N1652" s="359"/>
      <c r="O1652" s="359"/>
      <c r="P1652" s="359"/>
      <c r="Q1652" s="359"/>
      <c r="R1652" s="359"/>
      <c r="S1652" s="359"/>
      <c r="T1652" s="359"/>
      <c r="U1652" s="359"/>
    </row>
    <row r="1653" ht="15.75" customHeight="1">
      <c r="A1653" s="226"/>
      <c r="B1653" s="359"/>
      <c r="C1653" s="359"/>
      <c r="D1653" s="359"/>
      <c r="E1653" s="359"/>
      <c r="F1653" s="360"/>
      <c r="G1653" s="360"/>
      <c r="H1653" s="359"/>
      <c r="I1653" s="359"/>
      <c r="J1653" s="359"/>
      <c r="K1653" s="359"/>
      <c r="L1653" s="361"/>
      <c r="M1653" s="359"/>
      <c r="N1653" s="359"/>
      <c r="O1653" s="359"/>
      <c r="P1653" s="359"/>
      <c r="Q1653" s="359"/>
      <c r="R1653" s="359"/>
      <c r="S1653" s="359"/>
      <c r="T1653" s="359"/>
      <c r="U1653" s="359"/>
    </row>
    <row r="1654" ht="15.75" customHeight="1">
      <c r="A1654" s="226"/>
      <c r="B1654" s="359"/>
      <c r="C1654" s="359"/>
      <c r="D1654" s="359"/>
      <c r="E1654" s="359"/>
      <c r="F1654" s="360"/>
      <c r="G1654" s="360"/>
      <c r="H1654" s="359"/>
      <c r="I1654" s="359"/>
      <c r="J1654" s="359"/>
      <c r="K1654" s="359"/>
      <c r="L1654" s="361"/>
      <c r="M1654" s="359"/>
      <c r="N1654" s="359"/>
      <c r="O1654" s="359"/>
      <c r="P1654" s="359"/>
      <c r="Q1654" s="359"/>
      <c r="R1654" s="359"/>
      <c r="S1654" s="359"/>
      <c r="T1654" s="359"/>
      <c r="U1654" s="359"/>
    </row>
    <row r="1655" ht="15.75" customHeight="1">
      <c r="A1655" s="226"/>
      <c r="B1655" s="359"/>
      <c r="C1655" s="359"/>
      <c r="D1655" s="359"/>
      <c r="E1655" s="359"/>
      <c r="F1655" s="360"/>
      <c r="G1655" s="360"/>
      <c r="H1655" s="359"/>
      <c r="I1655" s="359"/>
      <c r="J1655" s="359"/>
      <c r="K1655" s="359"/>
      <c r="L1655" s="361"/>
      <c r="M1655" s="359"/>
      <c r="N1655" s="359"/>
      <c r="O1655" s="359"/>
      <c r="P1655" s="359"/>
      <c r="Q1655" s="359"/>
      <c r="R1655" s="359"/>
      <c r="S1655" s="359"/>
      <c r="T1655" s="359"/>
      <c r="U1655" s="359"/>
    </row>
    <row r="1656" ht="15.75" customHeight="1">
      <c r="A1656" s="226"/>
      <c r="B1656" s="359"/>
      <c r="C1656" s="359"/>
      <c r="D1656" s="359"/>
      <c r="E1656" s="359"/>
      <c r="F1656" s="360"/>
      <c r="G1656" s="360"/>
      <c r="H1656" s="359"/>
      <c r="I1656" s="359"/>
      <c r="J1656" s="359"/>
      <c r="K1656" s="359"/>
      <c r="L1656" s="361"/>
      <c r="M1656" s="359"/>
      <c r="N1656" s="359"/>
      <c r="O1656" s="359"/>
      <c r="P1656" s="359"/>
      <c r="Q1656" s="359"/>
      <c r="R1656" s="359"/>
      <c r="S1656" s="359"/>
      <c r="T1656" s="359"/>
      <c r="U1656" s="359"/>
    </row>
    <row r="1657" ht="15.75" customHeight="1">
      <c r="A1657" s="226"/>
      <c r="B1657" s="359"/>
      <c r="C1657" s="359"/>
      <c r="D1657" s="359"/>
      <c r="E1657" s="359"/>
      <c r="F1657" s="360"/>
      <c r="G1657" s="360"/>
      <c r="H1657" s="359"/>
      <c r="I1657" s="359"/>
      <c r="J1657" s="359"/>
      <c r="K1657" s="359"/>
      <c r="L1657" s="361"/>
      <c r="M1657" s="359"/>
      <c r="N1657" s="359"/>
      <c r="O1657" s="359"/>
      <c r="P1657" s="359"/>
      <c r="Q1657" s="359"/>
      <c r="R1657" s="359"/>
      <c r="S1657" s="359"/>
      <c r="T1657" s="359"/>
      <c r="U1657" s="359"/>
    </row>
    <row r="1658" ht="15.75" customHeight="1">
      <c r="A1658" s="226"/>
      <c r="B1658" s="359"/>
      <c r="C1658" s="359"/>
      <c r="D1658" s="359"/>
      <c r="E1658" s="359"/>
      <c r="F1658" s="360"/>
      <c r="G1658" s="360"/>
      <c r="H1658" s="359"/>
      <c r="I1658" s="359"/>
      <c r="J1658" s="359"/>
      <c r="K1658" s="359"/>
      <c r="L1658" s="361"/>
      <c r="M1658" s="359"/>
      <c r="N1658" s="359"/>
      <c r="O1658" s="359"/>
      <c r="P1658" s="359"/>
      <c r="Q1658" s="359"/>
      <c r="R1658" s="359"/>
      <c r="S1658" s="359"/>
      <c r="T1658" s="359"/>
      <c r="U1658" s="359"/>
    </row>
    <row r="1659" ht="15.75" customHeight="1">
      <c r="A1659" s="226"/>
      <c r="B1659" s="359"/>
      <c r="C1659" s="359"/>
      <c r="D1659" s="359"/>
      <c r="E1659" s="359"/>
      <c r="F1659" s="360"/>
      <c r="G1659" s="360"/>
      <c r="H1659" s="359"/>
      <c r="I1659" s="359"/>
      <c r="J1659" s="359"/>
      <c r="K1659" s="359"/>
      <c r="L1659" s="361"/>
      <c r="M1659" s="359"/>
      <c r="N1659" s="359"/>
      <c r="O1659" s="359"/>
      <c r="P1659" s="359"/>
      <c r="Q1659" s="359"/>
      <c r="R1659" s="359"/>
      <c r="S1659" s="359"/>
      <c r="T1659" s="359"/>
      <c r="U1659" s="359"/>
    </row>
    <row r="1660" ht="15.75" customHeight="1">
      <c r="A1660" s="226"/>
      <c r="B1660" s="359"/>
      <c r="C1660" s="359"/>
      <c r="D1660" s="359"/>
      <c r="E1660" s="359"/>
      <c r="F1660" s="360"/>
      <c r="G1660" s="360"/>
      <c r="H1660" s="359"/>
      <c r="I1660" s="359"/>
      <c r="J1660" s="359"/>
      <c r="K1660" s="359"/>
      <c r="L1660" s="361"/>
      <c r="M1660" s="359"/>
      <c r="N1660" s="359"/>
      <c r="O1660" s="359"/>
      <c r="P1660" s="359"/>
      <c r="Q1660" s="359"/>
      <c r="R1660" s="359"/>
      <c r="S1660" s="359"/>
      <c r="T1660" s="359"/>
      <c r="U1660" s="359"/>
    </row>
    <row r="1661" ht="15.75" customHeight="1">
      <c r="A1661" s="226"/>
      <c r="B1661" s="359"/>
      <c r="C1661" s="359"/>
      <c r="D1661" s="359"/>
      <c r="E1661" s="359"/>
      <c r="F1661" s="360"/>
      <c r="G1661" s="360"/>
      <c r="H1661" s="359"/>
      <c r="I1661" s="359"/>
      <c r="J1661" s="359"/>
      <c r="K1661" s="359"/>
      <c r="L1661" s="361"/>
      <c r="M1661" s="359"/>
      <c r="N1661" s="359"/>
      <c r="O1661" s="359"/>
      <c r="P1661" s="359"/>
      <c r="Q1661" s="359"/>
      <c r="R1661" s="359"/>
      <c r="S1661" s="359"/>
      <c r="T1661" s="359"/>
      <c r="U1661" s="359"/>
    </row>
    <row r="1662" ht="15.75" customHeight="1">
      <c r="A1662" s="226"/>
      <c r="B1662" s="359"/>
      <c r="C1662" s="359"/>
      <c r="D1662" s="359"/>
      <c r="E1662" s="359"/>
      <c r="F1662" s="360"/>
      <c r="G1662" s="360"/>
      <c r="H1662" s="359"/>
      <c r="I1662" s="359"/>
      <c r="J1662" s="359"/>
      <c r="K1662" s="359"/>
      <c r="L1662" s="361"/>
      <c r="M1662" s="359"/>
      <c r="N1662" s="359"/>
      <c r="O1662" s="359"/>
      <c r="P1662" s="359"/>
      <c r="Q1662" s="359"/>
      <c r="R1662" s="359"/>
      <c r="S1662" s="359"/>
      <c r="T1662" s="359"/>
      <c r="U1662" s="359"/>
    </row>
    <row r="1663" ht="15.75" customHeight="1">
      <c r="A1663" s="226"/>
      <c r="B1663" s="359"/>
      <c r="C1663" s="359"/>
      <c r="D1663" s="359"/>
      <c r="E1663" s="359"/>
      <c r="F1663" s="360"/>
      <c r="G1663" s="360"/>
      <c r="H1663" s="359"/>
      <c r="I1663" s="359"/>
      <c r="J1663" s="359"/>
      <c r="K1663" s="359"/>
      <c r="L1663" s="361"/>
      <c r="M1663" s="359"/>
      <c r="N1663" s="359"/>
      <c r="O1663" s="359"/>
      <c r="P1663" s="359"/>
      <c r="Q1663" s="359"/>
      <c r="R1663" s="359"/>
      <c r="S1663" s="359"/>
      <c r="T1663" s="359"/>
      <c r="U1663" s="359"/>
    </row>
    <row r="1664" ht="15.75" customHeight="1">
      <c r="A1664" s="226"/>
      <c r="B1664" s="359"/>
      <c r="C1664" s="359"/>
      <c r="D1664" s="359"/>
      <c r="E1664" s="359"/>
      <c r="F1664" s="360"/>
      <c r="G1664" s="360"/>
      <c r="H1664" s="359"/>
      <c r="I1664" s="359"/>
      <c r="J1664" s="359"/>
      <c r="K1664" s="359"/>
      <c r="L1664" s="361"/>
      <c r="M1664" s="359"/>
      <c r="N1664" s="359"/>
      <c r="O1664" s="359"/>
      <c r="P1664" s="359"/>
      <c r="Q1664" s="359"/>
      <c r="R1664" s="359"/>
      <c r="S1664" s="359"/>
      <c r="T1664" s="359"/>
      <c r="U1664" s="359"/>
    </row>
    <row r="1665" ht="15.75" customHeight="1">
      <c r="A1665" s="226"/>
      <c r="B1665" s="359"/>
      <c r="C1665" s="359"/>
      <c r="D1665" s="359"/>
      <c r="E1665" s="359"/>
      <c r="F1665" s="360"/>
      <c r="G1665" s="360"/>
      <c r="H1665" s="359"/>
      <c r="I1665" s="359"/>
      <c r="J1665" s="359"/>
      <c r="K1665" s="359"/>
      <c r="L1665" s="361"/>
      <c r="M1665" s="359"/>
      <c r="N1665" s="359"/>
      <c r="O1665" s="359"/>
      <c r="P1665" s="359"/>
      <c r="Q1665" s="359"/>
      <c r="R1665" s="359"/>
      <c r="S1665" s="359"/>
      <c r="T1665" s="359"/>
      <c r="U1665" s="359"/>
    </row>
    <row r="1666" ht="15.75" customHeight="1">
      <c r="A1666" s="226"/>
      <c r="B1666" s="359"/>
      <c r="C1666" s="359"/>
      <c r="D1666" s="359"/>
      <c r="E1666" s="359"/>
      <c r="F1666" s="360"/>
      <c r="G1666" s="360"/>
      <c r="H1666" s="359"/>
      <c r="I1666" s="359"/>
      <c r="J1666" s="359"/>
      <c r="K1666" s="359"/>
      <c r="L1666" s="361"/>
      <c r="M1666" s="359"/>
      <c r="N1666" s="359"/>
      <c r="O1666" s="359"/>
      <c r="P1666" s="359"/>
      <c r="Q1666" s="359"/>
      <c r="R1666" s="359"/>
      <c r="S1666" s="359"/>
      <c r="T1666" s="359"/>
      <c r="U1666" s="359"/>
    </row>
    <row r="1667" ht="15.75" customHeight="1">
      <c r="A1667" s="226"/>
      <c r="B1667" s="359"/>
      <c r="C1667" s="359"/>
      <c r="D1667" s="359"/>
      <c r="E1667" s="359"/>
      <c r="F1667" s="360"/>
      <c r="G1667" s="360"/>
      <c r="H1667" s="359"/>
      <c r="I1667" s="359"/>
      <c r="J1667" s="359"/>
      <c r="K1667" s="359"/>
      <c r="L1667" s="361"/>
      <c r="M1667" s="359"/>
      <c r="N1667" s="359"/>
      <c r="O1667" s="359"/>
      <c r="P1667" s="359"/>
      <c r="Q1667" s="359"/>
      <c r="R1667" s="359"/>
      <c r="S1667" s="359"/>
      <c r="T1667" s="359"/>
      <c r="U1667" s="359"/>
    </row>
    <row r="1668" ht="15.75" customHeight="1">
      <c r="A1668" s="226"/>
      <c r="B1668" s="359"/>
      <c r="C1668" s="359"/>
      <c r="D1668" s="359"/>
      <c r="E1668" s="359"/>
      <c r="F1668" s="360"/>
      <c r="G1668" s="360"/>
      <c r="H1668" s="359"/>
      <c r="I1668" s="359"/>
      <c r="J1668" s="359"/>
      <c r="K1668" s="359"/>
      <c r="L1668" s="361"/>
      <c r="M1668" s="359"/>
      <c r="N1668" s="359"/>
      <c r="O1668" s="359"/>
      <c r="P1668" s="359"/>
      <c r="Q1668" s="359"/>
      <c r="R1668" s="359"/>
      <c r="S1668" s="359"/>
      <c r="T1668" s="359"/>
      <c r="U1668" s="359"/>
    </row>
    <row r="1669" ht="15.75" customHeight="1">
      <c r="A1669" s="226"/>
      <c r="B1669" s="359"/>
      <c r="C1669" s="359"/>
      <c r="D1669" s="359"/>
      <c r="E1669" s="359"/>
      <c r="F1669" s="360"/>
      <c r="G1669" s="360"/>
      <c r="H1669" s="359"/>
      <c r="I1669" s="359"/>
      <c r="J1669" s="359"/>
      <c r="K1669" s="359"/>
      <c r="L1669" s="361"/>
      <c r="M1669" s="359"/>
      <c r="N1669" s="359"/>
      <c r="O1669" s="359"/>
      <c r="P1669" s="359"/>
      <c r="Q1669" s="359"/>
      <c r="R1669" s="359"/>
      <c r="S1669" s="359"/>
      <c r="T1669" s="359"/>
      <c r="U1669" s="359"/>
    </row>
    <row r="1670" ht="15.75" customHeight="1">
      <c r="A1670" s="226"/>
      <c r="B1670" s="359"/>
      <c r="C1670" s="359"/>
      <c r="D1670" s="359"/>
      <c r="E1670" s="359"/>
      <c r="F1670" s="360"/>
      <c r="G1670" s="360"/>
      <c r="H1670" s="359"/>
      <c r="I1670" s="359"/>
      <c r="J1670" s="359"/>
      <c r="K1670" s="359"/>
      <c r="L1670" s="361"/>
      <c r="M1670" s="359"/>
      <c r="N1670" s="359"/>
      <c r="O1670" s="359"/>
      <c r="P1670" s="359"/>
      <c r="Q1670" s="359"/>
      <c r="R1670" s="359"/>
      <c r="S1670" s="359"/>
      <c r="T1670" s="359"/>
      <c r="U1670" s="359"/>
    </row>
    <row r="1671" ht="15.75" customHeight="1">
      <c r="A1671" s="226"/>
      <c r="B1671" s="359"/>
      <c r="C1671" s="359"/>
      <c r="D1671" s="359"/>
      <c r="E1671" s="359"/>
      <c r="F1671" s="360"/>
      <c r="G1671" s="360"/>
      <c r="H1671" s="359"/>
      <c r="I1671" s="359"/>
      <c r="J1671" s="359"/>
      <c r="K1671" s="359"/>
      <c r="L1671" s="361"/>
      <c r="M1671" s="359"/>
      <c r="N1671" s="359"/>
      <c r="O1671" s="359"/>
      <c r="P1671" s="359"/>
      <c r="Q1671" s="359"/>
      <c r="R1671" s="359"/>
      <c r="S1671" s="359"/>
      <c r="T1671" s="359"/>
      <c r="U1671" s="359"/>
    </row>
    <row r="1672" ht="15.75" customHeight="1">
      <c r="A1672" s="226"/>
      <c r="B1672" s="359"/>
      <c r="C1672" s="359"/>
      <c r="D1672" s="359"/>
      <c r="E1672" s="359"/>
      <c r="F1672" s="360"/>
      <c r="G1672" s="360"/>
      <c r="H1672" s="359"/>
      <c r="I1672" s="359"/>
      <c r="J1672" s="359"/>
      <c r="K1672" s="359"/>
      <c r="L1672" s="361"/>
      <c r="M1672" s="359"/>
      <c r="N1672" s="359"/>
      <c r="O1672" s="359"/>
      <c r="P1672" s="359"/>
      <c r="Q1672" s="359"/>
      <c r="R1672" s="359"/>
      <c r="S1672" s="359"/>
      <c r="T1672" s="359"/>
      <c r="U1672" s="359"/>
    </row>
    <row r="1673" ht="15.75" customHeight="1">
      <c r="A1673" s="226"/>
      <c r="B1673" s="359"/>
      <c r="C1673" s="359"/>
      <c r="D1673" s="359"/>
      <c r="E1673" s="359"/>
      <c r="F1673" s="360"/>
      <c r="G1673" s="360"/>
      <c r="H1673" s="359"/>
      <c r="I1673" s="359"/>
      <c r="J1673" s="359"/>
      <c r="K1673" s="359"/>
      <c r="L1673" s="361"/>
      <c r="M1673" s="359"/>
      <c r="N1673" s="359"/>
      <c r="O1673" s="359"/>
      <c r="P1673" s="359"/>
      <c r="Q1673" s="359"/>
      <c r="R1673" s="359"/>
      <c r="S1673" s="359"/>
      <c r="T1673" s="359"/>
      <c r="U1673" s="359"/>
    </row>
    <row r="1674" ht="15.75" customHeight="1">
      <c r="A1674" s="226"/>
      <c r="B1674" s="359"/>
      <c r="C1674" s="359"/>
      <c r="D1674" s="359"/>
      <c r="E1674" s="359"/>
      <c r="F1674" s="360"/>
      <c r="G1674" s="360"/>
      <c r="H1674" s="359"/>
      <c r="I1674" s="359"/>
      <c r="J1674" s="359"/>
      <c r="K1674" s="359"/>
      <c r="L1674" s="361"/>
      <c r="M1674" s="359"/>
      <c r="N1674" s="359"/>
      <c r="O1674" s="359"/>
      <c r="P1674" s="359"/>
      <c r="Q1674" s="359"/>
      <c r="R1674" s="359"/>
      <c r="S1674" s="359"/>
      <c r="T1674" s="359"/>
      <c r="U1674" s="359"/>
    </row>
    <row r="1675" ht="15.75" customHeight="1">
      <c r="A1675" s="226"/>
      <c r="B1675" s="359"/>
      <c r="C1675" s="359"/>
      <c r="D1675" s="359"/>
      <c r="E1675" s="359"/>
      <c r="F1675" s="360"/>
      <c r="G1675" s="360"/>
      <c r="H1675" s="359"/>
      <c r="I1675" s="359"/>
      <c r="J1675" s="359"/>
      <c r="K1675" s="359"/>
      <c r="L1675" s="361"/>
      <c r="M1675" s="359"/>
      <c r="N1675" s="359"/>
      <c r="O1675" s="359"/>
      <c r="P1675" s="359"/>
      <c r="Q1675" s="359"/>
      <c r="R1675" s="359"/>
      <c r="S1675" s="359"/>
      <c r="T1675" s="359"/>
      <c r="U1675" s="359"/>
    </row>
    <row r="1676" ht="15.75" customHeight="1">
      <c r="A1676" s="226"/>
      <c r="B1676" s="359"/>
      <c r="C1676" s="359"/>
      <c r="D1676" s="359"/>
      <c r="E1676" s="359"/>
      <c r="F1676" s="360"/>
      <c r="G1676" s="360"/>
      <c r="H1676" s="359"/>
      <c r="I1676" s="359"/>
      <c r="J1676" s="359"/>
      <c r="K1676" s="359"/>
      <c r="L1676" s="361"/>
      <c r="M1676" s="359"/>
      <c r="N1676" s="359"/>
      <c r="O1676" s="359"/>
      <c r="P1676" s="359"/>
      <c r="Q1676" s="359"/>
      <c r="R1676" s="359"/>
      <c r="S1676" s="359"/>
      <c r="T1676" s="359"/>
      <c r="U1676" s="359"/>
    </row>
    <row r="1677" ht="15.75" customHeight="1">
      <c r="A1677" s="226"/>
      <c r="B1677" s="359"/>
      <c r="C1677" s="359"/>
      <c r="D1677" s="359"/>
      <c r="E1677" s="359"/>
      <c r="F1677" s="360"/>
      <c r="G1677" s="360"/>
      <c r="H1677" s="359"/>
      <c r="I1677" s="359"/>
      <c r="J1677" s="359"/>
      <c r="K1677" s="359"/>
      <c r="L1677" s="361"/>
      <c r="M1677" s="359"/>
      <c r="N1677" s="359"/>
      <c r="O1677" s="359"/>
      <c r="P1677" s="359"/>
      <c r="Q1677" s="359"/>
      <c r="R1677" s="359"/>
      <c r="S1677" s="359"/>
      <c r="T1677" s="359"/>
      <c r="U1677" s="359"/>
    </row>
    <row r="1678" ht="15.75" customHeight="1">
      <c r="A1678" s="226"/>
      <c r="B1678" s="359"/>
      <c r="C1678" s="359"/>
      <c r="D1678" s="359"/>
      <c r="E1678" s="359"/>
      <c r="F1678" s="360"/>
      <c r="G1678" s="360"/>
      <c r="H1678" s="359"/>
      <c r="I1678" s="359"/>
      <c r="J1678" s="359"/>
      <c r="K1678" s="359"/>
      <c r="L1678" s="361"/>
      <c r="M1678" s="359"/>
      <c r="N1678" s="359"/>
      <c r="O1678" s="359"/>
      <c r="P1678" s="359"/>
      <c r="Q1678" s="359"/>
      <c r="R1678" s="359"/>
      <c r="S1678" s="359"/>
      <c r="T1678" s="359"/>
      <c r="U1678" s="359"/>
    </row>
    <row r="1679" ht="15.75" customHeight="1">
      <c r="A1679" s="226"/>
      <c r="B1679" s="359"/>
      <c r="C1679" s="359"/>
      <c r="D1679" s="359"/>
      <c r="E1679" s="359"/>
      <c r="F1679" s="360"/>
      <c r="G1679" s="360"/>
      <c r="H1679" s="359"/>
      <c r="I1679" s="359"/>
      <c r="J1679" s="359"/>
      <c r="K1679" s="359"/>
      <c r="L1679" s="361"/>
      <c r="M1679" s="359"/>
      <c r="N1679" s="359"/>
      <c r="O1679" s="359"/>
      <c r="P1679" s="359"/>
      <c r="Q1679" s="359"/>
      <c r="R1679" s="359"/>
      <c r="S1679" s="359"/>
      <c r="T1679" s="359"/>
      <c r="U1679" s="359"/>
    </row>
    <row r="1680" ht="15.75" customHeight="1">
      <c r="A1680" s="226"/>
      <c r="B1680" s="359"/>
      <c r="C1680" s="359"/>
      <c r="D1680" s="359"/>
      <c r="E1680" s="359"/>
      <c r="F1680" s="360"/>
      <c r="G1680" s="360"/>
      <c r="H1680" s="359"/>
      <c r="I1680" s="359"/>
      <c r="J1680" s="359"/>
      <c r="K1680" s="359"/>
      <c r="L1680" s="361"/>
      <c r="M1680" s="359"/>
      <c r="N1680" s="359"/>
      <c r="O1680" s="359"/>
      <c r="P1680" s="359"/>
      <c r="Q1680" s="359"/>
      <c r="R1680" s="359"/>
      <c r="S1680" s="359"/>
      <c r="T1680" s="359"/>
      <c r="U1680" s="359"/>
    </row>
    <row r="1681" ht="15.75" customHeight="1">
      <c r="A1681" s="226"/>
      <c r="B1681" s="359"/>
      <c r="C1681" s="359"/>
      <c r="D1681" s="359"/>
      <c r="E1681" s="359"/>
      <c r="F1681" s="360"/>
      <c r="G1681" s="360"/>
      <c r="H1681" s="359"/>
      <c r="I1681" s="359"/>
      <c r="J1681" s="359"/>
      <c r="K1681" s="359"/>
      <c r="L1681" s="361"/>
      <c r="M1681" s="359"/>
      <c r="N1681" s="359"/>
      <c r="O1681" s="359"/>
      <c r="P1681" s="359"/>
      <c r="Q1681" s="359"/>
      <c r="R1681" s="359"/>
      <c r="S1681" s="359"/>
      <c r="T1681" s="359"/>
      <c r="U1681" s="359"/>
    </row>
    <row r="1682" ht="15.75" customHeight="1">
      <c r="A1682" s="226"/>
      <c r="B1682" s="359"/>
      <c r="C1682" s="359"/>
      <c r="D1682" s="359"/>
      <c r="E1682" s="359"/>
      <c r="F1682" s="360"/>
      <c r="G1682" s="360"/>
      <c r="H1682" s="359"/>
      <c r="I1682" s="359"/>
      <c r="J1682" s="359"/>
      <c r="K1682" s="359"/>
      <c r="L1682" s="361"/>
      <c r="M1682" s="359"/>
      <c r="N1682" s="359"/>
      <c r="O1682" s="359"/>
      <c r="P1682" s="359"/>
      <c r="Q1682" s="359"/>
      <c r="R1682" s="359"/>
      <c r="S1682" s="359"/>
      <c r="T1682" s="359"/>
      <c r="U1682" s="359"/>
    </row>
    <row r="1683" ht="15.75" customHeight="1">
      <c r="A1683" s="226"/>
      <c r="B1683" s="359"/>
      <c r="C1683" s="359"/>
      <c r="D1683" s="359"/>
      <c r="E1683" s="359"/>
      <c r="F1683" s="360"/>
      <c r="G1683" s="360"/>
      <c r="H1683" s="359"/>
      <c r="I1683" s="359"/>
      <c r="J1683" s="359"/>
      <c r="K1683" s="359"/>
      <c r="L1683" s="361"/>
      <c r="M1683" s="359"/>
      <c r="N1683" s="359"/>
      <c r="O1683" s="359"/>
      <c r="P1683" s="359"/>
      <c r="Q1683" s="359"/>
      <c r="R1683" s="359"/>
      <c r="S1683" s="359"/>
      <c r="T1683" s="359"/>
      <c r="U1683" s="359"/>
    </row>
    <row r="1684" ht="15.75" customHeight="1">
      <c r="A1684" s="226"/>
      <c r="B1684" s="359"/>
      <c r="C1684" s="359"/>
      <c r="D1684" s="359"/>
      <c r="E1684" s="359"/>
      <c r="F1684" s="360"/>
      <c r="G1684" s="360"/>
      <c r="H1684" s="359"/>
      <c r="I1684" s="359"/>
      <c r="J1684" s="359"/>
      <c r="K1684" s="359"/>
      <c r="L1684" s="361"/>
      <c r="M1684" s="359"/>
      <c r="N1684" s="359"/>
      <c r="O1684" s="359"/>
      <c r="P1684" s="359"/>
      <c r="Q1684" s="359"/>
      <c r="R1684" s="359"/>
      <c r="S1684" s="359"/>
      <c r="T1684" s="359"/>
      <c r="U1684" s="359"/>
    </row>
    <row r="1685" ht="15.75" customHeight="1">
      <c r="A1685" s="226"/>
      <c r="B1685" s="359"/>
      <c r="C1685" s="359"/>
      <c r="D1685" s="359"/>
      <c r="E1685" s="359"/>
      <c r="F1685" s="360"/>
      <c r="G1685" s="360"/>
      <c r="H1685" s="359"/>
      <c r="I1685" s="359"/>
      <c r="J1685" s="359"/>
      <c r="K1685" s="359"/>
      <c r="L1685" s="361"/>
      <c r="M1685" s="359"/>
      <c r="N1685" s="359"/>
      <c r="O1685" s="359"/>
      <c r="P1685" s="359"/>
      <c r="Q1685" s="359"/>
      <c r="R1685" s="359"/>
      <c r="S1685" s="359"/>
      <c r="T1685" s="359"/>
      <c r="U1685" s="359"/>
    </row>
    <row r="1686" ht="15.75" customHeight="1">
      <c r="A1686" s="226"/>
      <c r="B1686" s="359"/>
      <c r="C1686" s="359"/>
      <c r="D1686" s="359"/>
      <c r="E1686" s="359"/>
      <c r="F1686" s="360"/>
      <c r="G1686" s="360"/>
      <c r="H1686" s="359"/>
      <c r="I1686" s="359"/>
      <c r="J1686" s="359"/>
      <c r="K1686" s="359"/>
      <c r="L1686" s="361"/>
      <c r="M1686" s="359"/>
      <c r="N1686" s="359"/>
      <c r="O1686" s="359"/>
      <c r="P1686" s="359"/>
      <c r="Q1686" s="359"/>
      <c r="R1686" s="359"/>
      <c r="S1686" s="359"/>
      <c r="T1686" s="359"/>
      <c r="U1686" s="359"/>
    </row>
    <row r="1687" ht="15.75" customHeight="1">
      <c r="A1687" s="226"/>
      <c r="B1687" s="359"/>
      <c r="C1687" s="359"/>
      <c r="D1687" s="359"/>
      <c r="E1687" s="359"/>
      <c r="F1687" s="360"/>
      <c r="G1687" s="360"/>
      <c r="H1687" s="359"/>
      <c r="I1687" s="359"/>
      <c r="J1687" s="359"/>
      <c r="K1687" s="359"/>
      <c r="L1687" s="361"/>
      <c r="M1687" s="359"/>
      <c r="N1687" s="359"/>
      <c r="O1687" s="359"/>
      <c r="P1687" s="359"/>
      <c r="Q1687" s="359"/>
      <c r="R1687" s="359"/>
      <c r="S1687" s="359"/>
      <c r="T1687" s="359"/>
      <c r="U1687" s="359"/>
    </row>
    <row r="1688" ht="15.75" customHeight="1">
      <c r="A1688" s="226"/>
      <c r="B1688" s="359"/>
      <c r="C1688" s="359"/>
      <c r="D1688" s="359"/>
      <c r="E1688" s="359"/>
      <c r="F1688" s="360"/>
      <c r="G1688" s="360"/>
      <c r="H1688" s="359"/>
      <c r="I1688" s="359"/>
      <c r="J1688" s="359"/>
      <c r="K1688" s="359"/>
      <c r="L1688" s="361"/>
      <c r="M1688" s="359"/>
      <c r="N1688" s="359"/>
      <c r="O1688" s="359"/>
      <c r="P1688" s="359"/>
      <c r="Q1688" s="359"/>
      <c r="R1688" s="359"/>
      <c r="S1688" s="359"/>
      <c r="T1688" s="359"/>
      <c r="U1688" s="359"/>
    </row>
    <row r="1689" ht="15.75" customHeight="1">
      <c r="A1689" s="226"/>
      <c r="B1689" s="359"/>
      <c r="C1689" s="359"/>
      <c r="D1689" s="359"/>
      <c r="E1689" s="359"/>
      <c r="F1689" s="360"/>
      <c r="G1689" s="360"/>
      <c r="H1689" s="359"/>
      <c r="I1689" s="359"/>
      <c r="J1689" s="359"/>
      <c r="K1689" s="359"/>
      <c r="L1689" s="361"/>
      <c r="M1689" s="359"/>
      <c r="N1689" s="359"/>
      <c r="O1689" s="359"/>
      <c r="P1689" s="359"/>
      <c r="Q1689" s="359"/>
      <c r="R1689" s="359"/>
      <c r="S1689" s="359"/>
      <c r="T1689" s="359"/>
      <c r="U1689" s="359"/>
    </row>
    <row r="1690" ht="15.75" customHeight="1">
      <c r="A1690" s="226"/>
      <c r="B1690" s="359"/>
      <c r="C1690" s="359"/>
      <c r="D1690" s="359"/>
      <c r="E1690" s="359"/>
      <c r="F1690" s="360"/>
      <c r="G1690" s="360"/>
      <c r="H1690" s="359"/>
      <c r="I1690" s="359"/>
      <c r="J1690" s="359"/>
      <c r="K1690" s="359"/>
      <c r="L1690" s="361"/>
      <c r="M1690" s="359"/>
      <c r="N1690" s="359"/>
      <c r="O1690" s="359"/>
      <c r="P1690" s="359"/>
      <c r="Q1690" s="359"/>
      <c r="R1690" s="359"/>
      <c r="S1690" s="359"/>
      <c r="T1690" s="359"/>
      <c r="U1690" s="359"/>
    </row>
    <row r="1691" ht="15.75" customHeight="1">
      <c r="A1691" s="226"/>
      <c r="B1691" s="359"/>
      <c r="C1691" s="359"/>
      <c r="D1691" s="359"/>
      <c r="E1691" s="359"/>
      <c r="F1691" s="360"/>
      <c r="G1691" s="360"/>
      <c r="H1691" s="359"/>
      <c r="I1691" s="359"/>
      <c r="J1691" s="359"/>
      <c r="K1691" s="359"/>
      <c r="L1691" s="361"/>
      <c r="M1691" s="359"/>
      <c r="N1691" s="359"/>
      <c r="O1691" s="359"/>
      <c r="P1691" s="359"/>
      <c r="Q1691" s="359"/>
      <c r="R1691" s="359"/>
      <c r="S1691" s="359"/>
      <c r="T1691" s="359"/>
      <c r="U1691" s="359"/>
    </row>
    <row r="1692" ht="15.75" customHeight="1">
      <c r="A1692" s="226"/>
      <c r="B1692" s="359"/>
      <c r="C1692" s="359"/>
      <c r="D1692" s="359"/>
      <c r="E1692" s="359"/>
      <c r="F1692" s="360"/>
      <c r="G1692" s="360"/>
      <c r="H1692" s="359"/>
      <c r="I1692" s="359"/>
      <c r="J1692" s="359"/>
      <c r="K1692" s="359"/>
      <c r="L1692" s="361"/>
      <c r="M1692" s="359"/>
      <c r="N1692" s="359"/>
      <c r="O1692" s="359"/>
      <c r="P1692" s="359"/>
      <c r="Q1692" s="359"/>
      <c r="R1692" s="359"/>
      <c r="S1692" s="359"/>
      <c r="T1692" s="359"/>
      <c r="U1692" s="359"/>
    </row>
    <row r="1693" ht="15.75" customHeight="1">
      <c r="A1693" s="226"/>
      <c r="B1693" s="359"/>
      <c r="C1693" s="359"/>
      <c r="D1693" s="359"/>
      <c r="E1693" s="359"/>
      <c r="F1693" s="360"/>
      <c r="G1693" s="360"/>
      <c r="H1693" s="359"/>
      <c r="I1693" s="359"/>
      <c r="J1693" s="359"/>
      <c r="K1693" s="359"/>
      <c r="L1693" s="361"/>
      <c r="M1693" s="359"/>
      <c r="N1693" s="359"/>
      <c r="O1693" s="359"/>
      <c r="P1693" s="359"/>
      <c r="Q1693" s="359"/>
      <c r="R1693" s="359"/>
      <c r="S1693" s="359"/>
      <c r="T1693" s="359"/>
      <c r="U1693" s="359"/>
    </row>
    <row r="1694" ht="15.75" customHeight="1">
      <c r="A1694" s="226"/>
      <c r="B1694" s="359"/>
      <c r="C1694" s="359"/>
      <c r="D1694" s="359"/>
      <c r="E1694" s="359"/>
      <c r="F1694" s="360"/>
      <c r="G1694" s="360"/>
      <c r="H1694" s="359"/>
      <c r="I1694" s="359"/>
      <c r="J1694" s="359"/>
      <c r="K1694" s="359"/>
      <c r="L1694" s="361"/>
      <c r="M1694" s="359"/>
      <c r="N1694" s="359"/>
      <c r="O1694" s="359"/>
      <c r="P1694" s="359"/>
      <c r="Q1694" s="359"/>
      <c r="R1694" s="359"/>
      <c r="S1694" s="359"/>
      <c r="T1694" s="359"/>
      <c r="U1694" s="359"/>
    </row>
    <row r="1695" ht="15.75" customHeight="1">
      <c r="A1695" s="226"/>
      <c r="B1695" s="359"/>
      <c r="C1695" s="359"/>
      <c r="D1695" s="359"/>
      <c r="E1695" s="359"/>
      <c r="F1695" s="360"/>
      <c r="G1695" s="360"/>
      <c r="H1695" s="359"/>
      <c r="I1695" s="359"/>
      <c r="J1695" s="359"/>
      <c r="K1695" s="359"/>
      <c r="L1695" s="361"/>
      <c r="M1695" s="359"/>
      <c r="N1695" s="359"/>
      <c r="O1695" s="359"/>
      <c r="P1695" s="359"/>
      <c r="Q1695" s="359"/>
      <c r="R1695" s="359"/>
      <c r="S1695" s="359"/>
      <c r="T1695" s="359"/>
      <c r="U1695" s="359"/>
    </row>
    <row r="1696" ht="15.75" customHeight="1">
      <c r="A1696" s="226"/>
      <c r="B1696" s="359"/>
      <c r="C1696" s="359"/>
      <c r="D1696" s="359"/>
      <c r="E1696" s="359"/>
      <c r="F1696" s="360"/>
      <c r="G1696" s="360"/>
      <c r="H1696" s="359"/>
      <c r="I1696" s="359"/>
      <c r="J1696" s="359"/>
      <c r="K1696" s="359"/>
      <c r="L1696" s="361"/>
      <c r="M1696" s="359"/>
      <c r="N1696" s="359"/>
      <c r="O1696" s="359"/>
      <c r="P1696" s="359"/>
      <c r="Q1696" s="359"/>
      <c r="R1696" s="359"/>
      <c r="S1696" s="359"/>
      <c r="T1696" s="359"/>
      <c r="U1696" s="359"/>
    </row>
    <row r="1697" ht="15.75" customHeight="1">
      <c r="A1697" s="226"/>
      <c r="B1697" s="359"/>
      <c r="C1697" s="359"/>
      <c r="D1697" s="359"/>
      <c r="E1697" s="359"/>
      <c r="F1697" s="360"/>
      <c r="G1697" s="360"/>
      <c r="H1697" s="359"/>
      <c r="I1697" s="359"/>
      <c r="J1697" s="359"/>
      <c r="K1697" s="359"/>
      <c r="L1697" s="361"/>
      <c r="M1697" s="359"/>
      <c r="N1697" s="359"/>
      <c r="O1697" s="359"/>
      <c r="P1697" s="359"/>
      <c r="Q1697" s="359"/>
      <c r="R1697" s="359"/>
      <c r="S1697" s="359"/>
      <c r="T1697" s="359"/>
      <c r="U1697" s="359"/>
    </row>
    <row r="1698" ht="15.75" customHeight="1">
      <c r="A1698" s="226"/>
      <c r="B1698" s="359"/>
      <c r="C1698" s="359"/>
      <c r="D1698" s="359"/>
      <c r="E1698" s="359"/>
      <c r="F1698" s="360"/>
      <c r="G1698" s="360"/>
      <c r="H1698" s="359"/>
      <c r="I1698" s="359"/>
      <c r="J1698" s="359"/>
      <c r="K1698" s="359"/>
      <c r="L1698" s="361"/>
      <c r="M1698" s="359"/>
      <c r="N1698" s="359"/>
      <c r="O1698" s="359"/>
      <c r="P1698" s="359"/>
      <c r="Q1698" s="359"/>
      <c r="R1698" s="359"/>
      <c r="S1698" s="359"/>
      <c r="T1698" s="359"/>
      <c r="U1698" s="359"/>
    </row>
    <row r="1699" ht="15.75" customHeight="1">
      <c r="A1699" s="226"/>
      <c r="B1699" s="359"/>
      <c r="C1699" s="359"/>
      <c r="D1699" s="359"/>
      <c r="E1699" s="359"/>
      <c r="F1699" s="360"/>
      <c r="G1699" s="360"/>
      <c r="H1699" s="359"/>
      <c r="I1699" s="359"/>
      <c r="J1699" s="359"/>
      <c r="K1699" s="359"/>
      <c r="L1699" s="361"/>
      <c r="M1699" s="359"/>
      <c r="N1699" s="359"/>
      <c r="O1699" s="359"/>
      <c r="P1699" s="359"/>
      <c r="Q1699" s="359"/>
      <c r="R1699" s="359"/>
      <c r="S1699" s="359"/>
      <c r="T1699" s="359"/>
      <c r="U1699" s="359"/>
    </row>
    <row r="1700" ht="15.75" customHeight="1">
      <c r="A1700" s="226"/>
      <c r="B1700" s="359"/>
      <c r="C1700" s="359"/>
      <c r="D1700" s="359"/>
      <c r="E1700" s="359"/>
      <c r="F1700" s="360"/>
      <c r="G1700" s="360"/>
      <c r="H1700" s="359"/>
      <c r="I1700" s="359"/>
      <c r="J1700" s="359"/>
      <c r="K1700" s="359"/>
      <c r="L1700" s="361"/>
      <c r="M1700" s="359"/>
      <c r="N1700" s="359"/>
      <c r="O1700" s="359"/>
      <c r="P1700" s="359"/>
      <c r="Q1700" s="359"/>
      <c r="R1700" s="359"/>
      <c r="S1700" s="359"/>
      <c r="T1700" s="359"/>
      <c r="U1700" s="359"/>
    </row>
    <row r="1701" ht="15.75" customHeight="1">
      <c r="A1701" s="226"/>
      <c r="B1701" s="359"/>
      <c r="C1701" s="359"/>
      <c r="D1701" s="359"/>
      <c r="E1701" s="359"/>
      <c r="F1701" s="360"/>
      <c r="G1701" s="360"/>
      <c r="H1701" s="359"/>
      <c r="I1701" s="359"/>
      <c r="J1701" s="359"/>
      <c r="K1701" s="359"/>
      <c r="L1701" s="361"/>
      <c r="M1701" s="359"/>
      <c r="N1701" s="359"/>
      <c r="O1701" s="359"/>
      <c r="P1701" s="359"/>
      <c r="Q1701" s="359"/>
      <c r="R1701" s="359"/>
      <c r="S1701" s="359"/>
      <c r="T1701" s="359"/>
      <c r="U1701" s="359"/>
    </row>
    <row r="1702" ht="15.75" customHeight="1">
      <c r="A1702" s="226"/>
      <c r="B1702" s="359"/>
      <c r="C1702" s="359"/>
      <c r="D1702" s="359"/>
      <c r="E1702" s="359"/>
      <c r="F1702" s="360"/>
      <c r="G1702" s="360"/>
      <c r="H1702" s="359"/>
      <c r="I1702" s="359"/>
      <c r="J1702" s="359"/>
      <c r="K1702" s="359"/>
      <c r="L1702" s="361"/>
      <c r="M1702" s="359"/>
      <c r="N1702" s="359"/>
      <c r="O1702" s="359"/>
      <c r="P1702" s="359"/>
      <c r="Q1702" s="359"/>
      <c r="R1702" s="359"/>
      <c r="S1702" s="359"/>
      <c r="T1702" s="359"/>
      <c r="U1702" s="359"/>
    </row>
    <row r="1703" ht="15.75" customHeight="1">
      <c r="A1703" s="226"/>
      <c r="B1703" s="359"/>
      <c r="C1703" s="359"/>
      <c r="D1703" s="359"/>
      <c r="E1703" s="359"/>
      <c r="F1703" s="360"/>
      <c r="G1703" s="360"/>
      <c r="H1703" s="359"/>
      <c r="I1703" s="359"/>
      <c r="J1703" s="359"/>
      <c r="K1703" s="359"/>
      <c r="L1703" s="361"/>
      <c r="M1703" s="359"/>
      <c r="N1703" s="359"/>
      <c r="O1703" s="359"/>
      <c r="P1703" s="359"/>
      <c r="Q1703" s="359"/>
      <c r="R1703" s="359"/>
      <c r="S1703" s="359"/>
      <c r="T1703" s="359"/>
      <c r="U1703" s="359"/>
    </row>
    <row r="1704" ht="15.75" customHeight="1">
      <c r="A1704" s="226"/>
      <c r="B1704" s="359"/>
      <c r="C1704" s="359"/>
      <c r="D1704" s="359"/>
      <c r="E1704" s="359"/>
      <c r="F1704" s="360"/>
      <c r="G1704" s="360"/>
      <c r="H1704" s="359"/>
      <c r="I1704" s="359"/>
      <c r="J1704" s="359"/>
      <c r="K1704" s="359"/>
      <c r="L1704" s="361"/>
      <c r="M1704" s="359"/>
      <c r="N1704" s="359"/>
      <c r="O1704" s="359"/>
      <c r="P1704" s="359"/>
      <c r="Q1704" s="359"/>
      <c r="R1704" s="359"/>
      <c r="S1704" s="359"/>
      <c r="T1704" s="359"/>
      <c r="U1704" s="359"/>
    </row>
    <row r="1705" ht="15.75" customHeight="1">
      <c r="A1705" s="226"/>
      <c r="B1705" s="359"/>
      <c r="C1705" s="359"/>
      <c r="D1705" s="359"/>
      <c r="E1705" s="359"/>
      <c r="F1705" s="360"/>
      <c r="G1705" s="360"/>
      <c r="H1705" s="359"/>
      <c r="I1705" s="359"/>
      <c r="J1705" s="359"/>
      <c r="K1705" s="359"/>
      <c r="L1705" s="361"/>
      <c r="M1705" s="359"/>
      <c r="N1705" s="359"/>
      <c r="O1705" s="359"/>
      <c r="P1705" s="359"/>
      <c r="Q1705" s="359"/>
      <c r="R1705" s="359"/>
      <c r="S1705" s="359"/>
      <c r="T1705" s="359"/>
      <c r="U1705" s="359"/>
    </row>
    <row r="1706" ht="15.75" customHeight="1">
      <c r="A1706" s="226"/>
      <c r="B1706" s="359"/>
      <c r="C1706" s="359"/>
      <c r="D1706" s="359"/>
      <c r="E1706" s="359"/>
      <c r="F1706" s="360"/>
      <c r="G1706" s="360"/>
      <c r="H1706" s="359"/>
      <c r="I1706" s="359"/>
      <c r="J1706" s="359"/>
      <c r="K1706" s="359"/>
      <c r="L1706" s="361"/>
      <c r="M1706" s="359"/>
      <c r="N1706" s="359"/>
      <c r="O1706" s="359"/>
      <c r="P1706" s="359"/>
      <c r="Q1706" s="359"/>
      <c r="R1706" s="359"/>
      <c r="S1706" s="359"/>
      <c r="T1706" s="359"/>
      <c r="U1706" s="359"/>
    </row>
    <row r="1707" ht="15.75" customHeight="1">
      <c r="A1707" s="226"/>
      <c r="B1707" s="359"/>
      <c r="C1707" s="359"/>
      <c r="D1707" s="359"/>
      <c r="E1707" s="359"/>
      <c r="F1707" s="360"/>
      <c r="G1707" s="360"/>
      <c r="H1707" s="359"/>
      <c r="I1707" s="359"/>
      <c r="J1707" s="359"/>
      <c r="K1707" s="359"/>
      <c r="L1707" s="361"/>
      <c r="M1707" s="359"/>
      <c r="N1707" s="359"/>
      <c r="O1707" s="359"/>
      <c r="P1707" s="359"/>
      <c r="Q1707" s="359"/>
      <c r="R1707" s="359"/>
      <c r="S1707" s="359"/>
      <c r="T1707" s="359"/>
      <c r="U1707" s="359"/>
    </row>
    <row r="1708" ht="15.75" customHeight="1">
      <c r="A1708" s="226"/>
      <c r="B1708" s="359"/>
      <c r="C1708" s="359"/>
      <c r="D1708" s="359"/>
      <c r="E1708" s="359"/>
      <c r="F1708" s="360"/>
      <c r="G1708" s="360"/>
      <c r="H1708" s="359"/>
      <c r="I1708" s="359"/>
      <c r="J1708" s="359"/>
      <c r="K1708" s="359"/>
      <c r="L1708" s="361"/>
      <c r="M1708" s="359"/>
      <c r="N1708" s="359"/>
      <c r="O1708" s="359"/>
      <c r="P1708" s="359"/>
      <c r="Q1708" s="359"/>
      <c r="R1708" s="359"/>
      <c r="S1708" s="359"/>
      <c r="T1708" s="359"/>
      <c r="U1708" s="359"/>
    </row>
    <row r="1709" ht="15.75" customHeight="1">
      <c r="A1709" s="226"/>
      <c r="B1709" s="359"/>
      <c r="C1709" s="359"/>
      <c r="D1709" s="359"/>
      <c r="E1709" s="359"/>
      <c r="F1709" s="360"/>
      <c r="G1709" s="360"/>
      <c r="H1709" s="359"/>
      <c r="I1709" s="359"/>
      <c r="J1709" s="359"/>
      <c r="K1709" s="359"/>
      <c r="L1709" s="361"/>
      <c r="M1709" s="359"/>
      <c r="N1709" s="359"/>
      <c r="O1709" s="359"/>
      <c r="P1709" s="359"/>
      <c r="Q1709" s="359"/>
      <c r="R1709" s="359"/>
      <c r="S1709" s="359"/>
      <c r="T1709" s="359"/>
      <c r="U1709" s="359"/>
    </row>
    <row r="1710" ht="15.75" customHeight="1">
      <c r="A1710" s="226"/>
      <c r="B1710" s="359"/>
      <c r="C1710" s="359"/>
      <c r="D1710" s="359"/>
      <c r="E1710" s="359"/>
      <c r="F1710" s="360"/>
      <c r="G1710" s="360"/>
      <c r="H1710" s="359"/>
      <c r="I1710" s="359"/>
      <c r="J1710" s="359"/>
      <c r="K1710" s="359"/>
      <c r="L1710" s="361"/>
      <c r="M1710" s="359"/>
      <c r="N1710" s="359"/>
      <c r="O1710" s="359"/>
      <c r="P1710" s="359"/>
      <c r="Q1710" s="359"/>
      <c r="R1710" s="359"/>
      <c r="S1710" s="359"/>
      <c r="T1710" s="359"/>
      <c r="U1710" s="359"/>
    </row>
    <row r="1711" ht="15.75" customHeight="1">
      <c r="A1711" s="226"/>
      <c r="B1711" s="359"/>
      <c r="C1711" s="359"/>
      <c r="D1711" s="359"/>
      <c r="E1711" s="359"/>
      <c r="F1711" s="360"/>
      <c r="G1711" s="360"/>
      <c r="H1711" s="359"/>
      <c r="I1711" s="359"/>
      <c r="J1711" s="359"/>
      <c r="K1711" s="359"/>
      <c r="L1711" s="361"/>
      <c r="M1711" s="359"/>
      <c r="N1711" s="359"/>
      <c r="O1711" s="359"/>
      <c r="P1711" s="359"/>
      <c r="Q1711" s="359"/>
      <c r="R1711" s="359"/>
      <c r="S1711" s="359"/>
      <c r="T1711" s="359"/>
      <c r="U1711" s="359"/>
    </row>
    <row r="1712" ht="15.75" customHeight="1">
      <c r="A1712" s="226"/>
      <c r="B1712" s="359"/>
      <c r="C1712" s="359"/>
      <c r="D1712" s="359"/>
      <c r="E1712" s="359"/>
      <c r="F1712" s="360"/>
      <c r="G1712" s="360"/>
      <c r="H1712" s="359"/>
      <c r="I1712" s="359"/>
      <c r="J1712" s="359"/>
      <c r="K1712" s="359"/>
      <c r="L1712" s="361"/>
      <c r="M1712" s="359"/>
      <c r="N1712" s="359"/>
      <c r="O1712" s="359"/>
      <c r="P1712" s="359"/>
      <c r="Q1712" s="359"/>
      <c r="R1712" s="359"/>
      <c r="S1712" s="359"/>
      <c r="T1712" s="359"/>
      <c r="U1712" s="359"/>
    </row>
    <row r="1713" ht="15.75" customHeight="1">
      <c r="A1713" s="226"/>
      <c r="B1713" s="359"/>
      <c r="C1713" s="359"/>
      <c r="D1713" s="359"/>
      <c r="E1713" s="359"/>
      <c r="F1713" s="360"/>
      <c r="G1713" s="360"/>
      <c r="H1713" s="359"/>
      <c r="I1713" s="359"/>
      <c r="J1713" s="359"/>
      <c r="K1713" s="359"/>
      <c r="L1713" s="361"/>
      <c r="M1713" s="359"/>
      <c r="N1713" s="359"/>
      <c r="O1713" s="359"/>
      <c r="P1713" s="359"/>
      <c r="Q1713" s="359"/>
      <c r="R1713" s="359"/>
      <c r="S1713" s="359"/>
      <c r="T1713" s="359"/>
      <c r="U1713" s="359"/>
    </row>
    <row r="1714" ht="15.75" customHeight="1">
      <c r="A1714" s="226"/>
      <c r="B1714" s="359"/>
      <c r="C1714" s="359"/>
      <c r="D1714" s="359"/>
      <c r="E1714" s="359"/>
      <c r="F1714" s="360"/>
      <c r="G1714" s="360"/>
      <c r="H1714" s="359"/>
      <c r="I1714" s="359"/>
      <c r="J1714" s="359"/>
      <c r="K1714" s="359"/>
      <c r="L1714" s="361"/>
      <c r="M1714" s="359"/>
      <c r="N1714" s="359"/>
      <c r="O1714" s="359"/>
      <c r="P1714" s="359"/>
      <c r="Q1714" s="359"/>
      <c r="R1714" s="359"/>
      <c r="S1714" s="359"/>
      <c r="T1714" s="359"/>
      <c r="U1714" s="359"/>
    </row>
    <row r="1715" ht="15.75" customHeight="1">
      <c r="A1715" s="226"/>
      <c r="B1715" s="359"/>
      <c r="C1715" s="359"/>
      <c r="D1715" s="359"/>
      <c r="E1715" s="359"/>
      <c r="F1715" s="360"/>
      <c r="G1715" s="360"/>
      <c r="H1715" s="359"/>
      <c r="I1715" s="359"/>
      <c r="J1715" s="359"/>
      <c r="K1715" s="359"/>
      <c r="L1715" s="361"/>
      <c r="M1715" s="359"/>
      <c r="N1715" s="359"/>
      <c r="O1715" s="359"/>
      <c r="P1715" s="359"/>
      <c r="Q1715" s="359"/>
      <c r="R1715" s="359"/>
      <c r="S1715" s="359"/>
      <c r="T1715" s="359"/>
      <c r="U1715" s="359"/>
    </row>
    <row r="1716" ht="15.75" customHeight="1">
      <c r="A1716" s="226"/>
      <c r="B1716" s="359"/>
      <c r="C1716" s="359"/>
      <c r="D1716" s="359"/>
      <c r="E1716" s="359"/>
      <c r="F1716" s="360"/>
      <c r="G1716" s="360"/>
      <c r="H1716" s="359"/>
      <c r="I1716" s="359"/>
      <c r="J1716" s="359"/>
      <c r="K1716" s="359"/>
      <c r="L1716" s="361"/>
      <c r="M1716" s="359"/>
      <c r="N1716" s="359"/>
      <c r="O1716" s="359"/>
      <c r="P1716" s="359"/>
      <c r="Q1716" s="359"/>
      <c r="R1716" s="359"/>
      <c r="S1716" s="359"/>
      <c r="T1716" s="359"/>
      <c r="U1716" s="359"/>
    </row>
    <row r="1717" ht="15.75" customHeight="1">
      <c r="A1717" s="226"/>
      <c r="B1717" s="359"/>
      <c r="C1717" s="359"/>
      <c r="D1717" s="359"/>
      <c r="E1717" s="359"/>
      <c r="F1717" s="360"/>
      <c r="G1717" s="360"/>
      <c r="H1717" s="359"/>
      <c r="I1717" s="359"/>
      <c r="J1717" s="359"/>
      <c r="K1717" s="359"/>
      <c r="L1717" s="361"/>
      <c r="M1717" s="359"/>
      <c r="N1717" s="359"/>
      <c r="O1717" s="359"/>
      <c r="P1717" s="359"/>
      <c r="Q1717" s="359"/>
      <c r="R1717" s="359"/>
      <c r="S1717" s="359"/>
      <c r="T1717" s="359"/>
      <c r="U1717" s="359"/>
    </row>
    <row r="1718" ht="15.75" customHeight="1">
      <c r="A1718" s="226"/>
      <c r="B1718" s="359"/>
      <c r="C1718" s="359"/>
      <c r="D1718" s="359"/>
      <c r="E1718" s="359"/>
      <c r="F1718" s="360"/>
      <c r="G1718" s="360"/>
      <c r="H1718" s="359"/>
      <c r="I1718" s="359"/>
      <c r="J1718" s="359"/>
      <c r="K1718" s="359"/>
      <c r="L1718" s="361"/>
      <c r="M1718" s="359"/>
      <c r="N1718" s="359"/>
      <c r="O1718" s="359"/>
      <c r="P1718" s="359"/>
      <c r="Q1718" s="359"/>
      <c r="R1718" s="359"/>
      <c r="S1718" s="359"/>
      <c r="T1718" s="359"/>
      <c r="U1718" s="359"/>
    </row>
    <row r="1719" ht="15.75" customHeight="1">
      <c r="A1719" s="226"/>
      <c r="B1719" s="359"/>
      <c r="C1719" s="359"/>
      <c r="D1719" s="359"/>
      <c r="E1719" s="359"/>
      <c r="F1719" s="360"/>
      <c r="G1719" s="360"/>
      <c r="H1719" s="359"/>
      <c r="I1719" s="359"/>
      <c r="J1719" s="359"/>
      <c r="K1719" s="359"/>
      <c r="L1719" s="361"/>
      <c r="M1719" s="359"/>
      <c r="N1719" s="359"/>
      <c r="O1719" s="359"/>
      <c r="P1719" s="359"/>
      <c r="Q1719" s="359"/>
      <c r="R1719" s="359"/>
      <c r="S1719" s="359"/>
      <c r="T1719" s="359"/>
      <c r="U1719" s="359"/>
    </row>
    <row r="1720" ht="15.75" customHeight="1">
      <c r="A1720" s="226"/>
      <c r="B1720" s="359"/>
      <c r="C1720" s="359"/>
      <c r="D1720" s="359"/>
      <c r="E1720" s="359"/>
      <c r="F1720" s="360"/>
      <c r="G1720" s="360"/>
      <c r="H1720" s="359"/>
      <c r="I1720" s="359"/>
      <c r="J1720" s="359"/>
      <c r="K1720" s="359"/>
      <c r="L1720" s="361"/>
      <c r="M1720" s="359"/>
      <c r="N1720" s="359"/>
      <c r="O1720" s="359"/>
      <c r="P1720" s="359"/>
      <c r="Q1720" s="359"/>
      <c r="R1720" s="359"/>
      <c r="S1720" s="359"/>
      <c r="T1720" s="359"/>
      <c r="U1720" s="359"/>
    </row>
    <row r="1721" ht="15.75" customHeight="1">
      <c r="A1721" s="226"/>
      <c r="B1721" s="359"/>
      <c r="C1721" s="359"/>
      <c r="D1721" s="359"/>
      <c r="E1721" s="359"/>
      <c r="F1721" s="360"/>
      <c r="G1721" s="360"/>
      <c r="H1721" s="359"/>
      <c r="I1721" s="359"/>
      <c r="J1721" s="359"/>
      <c r="K1721" s="359"/>
      <c r="L1721" s="361"/>
      <c r="M1721" s="359"/>
      <c r="N1721" s="359"/>
      <c r="O1721" s="359"/>
      <c r="P1721" s="359"/>
      <c r="Q1721" s="359"/>
      <c r="R1721" s="359"/>
      <c r="S1721" s="359"/>
      <c r="T1721" s="359"/>
      <c r="U1721" s="359"/>
    </row>
    <row r="1722" ht="15.75" customHeight="1">
      <c r="A1722" s="226"/>
      <c r="B1722" s="359"/>
      <c r="C1722" s="359"/>
      <c r="D1722" s="359"/>
      <c r="E1722" s="359"/>
      <c r="F1722" s="360"/>
      <c r="G1722" s="360"/>
      <c r="H1722" s="359"/>
      <c r="I1722" s="359"/>
      <c r="J1722" s="359"/>
      <c r="K1722" s="359"/>
      <c r="L1722" s="361"/>
      <c r="M1722" s="359"/>
      <c r="N1722" s="359"/>
      <c r="O1722" s="359"/>
      <c r="P1722" s="359"/>
      <c r="Q1722" s="359"/>
      <c r="R1722" s="359"/>
      <c r="S1722" s="359"/>
      <c r="T1722" s="359"/>
      <c r="U1722" s="359"/>
    </row>
    <row r="1723" ht="15.75" customHeight="1">
      <c r="A1723" s="226"/>
      <c r="B1723" s="359"/>
      <c r="C1723" s="359"/>
      <c r="D1723" s="359"/>
      <c r="E1723" s="359"/>
      <c r="F1723" s="360"/>
      <c r="G1723" s="360"/>
      <c r="H1723" s="359"/>
      <c r="I1723" s="359"/>
      <c r="J1723" s="359"/>
      <c r="K1723" s="359"/>
      <c r="L1723" s="361"/>
      <c r="M1723" s="359"/>
      <c r="N1723" s="359"/>
      <c r="O1723" s="359"/>
      <c r="P1723" s="359"/>
      <c r="Q1723" s="359"/>
      <c r="R1723" s="359"/>
      <c r="S1723" s="359"/>
      <c r="T1723" s="359"/>
      <c r="U1723" s="359"/>
    </row>
    <row r="1724" ht="15.75" customHeight="1">
      <c r="A1724" s="226"/>
      <c r="B1724" s="359"/>
      <c r="C1724" s="359"/>
      <c r="D1724" s="359"/>
      <c r="E1724" s="359"/>
      <c r="F1724" s="360"/>
      <c r="G1724" s="360"/>
      <c r="H1724" s="359"/>
      <c r="I1724" s="359"/>
      <c r="J1724" s="359"/>
      <c r="K1724" s="359"/>
      <c r="L1724" s="361"/>
      <c r="M1724" s="359"/>
      <c r="N1724" s="359"/>
      <c r="O1724" s="359"/>
      <c r="P1724" s="359"/>
      <c r="Q1724" s="359"/>
      <c r="R1724" s="359"/>
      <c r="S1724" s="359"/>
      <c r="T1724" s="359"/>
      <c r="U1724" s="359"/>
    </row>
    <row r="1725" ht="15.75" customHeight="1">
      <c r="A1725" s="226"/>
      <c r="B1725" s="359"/>
      <c r="C1725" s="359"/>
      <c r="D1725" s="359"/>
      <c r="E1725" s="359"/>
      <c r="F1725" s="360"/>
      <c r="G1725" s="360"/>
      <c r="H1725" s="359"/>
      <c r="I1725" s="359"/>
      <c r="J1725" s="359"/>
      <c r="K1725" s="359"/>
      <c r="L1725" s="361"/>
      <c r="M1725" s="359"/>
      <c r="N1725" s="359"/>
      <c r="O1725" s="359"/>
      <c r="P1725" s="359"/>
      <c r="Q1725" s="359"/>
      <c r="R1725" s="359"/>
      <c r="S1725" s="359"/>
      <c r="T1725" s="359"/>
      <c r="U1725" s="359"/>
    </row>
    <row r="1726" ht="15.75" customHeight="1">
      <c r="A1726" s="226"/>
      <c r="B1726" s="359"/>
      <c r="C1726" s="359"/>
      <c r="D1726" s="359"/>
      <c r="E1726" s="359"/>
      <c r="F1726" s="360"/>
      <c r="G1726" s="360"/>
      <c r="H1726" s="359"/>
      <c r="I1726" s="359"/>
      <c r="J1726" s="359"/>
      <c r="K1726" s="359"/>
      <c r="L1726" s="361"/>
      <c r="M1726" s="359"/>
      <c r="N1726" s="359"/>
      <c r="O1726" s="359"/>
      <c r="P1726" s="359"/>
      <c r="Q1726" s="359"/>
      <c r="R1726" s="359"/>
      <c r="S1726" s="359"/>
      <c r="T1726" s="359"/>
      <c r="U1726" s="359"/>
    </row>
    <row r="1727" ht="15.75" customHeight="1">
      <c r="A1727" s="226"/>
      <c r="B1727" s="359"/>
      <c r="C1727" s="359"/>
      <c r="D1727" s="359"/>
      <c r="E1727" s="359"/>
      <c r="F1727" s="360"/>
      <c r="G1727" s="360"/>
      <c r="H1727" s="359"/>
      <c r="I1727" s="359"/>
      <c r="J1727" s="359"/>
      <c r="K1727" s="359"/>
      <c r="L1727" s="361"/>
      <c r="M1727" s="359"/>
      <c r="N1727" s="359"/>
      <c r="O1727" s="359"/>
      <c r="P1727" s="359"/>
      <c r="Q1727" s="359"/>
      <c r="R1727" s="359"/>
      <c r="S1727" s="359"/>
      <c r="T1727" s="359"/>
      <c r="U1727" s="359"/>
    </row>
    <row r="1728" ht="15.75" customHeight="1">
      <c r="A1728" s="226"/>
      <c r="B1728" s="359"/>
      <c r="C1728" s="359"/>
      <c r="D1728" s="359"/>
      <c r="E1728" s="359"/>
      <c r="F1728" s="360"/>
      <c r="G1728" s="360"/>
      <c r="H1728" s="359"/>
      <c r="I1728" s="359"/>
      <c r="J1728" s="359"/>
      <c r="K1728" s="359"/>
      <c r="L1728" s="361"/>
      <c r="M1728" s="359"/>
      <c r="N1728" s="359"/>
      <c r="O1728" s="359"/>
      <c r="P1728" s="359"/>
      <c r="Q1728" s="359"/>
      <c r="R1728" s="359"/>
      <c r="S1728" s="359"/>
      <c r="T1728" s="359"/>
      <c r="U1728" s="359"/>
    </row>
    <row r="1729" ht="15.75" customHeight="1">
      <c r="A1729" s="226"/>
      <c r="B1729" s="359"/>
      <c r="C1729" s="359"/>
      <c r="D1729" s="359"/>
      <c r="E1729" s="359"/>
      <c r="F1729" s="360"/>
      <c r="G1729" s="360"/>
      <c r="H1729" s="359"/>
      <c r="I1729" s="359"/>
      <c r="J1729" s="359"/>
      <c r="K1729" s="359"/>
      <c r="L1729" s="361"/>
      <c r="M1729" s="359"/>
      <c r="N1729" s="359"/>
      <c r="O1729" s="359"/>
      <c r="P1729" s="359"/>
      <c r="Q1729" s="359"/>
      <c r="R1729" s="359"/>
      <c r="S1729" s="359"/>
      <c r="T1729" s="359"/>
      <c r="U1729" s="359"/>
    </row>
    <row r="1730" ht="15.75" customHeight="1">
      <c r="A1730" s="226"/>
      <c r="B1730" s="359"/>
      <c r="C1730" s="359"/>
      <c r="D1730" s="359"/>
      <c r="E1730" s="359"/>
      <c r="F1730" s="360"/>
      <c r="G1730" s="360"/>
      <c r="H1730" s="359"/>
      <c r="I1730" s="359"/>
      <c r="J1730" s="359"/>
      <c r="K1730" s="359"/>
      <c r="L1730" s="361"/>
      <c r="M1730" s="359"/>
      <c r="N1730" s="359"/>
      <c r="O1730" s="359"/>
      <c r="P1730" s="359"/>
      <c r="Q1730" s="359"/>
      <c r="R1730" s="359"/>
      <c r="S1730" s="359"/>
      <c r="T1730" s="359"/>
      <c r="U1730" s="359"/>
    </row>
    <row r="1731" ht="15.75" customHeight="1">
      <c r="A1731" s="226"/>
      <c r="B1731" s="359"/>
      <c r="C1731" s="359"/>
      <c r="D1731" s="359"/>
      <c r="E1731" s="359"/>
      <c r="F1731" s="360"/>
      <c r="G1731" s="360"/>
      <c r="H1731" s="359"/>
      <c r="I1731" s="359"/>
      <c r="J1731" s="359"/>
      <c r="K1731" s="359"/>
      <c r="L1731" s="361"/>
      <c r="M1731" s="359"/>
      <c r="N1731" s="359"/>
      <c r="O1731" s="359"/>
      <c r="P1731" s="359"/>
      <c r="Q1731" s="359"/>
      <c r="R1731" s="359"/>
      <c r="S1731" s="359"/>
      <c r="T1731" s="359"/>
      <c r="U1731" s="359"/>
    </row>
    <row r="1732" ht="15.75" customHeight="1">
      <c r="A1732" s="226"/>
      <c r="B1732" s="359"/>
      <c r="C1732" s="359"/>
      <c r="D1732" s="359"/>
      <c r="E1732" s="359"/>
      <c r="F1732" s="360"/>
      <c r="G1732" s="360"/>
      <c r="H1732" s="359"/>
      <c r="I1732" s="359"/>
      <c r="J1732" s="359"/>
      <c r="K1732" s="359"/>
      <c r="L1732" s="361"/>
      <c r="M1732" s="359"/>
      <c r="N1732" s="359"/>
      <c r="O1732" s="359"/>
      <c r="P1732" s="359"/>
      <c r="Q1732" s="359"/>
      <c r="R1732" s="359"/>
      <c r="S1732" s="359"/>
      <c r="T1732" s="359"/>
      <c r="U1732" s="359"/>
    </row>
    <row r="1733" ht="15.75" customHeight="1">
      <c r="A1733" s="226"/>
      <c r="B1733" s="359"/>
      <c r="C1733" s="359"/>
      <c r="D1733" s="359"/>
      <c r="E1733" s="359"/>
      <c r="F1733" s="360"/>
      <c r="G1733" s="360"/>
      <c r="H1733" s="359"/>
      <c r="I1733" s="359"/>
      <c r="J1733" s="359"/>
      <c r="K1733" s="359"/>
      <c r="L1733" s="361"/>
      <c r="M1733" s="359"/>
      <c r="N1733" s="359"/>
      <c r="O1733" s="359"/>
      <c r="P1733" s="359"/>
      <c r="Q1733" s="359"/>
      <c r="R1733" s="359"/>
      <c r="S1733" s="359"/>
      <c r="T1733" s="359"/>
      <c r="U1733" s="359"/>
    </row>
    <row r="1734" ht="15.75" customHeight="1">
      <c r="A1734" s="226"/>
      <c r="B1734" s="359"/>
      <c r="C1734" s="359"/>
      <c r="D1734" s="359"/>
      <c r="E1734" s="359"/>
      <c r="F1734" s="360"/>
      <c r="G1734" s="360"/>
      <c r="H1734" s="359"/>
      <c r="I1734" s="359"/>
      <c r="J1734" s="359"/>
      <c r="K1734" s="359"/>
      <c r="L1734" s="361"/>
      <c r="M1734" s="359"/>
      <c r="N1734" s="359"/>
      <c r="O1734" s="359"/>
      <c r="P1734" s="359"/>
      <c r="Q1734" s="359"/>
      <c r="R1734" s="359"/>
      <c r="S1734" s="359"/>
      <c r="T1734" s="359"/>
      <c r="U1734" s="359"/>
    </row>
    <row r="1735" ht="15.75" customHeight="1">
      <c r="A1735" s="226"/>
      <c r="B1735" s="359"/>
      <c r="C1735" s="359"/>
      <c r="D1735" s="359"/>
      <c r="E1735" s="359"/>
      <c r="F1735" s="360"/>
      <c r="G1735" s="360"/>
      <c r="H1735" s="359"/>
      <c r="I1735" s="359"/>
      <c r="J1735" s="359"/>
      <c r="K1735" s="359"/>
      <c r="L1735" s="361"/>
      <c r="M1735" s="359"/>
      <c r="N1735" s="359"/>
      <c r="O1735" s="359"/>
      <c r="P1735" s="359"/>
      <c r="Q1735" s="359"/>
      <c r="R1735" s="359"/>
      <c r="S1735" s="359"/>
      <c r="T1735" s="359"/>
      <c r="U1735" s="359"/>
    </row>
    <row r="1736" ht="15.75" customHeight="1">
      <c r="A1736" s="226"/>
      <c r="B1736" s="359"/>
      <c r="C1736" s="359"/>
      <c r="D1736" s="359"/>
      <c r="E1736" s="359"/>
      <c r="F1736" s="360"/>
      <c r="G1736" s="360"/>
      <c r="H1736" s="359"/>
      <c r="I1736" s="359"/>
      <c r="J1736" s="359"/>
      <c r="K1736" s="359"/>
      <c r="L1736" s="361"/>
      <c r="M1736" s="359"/>
      <c r="N1736" s="359"/>
      <c r="O1736" s="359"/>
      <c r="P1736" s="359"/>
      <c r="Q1736" s="359"/>
      <c r="R1736" s="359"/>
      <c r="S1736" s="359"/>
      <c r="T1736" s="359"/>
      <c r="U1736" s="359"/>
    </row>
    <row r="1737" ht="15.75" customHeight="1">
      <c r="A1737" s="226"/>
      <c r="B1737" s="359"/>
      <c r="C1737" s="359"/>
      <c r="D1737" s="359"/>
      <c r="E1737" s="359"/>
      <c r="F1737" s="360"/>
      <c r="G1737" s="360"/>
      <c r="H1737" s="359"/>
      <c r="I1737" s="359"/>
      <c r="J1737" s="359"/>
      <c r="K1737" s="359"/>
      <c r="L1737" s="361"/>
      <c r="M1737" s="359"/>
      <c r="N1737" s="359"/>
      <c r="O1737" s="359"/>
      <c r="P1737" s="359"/>
      <c r="Q1737" s="359"/>
      <c r="R1737" s="359"/>
      <c r="S1737" s="359"/>
      <c r="T1737" s="359"/>
      <c r="U1737" s="359"/>
    </row>
    <row r="1738" ht="15.75" customHeight="1">
      <c r="A1738" s="226"/>
      <c r="B1738" s="359"/>
      <c r="C1738" s="359"/>
      <c r="D1738" s="359"/>
      <c r="E1738" s="359"/>
      <c r="F1738" s="360"/>
      <c r="G1738" s="360"/>
      <c r="H1738" s="359"/>
      <c r="I1738" s="359"/>
      <c r="J1738" s="359"/>
      <c r="K1738" s="359"/>
      <c r="L1738" s="361"/>
      <c r="M1738" s="359"/>
      <c r="N1738" s="359"/>
      <c r="O1738" s="359"/>
      <c r="P1738" s="359"/>
      <c r="Q1738" s="359"/>
      <c r="R1738" s="359"/>
      <c r="S1738" s="359"/>
      <c r="T1738" s="359"/>
      <c r="U1738" s="359"/>
    </row>
    <row r="1739" ht="15.75" customHeight="1">
      <c r="A1739" s="226"/>
      <c r="B1739" s="359"/>
      <c r="C1739" s="359"/>
      <c r="D1739" s="359"/>
      <c r="E1739" s="359"/>
      <c r="F1739" s="360"/>
      <c r="G1739" s="360"/>
      <c r="H1739" s="359"/>
      <c r="I1739" s="359"/>
      <c r="J1739" s="359"/>
      <c r="K1739" s="359"/>
      <c r="L1739" s="361"/>
      <c r="M1739" s="359"/>
      <c r="N1739" s="359"/>
      <c r="O1739" s="359"/>
      <c r="P1739" s="359"/>
      <c r="Q1739" s="359"/>
      <c r="R1739" s="359"/>
      <c r="S1739" s="359"/>
      <c r="T1739" s="359"/>
      <c r="U1739" s="359"/>
    </row>
    <row r="1740" ht="15.75" customHeight="1">
      <c r="A1740" s="226"/>
      <c r="B1740" s="359"/>
      <c r="C1740" s="359"/>
      <c r="D1740" s="359"/>
      <c r="E1740" s="359"/>
      <c r="F1740" s="360"/>
      <c r="G1740" s="360"/>
      <c r="H1740" s="359"/>
      <c r="I1740" s="359"/>
      <c r="J1740" s="359"/>
      <c r="K1740" s="359"/>
      <c r="L1740" s="361"/>
      <c r="M1740" s="359"/>
      <c r="N1740" s="359"/>
      <c r="O1740" s="359"/>
      <c r="P1740" s="359"/>
      <c r="Q1740" s="359"/>
      <c r="R1740" s="359"/>
      <c r="S1740" s="359"/>
      <c r="T1740" s="359"/>
      <c r="U1740" s="359"/>
    </row>
    <row r="1741" ht="15.75" customHeight="1">
      <c r="A1741" s="226"/>
      <c r="B1741" s="359"/>
      <c r="C1741" s="359"/>
      <c r="D1741" s="359"/>
      <c r="E1741" s="359"/>
      <c r="F1741" s="360"/>
      <c r="G1741" s="360"/>
      <c r="H1741" s="359"/>
      <c r="I1741" s="359"/>
      <c r="J1741" s="359"/>
      <c r="K1741" s="359"/>
      <c r="L1741" s="361"/>
      <c r="M1741" s="359"/>
      <c r="N1741" s="359"/>
      <c r="O1741" s="359"/>
      <c r="P1741" s="359"/>
      <c r="Q1741" s="359"/>
      <c r="R1741" s="359"/>
      <c r="S1741" s="359"/>
      <c r="T1741" s="359"/>
      <c r="U1741" s="359"/>
    </row>
    <row r="1742" ht="15.75" customHeight="1">
      <c r="A1742" s="226"/>
      <c r="B1742" s="359"/>
      <c r="C1742" s="359"/>
      <c r="D1742" s="359"/>
      <c r="E1742" s="359"/>
      <c r="F1742" s="360"/>
      <c r="G1742" s="360"/>
      <c r="H1742" s="359"/>
      <c r="I1742" s="359"/>
      <c r="J1742" s="359"/>
      <c r="K1742" s="359"/>
      <c r="L1742" s="361"/>
      <c r="M1742" s="359"/>
      <c r="N1742" s="359"/>
      <c r="O1742" s="359"/>
      <c r="P1742" s="359"/>
      <c r="Q1742" s="359"/>
      <c r="R1742" s="359"/>
      <c r="S1742" s="359"/>
      <c r="T1742" s="359"/>
      <c r="U1742" s="359"/>
    </row>
    <row r="1743" ht="15.75" customHeight="1">
      <c r="A1743" s="226"/>
      <c r="B1743" s="359"/>
      <c r="C1743" s="359"/>
      <c r="D1743" s="359"/>
      <c r="E1743" s="359"/>
      <c r="F1743" s="360"/>
      <c r="G1743" s="360"/>
      <c r="H1743" s="359"/>
      <c r="I1743" s="359"/>
      <c r="J1743" s="359"/>
      <c r="K1743" s="359"/>
      <c r="L1743" s="361"/>
      <c r="M1743" s="359"/>
      <c r="N1743" s="359"/>
      <c r="O1743" s="359"/>
      <c r="P1743" s="359"/>
      <c r="Q1743" s="359"/>
      <c r="R1743" s="359"/>
      <c r="S1743" s="359"/>
      <c r="T1743" s="359"/>
      <c r="U1743" s="359"/>
    </row>
    <row r="1744" ht="15.75" customHeight="1">
      <c r="A1744" s="226"/>
      <c r="B1744" s="359"/>
      <c r="C1744" s="359"/>
      <c r="D1744" s="359"/>
      <c r="E1744" s="359"/>
      <c r="F1744" s="360"/>
      <c r="G1744" s="360"/>
      <c r="H1744" s="359"/>
      <c r="I1744" s="359"/>
      <c r="J1744" s="359"/>
      <c r="K1744" s="359"/>
      <c r="L1744" s="361"/>
      <c r="M1744" s="359"/>
      <c r="N1744" s="359"/>
      <c r="O1744" s="359"/>
      <c r="P1744" s="359"/>
      <c r="Q1744" s="359"/>
      <c r="R1744" s="359"/>
      <c r="S1744" s="359"/>
      <c r="T1744" s="359"/>
      <c r="U1744" s="359"/>
    </row>
    <row r="1745" ht="15.75" customHeight="1">
      <c r="A1745" s="226"/>
      <c r="B1745" s="359"/>
      <c r="C1745" s="359"/>
      <c r="D1745" s="359"/>
      <c r="E1745" s="359"/>
      <c r="F1745" s="360"/>
      <c r="G1745" s="360"/>
      <c r="H1745" s="359"/>
      <c r="I1745" s="359"/>
      <c r="J1745" s="359"/>
      <c r="K1745" s="359"/>
      <c r="L1745" s="361"/>
      <c r="M1745" s="359"/>
      <c r="N1745" s="359"/>
      <c r="O1745" s="359"/>
      <c r="P1745" s="359"/>
      <c r="Q1745" s="359"/>
      <c r="R1745" s="359"/>
      <c r="S1745" s="359"/>
      <c r="T1745" s="359"/>
      <c r="U1745" s="359"/>
    </row>
    <row r="1746" ht="15.75" customHeight="1">
      <c r="A1746" s="226"/>
      <c r="B1746" s="359"/>
      <c r="C1746" s="359"/>
      <c r="D1746" s="359"/>
      <c r="E1746" s="359"/>
      <c r="F1746" s="360"/>
      <c r="G1746" s="360"/>
      <c r="H1746" s="359"/>
      <c r="I1746" s="359"/>
      <c r="J1746" s="359"/>
      <c r="K1746" s="359"/>
      <c r="L1746" s="361"/>
      <c r="M1746" s="359"/>
      <c r="N1746" s="359"/>
      <c r="O1746" s="359"/>
      <c r="P1746" s="359"/>
      <c r="Q1746" s="359"/>
      <c r="R1746" s="359"/>
      <c r="S1746" s="359"/>
      <c r="T1746" s="359"/>
      <c r="U1746" s="359"/>
    </row>
    <row r="1747" ht="15.75" customHeight="1">
      <c r="A1747" s="226"/>
      <c r="B1747" s="359"/>
      <c r="C1747" s="359"/>
      <c r="D1747" s="359"/>
      <c r="E1747" s="359"/>
      <c r="F1747" s="360"/>
      <c r="G1747" s="360"/>
      <c r="H1747" s="359"/>
      <c r="I1747" s="359"/>
      <c r="J1747" s="359"/>
      <c r="K1747" s="359"/>
      <c r="L1747" s="361"/>
      <c r="M1747" s="359"/>
      <c r="N1747" s="359"/>
      <c r="O1747" s="359"/>
      <c r="P1747" s="359"/>
      <c r="Q1747" s="359"/>
      <c r="R1747" s="359"/>
      <c r="S1747" s="359"/>
      <c r="T1747" s="359"/>
      <c r="U1747" s="359"/>
    </row>
    <row r="1748" ht="15.75" customHeight="1">
      <c r="A1748" s="226"/>
      <c r="B1748" s="359"/>
      <c r="C1748" s="359"/>
      <c r="D1748" s="359"/>
      <c r="E1748" s="359"/>
      <c r="F1748" s="360"/>
      <c r="G1748" s="360"/>
      <c r="H1748" s="359"/>
      <c r="I1748" s="359"/>
      <c r="J1748" s="359"/>
      <c r="K1748" s="359"/>
      <c r="L1748" s="361"/>
      <c r="M1748" s="359"/>
      <c r="N1748" s="359"/>
      <c r="O1748" s="359"/>
      <c r="P1748" s="359"/>
      <c r="Q1748" s="359"/>
      <c r="R1748" s="359"/>
      <c r="S1748" s="359"/>
      <c r="T1748" s="359"/>
      <c r="U1748" s="359"/>
    </row>
    <row r="1749" ht="15.75" customHeight="1">
      <c r="A1749" s="226"/>
      <c r="B1749" s="359"/>
      <c r="C1749" s="359"/>
      <c r="D1749" s="359"/>
      <c r="E1749" s="359"/>
      <c r="F1749" s="360"/>
      <c r="G1749" s="360"/>
      <c r="H1749" s="359"/>
      <c r="I1749" s="359"/>
      <c r="J1749" s="359"/>
      <c r="K1749" s="359"/>
      <c r="L1749" s="361"/>
      <c r="M1749" s="359"/>
      <c r="N1749" s="359"/>
      <c r="O1749" s="359"/>
      <c r="P1749" s="359"/>
      <c r="Q1749" s="359"/>
      <c r="R1749" s="359"/>
      <c r="S1749" s="359"/>
      <c r="T1749" s="359"/>
      <c r="U1749" s="359"/>
    </row>
    <row r="1750" ht="15.75" customHeight="1">
      <c r="A1750" s="226"/>
      <c r="B1750" s="359"/>
      <c r="C1750" s="359"/>
      <c r="D1750" s="359"/>
      <c r="E1750" s="359"/>
      <c r="F1750" s="360"/>
      <c r="G1750" s="360"/>
      <c r="H1750" s="359"/>
      <c r="I1750" s="359"/>
      <c r="J1750" s="359"/>
      <c r="K1750" s="359"/>
      <c r="L1750" s="361"/>
      <c r="M1750" s="359"/>
      <c r="N1750" s="359"/>
      <c r="O1750" s="359"/>
      <c r="P1750" s="359"/>
      <c r="Q1750" s="359"/>
      <c r="R1750" s="359"/>
      <c r="S1750" s="359"/>
      <c r="T1750" s="359"/>
      <c r="U1750" s="359"/>
    </row>
    <row r="1751" ht="15.75" customHeight="1">
      <c r="A1751" s="226"/>
      <c r="B1751" s="359"/>
      <c r="C1751" s="359"/>
      <c r="D1751" s="359"/>
      <c r="E1751" s="359"/>
      <c r="F1751" s="360"/>
      <c r="G1751" s="360"/>
      <c r="H1751" s="359"/>
      <c r="I1751" s="359"/>
      <c r="J1751" s="359"/>
      <c r="K1751" s="359"/>
      <c r="L1751" s="361"/>
      <c r="M1751" s="359"/>
      <c r="N1751" s="359"/>
      <c r="O1751" s="359"/>
      <c r="P1751" s="359"/>
      <c r="Q1751" s="359"/>
      <c r="R1751" s="359"/>
      <c r="S1751" s="359"/>
      <c r="T1751" s="359"/>
      <c r="U1751" s="359"/>
    </row>
    <row r="1752" ht="15.75" customHeight="1">
      <c r="A1752" s="226"/>
      <c r="B1752" s="359"/>
      <c r="C1752" s="359"/>
      <c r="D1752" s="359"/>
      <c r="E1752" s="359"/>
      <c r="F1752" s="360"/>
      <c r="G1752" s="360"/>
      <c r="H1752" s="359"/>
      <c r="I1752" s="359"/>
      <c r="J1752" s="359"/>
      <c r="K1752" s="359"/>
      <c r="L1752" s="361"/>
      <c r="M1752" s="359"/>
      <c r="N1752" s="359"/>
      <c r="O1752" s="359"/>
      <c r="P1752" s="359"/>
      <c r="Q1752" s="359"/>
      <c r="R1752" s="359"/>
      <c r="S1752" s="359"/>
      <c r="T1752" s="359"/>
      <c r="U1752" s="359"/>
    </row>
    <row r="1753" ht="15.75" customHeight="1">
      <c r="A1753" s="226"/>
      <c r="B1753" s="359"/>
      <c r="C1753" s="359"/>
      <c r="D1753" s="359"/>
      <c r="E1753" s="359"/>
      <c r="F1753" s="360"/>
      <c r="G1753" s="360"/>
      <c r="H1753" s="359"/>
      <c r="I1753" s="359"/>
      <c r="J1753" s="359"/>
      <c r="K1753" s="359"/>
      <c r="L1753" s="361"/>
      <c r="M1753" s="359"/>
      <c r="N1753" s="359"/>
      <c r="O1753" s="359"/>
      <c r="P1753" s="359"/>
      <c r="Q1753" s="359"/>
      <c r="R1753" s="359"/>
      <c r="S1753" s="359"/>
      <c r="T1753" s="359"/>
      <c r="U1753" s="359"/>
    </row>
    <row r="1754" ht="15.75" customHeight="1">
      <c r="A1754" s="226"/>
      <c r="B1754" s="359"/>
      <c r="C1754" s="359"/>
      <c r="D1754" s="359"/>
      <c r="E1754" s="359"/>
      <c r="F1754" s="360"/>
      <c r="G1754" s="360"/>
      <c r="H1754" s="359"/>
      <c r="I1754" s="359"/>
      <c r="J1754" s="359"/>
      <c r="K1754" s="359"/>
      <c r="L1754" s="361"/>
      <c r="M1754" s="359"/>
      <c r="N1754" s="359"/>
      <c r="O1754" s="359"/>
      <c r="P1754" s="359"/>
      <c r="Q1754" s="359"/>
      <c r="R1754" s="359"/>
      <c r="S1754" s="359"/>
      <c r="T1754" s="359"/>
      <c r="U1754" s="359"/>
    </row>
    <row r="1755" ht="15.75" customHeight="1">
      <c r="A1755" s="226"/>
      <c r="B1755" s="359"/>
      <c r="C1755" s="359"/>
      <c r="D1755" s="359"/>
      <c r="E1755" s="359"/>
      <c r="F1755" s="360"/>
      <c r="G1755" s="360"/>
      <c r="H1755" s="359"/>
      <c r="I1755" s="359"/>
      <c r="J1755" s="359"/>
      <c r="K1755" s="359"/>
      <c r="L1755" s="361"/>
      <c r="M1755" s="359"/>
      <c r="N1755" s="359"/>
      <c r="O1755" s="359"/>
      <c r="P1755" s="359"/>
      <c r="Q1755" s="359"/>
      <c r="R1755" s="359"/>
      <c r="S1755" s="359"/>
      <c r="T1755" s="359"/>
      <c r="U1755" s="359"/>
    </row>
    <row r="1756" ht="15.75" customHeight="1">
      <c r="A1756" s="226"/>
      <c r="B1756" s="359"/>
      <c r="C1756" s="359"/>
      <c r="D1756" s="359"/>
      <c r="E1756" s="359"/>
      <c r="F1756" s="360"/>
      <c r="G1756" s="360"/>
      <c r="H1756" s="359"/>
      <c r="I1756" s="359"/>
      <c r="J1756" s="359"/>
      <c r="K1756" s="359"/>
      <c r="L1756" s="361"/>
      <c r="M1756" s="359"/>
      <c r="N1756" s="359"/>
      <c r="O1756" s="359"/>
      <c r="P1756" s="359"/>
      <c r="Q1756" s="359"/>
      <c r="R1756" s="359"/>
      <c r="S1756" s="359"/>
      <c r="T1756" s="359"/>
      <c r="U1756" s="359"/>
    </row>
    <row r="1757" ht="15.75" customHeight="1">
      <c r="A1757" s="226"/>
      <c r="B1757" s="359"/>
      <c r="C1757" s="359"/>
      <c r="D1757" s="359"/>
      <c r="E1757" s="359"/>
      <c r="F1757" s="360"/>
      <c r="G1757" s="360"/>
      <c r="H1757" s="359"/>
      <c r="I1757" s="359"/>
      <c r="J1757" s="359"/>
      <c r="K1757" s="359"/>
      <c r="L1757" s="361"/>
      <c r="M1757" s="359"/>
      <c r="N1757" s="359"/>
      <c r="O1757" s="359"/>
      <c r="P1757" s="359"/>
      <c r="Q1757" s="359"/>
      <c r="R1757" s="359"/>
      <c r="S1757" s="359"/>
      <c r="T1757" s="359"/>
      <c r="U1757" s="359"/>
    </row>
    <row r="1758" ht="15.75" customHeight="1">
      <c r="A1758" s="226"/>
      <c r="B1758" s="359"/>
      <c r="C1758" s="359"/>
      <c r="D1758" s="359"/>
      <c r="E1758" s="359"/>
      <c r="F1758" s="360"/>
      <c r="G1758" s="360"/>
      <c r="H1758" s="359"/>
      <c r="I1758" s="359"/>
      <c r="J1758" s="359"/>
      <c r="K1758" s="359"/>
      <c r="L1758" s="361"/>
      <c r="M1758" s="359"/>
      <c r="N1758" s="359"/>
      <c r="O1758" s="359"/>
      <c r="P1758" s="359"/>
      <c r="Q1758" s="359"/>
      <c r="R1758" s="359"/>
      <c r="S1758" s="359"/>
      <c r="T1758" s="359"/>
      <c r="U1758" s="359"/>
    </row>
    <row r="1759" ht="15.75" customHeight="1">
      <c r="A1759" s="226"/>
      <c r="B1759" s="359"/>
      <c r="C1759" s="359"/>
      <c r="D1759" s="359"/>
      <c r="E1759" s="359"/>
      <c r="F1759" s="360"/>
      <c r="G1759" s="360"/>
      <c r="H1759" s="359"/>
      <c r="I1759" s="359"/>
      <c r="J1759" s="359"/>
      <c r="K1759" s="359"/>
      <c r="L1759" s="361"/>
      <c r="M1759" s="359"/>
      <c r="N1759" s="359"/>
      <c r="O1759" s="359"/>
      <c r="P1759" s="359"/>
      <c r="Q1759" s="359"/>
      <c r="R1759" s="359"/>
      <c r="S1759" s="359"/>
      <c r="T1759" s="359"/>
      <c r="U1759" s="359"/>
    </row>
    <row r="1760" ht="15.75" customHeight="1">
      <c r="A1760" s="226"/>
      <c r="B1760" s="359"/>
      <c r="C1760" s="359"/>
      <c r="D1760" s="359"/>
      <c r="E1760" s="359"/>
      <c r="F1760" s="360"/>
      <c r="G1760" s="360"/>
      <c r="H1760" s="359"/>
      <c r="I1760" s="359"/>
      <c r="J1760" s="359"/>
      <c r="K1760" s="359"/>
      <c r="L1760" s="361"/>
      <c r="M1760" s="359"/>
      <c r="N1760" s="359"/>
      <c r="O1760" s="359"/>
      <c r="P1760" s="359"/>
      <c r="Q1760" s="359"/>
      <c r="R1760" s="359"/>
      <c r="S1760" s="359"/>
      <c r="T1760" s="359"/>
      <c r="U1760" s="359"/>
    </row>
    <row r="1761" ht="15.75" customHeight="1">
      <c r="A1761" s="226"/>
      <c r="B1761" s="359"/>
      <c r="C1761" s="359"/>
      <c r="D1761" s="359"/>
      <c r="E1761" s="359"/>
      <c r="F1761" s="360"/>
      <c r="G1761" s="360"/>
      <c r="H1761" s="359"/>
      <c r="I1761" s="359"/>
      <c r="J1761" s="359"/>
      <c r="K1761" s="359"/>
      <c r="L1761" s="361"/>
      <c r="M1761" s="359"/>
      <c r="N1761" s="359"/>
      <c r="O1761" s="359"/>
      <c r="P1761" s="359"/>
      <c r="Q1761" s="359"/>
      <c r="R1761" s="359"/>
      <c r="S1761" s="359"/>
      <c r="T1761" s="359"/>
      <c r="U1761" s="359"/>
    </row>
    <row r="1762" ht="15.75" customHeight="1">
      <c r="A1762" s="226"/>
      <c r="B1762" s="359"/>
      <c r="C1762" s="359"/>
      <c r="D1762" s="359"/>
      <c r="E1762" s="359"/>
      <c r="F1762" s="360"/>
      <c r="G1762" s="360"/>
      <c r="H1762" s="359"/>
      <c r="I1762" s="359"/>
      <c r="J1762" s="359"/>
      <c r="K1762" s="359"/>
      <c r="L1762" s="361"/>
      <c r="M1762" s="359"/>
      <c r="N1762" s="359"/>
      <c r="O1762" s="359"/>
      <c r="P1762" s="359"/>
      <c r="Q1762" s="359"/>
      <c r="R1762" s="359"/>
      <c r="S1762" s="359"/>
      <c r="T1762" s="359"/>
      <c r="U1762" s="359"/>
    </row>
    <row r="1763" ht="15.75" customHeight="1">
      <c r="A1763" s="226"/>
      <c r="B1763" s="359"/>
      <c r="C1763" s="359"/>
      <c r="D1763" s="359"/>
      <c r="E1763" s="359"/>
      <c r="F1763" s="360"/>
      <c r="G1763" s="360"/>
      <c r="H1763" s="359"/>
      <c r="I1763" s="359"/>
      <c r="J1763" s="359"/>
      <c r="K1763" s="359"/>
      <c r="L1763" s="361"/>
      <c r="M1763" s="359"/>
      <c r="N1763" s="359"/>
      <c r="O1763" s="359"/>
      <c r="P1763" s="359"/>
      <c r="Q1763" s="359"/>
      <c r="R1763" s="359"/>
      <c r="S1763" s="359"/>
      <c r="T1763" s="359"/>
      <c r="U1763" s="359"/>
    </row>
    <row r="1764" ht="15.75" customHeight="1">
      <c r="A1764" s="226"/>
      <c r="B1764" s="359"/>
      <c r="C1764" s="359"/>
      <c r="D1764" s="359"/>
      <c r="E1764" s="359"/>
      <c r="F1764" s="360"/>
      <c r="G1764" s="360"/>
      <c r="H1764" s="359"/>
      <c r="I1764" s="359"/>
      <c r="J1764" s="359"/>
      <c r="K1764" s="359"/>
      <c r="L1764" s="361"/>
      <c r="M1764" s="359"/>
      <c r="N1764" s="359"/>
      <c r="O1764" s="359"/>
      <c r="P1764" s="359"/>
      <c r="Q1764" s="359"/>
      <c r="R1764" s="359"/>
      <c r="S1764" s="359"/>
      <c r="T1764" s="359"/>
      <c r="U1764" s="359"/>
    </row>
    <row r="1765" ht="15.75" customHeight="1">
      <c r="A1765" s="226"/>
      <c r="B1765" s="359"/>
      <c r="C1765" s="359"/>
      <c r="D1765" s="359"/>
      <c r="E1765" s="359"/>
      <c r="F1765" s="360"/>
      <c r="G1765" s="360"/>
      <c r="H1765" s="359"/>
      <c r="I1765" s="359"/>
      <c r="J1765" s="359"/>
      <c r="K1765" s="359"/>
      <c r="L1765" s="361"/>
      <c r="M1765" s="359"/>
      <c r="N1765" s="359"/>
      <c r="O1765" s="359"/>
      <c r="P1765" s="359"/>
      <c r="Q1765" s="359"/>
      <c r="R1765" s="359"/>
      <c r="S1765" s="359"/>
      <c r="T1765" s="359"/>
      <c r="U1765" s="359"/>
    </row>
    <row r="1766" ht="15.75" customHeight="1">
      <c r="A1766" s="226"/>
      <c r="B1766" s="359"/>
      <c r="C1766" s="359"/>
      <c r="D1766" s="359"/>
      <c r="E1766" s="359"/>
      <c r="F1766" s="360"/>
      <c r="G1766" s="360"/>
      <c r="H1766" s="359"/>
      <c r="I1766" s="359"/>
      <c r="J1766" s="359"/>
      <c r="K1766" s="359"/>
      <c r="L1766" s="361"/>
      <c r="M1766" s="359"/>
      <c r="N1766" s="359"/>
      <c r="O1766" s="359"/>
      <c r="P1766" s="359"/>
      <c r="Q1766" s="359"/>
      <c r="R1766" s="359"/>
      <c r="S1766" s="359"/>
      <c r="T1766" s="359"/>
      <c r="U1766" s="359"/>
    </row>
    <row r="1767" ht="15.75" customHeight="1">
      <c r="A1767" s="226"/>
      <c r="B1767" s="359"/>
      <c r="C1767" s="359"/>
      <c r="D1767" s="359"/>
      <c r="E1767" s="359"/>
      <c r="F1767" s="360"/>
      <c r="G1767" s="360"/>
      <c r="H1767" s="359"/>
      <c r="I1767" s="359"/>
      <c r="J1767" s="359"/>
      <c r="K1767" s="359"/>
      <c r="L1767" s="361"/>
      <c r="M1767" s="359"/>
      <c r="N1767" s="359"/>
      <c r="O1767" s="359"/>
      <c r="P1767" s="359"/>
      <c r="Q1767" s="359"/>
      <c r="R1767" s="359"/>
      <c r="S1767" s="359"/>
      <c r="T1767" s="359"/>
      <c r="U1767" s="359"/>
    </row>
    <row r="1768" ht="15.75" customHeight="1">
      <c r="A1768" s="226"/>
      <c r="B1768" s="359"/>
      <c r="C1768" s="359"/>
      <c r="D1768" s="359"/>
      <c r="E1768" s="359"/>
      <c r="F1768" s="360"/>
      <c r="G1768" s="360"/>
      <c r="H1768" s="359"/>
      <c r="I1768" s="359"/>
      <c r="J1768" s="359"/>
      <c r="K1768" s="359"/>
      <c r="L1768" s="361"/>
      <c r="M1768" s="359"/>
      <c r="N1768" s="359"/>
      <c r="O1768" s="359"/>
      <c r="P1768" s="359"/>
      <c r="Q1768" s="359"/>
      <c r="R1768" s="359"/>
      <c r="S1768" s="359"/>
      <c r="T1768" s="359"/>
      <c r="U1768" s="359"/>
    </row>
    <row r="1769" ht="15.75" customHeight="1">
      <c r="A1769" s="226"/>
      <c r="B1769" s="359"/>
      <c r="C1769" s="359"/>
      <c r="D1769" s="359"/>
      <c r="E1769" s="359"/>
      <c r="F1769" s="360"/>
      <c r="G1769" s="360"/>
      <c r="H1769" s="359"/>
      <c r="I1769" s="359"/>
      <c r="J1769" s="359"/>
      <c r="K1769" s="359"/>
      <c r="L1769" s="361"/>
      <c r="M1769" s="359"/>
      <c r="N1769" s="359"/>
      <c r="O1769" s="359"/>
      <c r="P1769" s="359"/>
      <c r="Q1769" s="359"/>
      <c r="R1769" s="359"/>
      <c r="S1769" s="359"/>
      <c r="T1769" s="359"/>
      <c r="U1769" s="359"/>
    </row>
    <row r="1770" ht="15.75" customHeight="1">
      <c r="A1770" s="226"/>
      <c r="B1770" s="359"/>
      <c r="C1770" s="359"/>
      <c r="D1770" s="359"/>
      <c r="E1770" s="359"/>
      <c r="F1770" s="360"/>
      <c r="G1770" s="360"/>
      <c r="H1770" s="359"/>
      <c r="I1770" s="359"/>
      <c r="J1770" s="359"/>
      <c r="K1770" s="359"/>
      <c r="L1770" s="361"/>
      <c r="M1770" s="359"/>
      <c r="N1770" s="359"/>
      <c r="O1770" s="359"/>
      <c r="P1770" s="359"/>
      <c r="Q1770" s="359"/>
      <c r="R1770" s="359"/>
      <c r="S1770" s="359"/>
      <c r="T1770" s="359"/>
      <c r="U1770" s="359"/>
    </row>
    <row r="1771" ht="15.75" customHeight="1">
      <c r="A1771" s="226"/>
      <c r="B1771" s="359"/>
      <c r="C1771" s="359"/>
      <c r="D1771" s="359"/>
      <c r="E1771" s="359"/>
      <c r="F1771" s="360"/>
      <c r="G1771" s="360"/>
      <c r="H1771" s="359"/>
      <c r="I1771" s="359"/>
      <c r="J1771" s="359"/>
      <c r="K1771" s="359"/>
      <c r="L1771" s="361"/>
      <c r="M1771" s="359"/>
      <c r="N1771" s="359"/>
      <c r="O1771" s="359"/>
      <c r="P1771" s="359"/>
      <c r="Q1771" s="359"/>
      <c r="R1771" s="359"/>
      <c r="S1771" s="359"/>
      <c r="T1771" s="359"/>
      <c r="U1771" s="359"/>
    </row>
    <row r="1772" ht="15.75" customHeight="1">
      <c r="A1772" s="226"/>
      <c r="B1772" s="359"/>
      <c r="C1772" s="359"/>
      <c r="D1772" s="359"/>
      <c r="E1772" s="359"/>
      <c r="F1772" s="360"/>
      <c r="G1772" s="360"/>
      <c r="H1772" s="359"/>
      <c r="I1772" s="359"/>
      <c r="J1772" s="359"/>
      <c r="K1772" s="359"/>
      <c r="L1772" s="361"/>
      <c r="M1772" s="359"/>
      <c r="N1772" s="359"/>
      <c r="O1772" s="359"/>
      <c r="P1772" s="359"/>
      <c r="Q1772" s="359"/>
      <c r="R1772" s="359"/>
      <c r="S1772" s="359"/>
      <c r="T1772" s="359"/>
      <c r="U1772" s="359"/>
    </row>
    <row r="1773" ht="15.75" customHeight="1">
      <c r="A1773" s="226"/>
      <c r="B1773" s="359"/>
      <c r="C1773" s="359"/>
      <c r="D1773" s="359"/>
      <c r="E1773" s="359"/>
      <c r="F1773" s="360"/>
      <c r="G1773" s="360"/>
      <c r="H1773" s="359"/>
      <c r="I1773" s="359"/>
      <c r="J1773" s="359"/>
      <c r="K1773" s="359"/>
      <c r="L1773" s="361"/>
      <c r="M1773" s="359"/>
      <c r="N1773" s="359"/>
      <c r="O1773" s="359"/>
      <c r="P1773" s="359"/>
      <c r="Q1773" s="359"/>
      <c r="R1773" s="359"/>
      <c r="S1773" s="359"/>
      <c r="T1773" s="359"/>
      <c r="U1773" s="359"/>
    </row>
    <row r="1774" ht="15.75" customHeight="1">
      <c r="A1774" s="226"/>
      <c r="B1774" s="359"/>
      <c r="C1774" s="359"/>
      <c r="D1774" s="359"/>
      <c r="E1774" s="359"/>
      <c r="F1774" s="360"/>
      <c r="G1774" s="360"/>
      <c r="H1774" s="359"/>
      <c r="I1774" s="359"/>
      <c r="J1774" s="359"/>
      <c r="K1774" s="359"/>
      <c r="L1774" s="361"/>
      <c r="M1774" s="359"/>
      <c r="N1774" s="359"/>
      <c r="O1774" s="359"/>
      <c r="P1774" s="359"/>
      <c r="Q1774" s="359"/>
      <c r="R1774" s="359"/>
      <c r="S1774" s="359"/>
      <c r="T1774" s="359"/>
      <c r="U1774" s="359"/>
    </row>
    <row r="1775" ht="15.75" customHeight="1">
      <c r="A1775" s="226"/>
      <c r="B1775" s="359"/>
      <c r="C1775" s="359"/>
      <c r="D1775" s="359"/>
      <c r="E1775" s="359"/>
      <c r="F1775" s="360"/>
      <c r="G1775" s="360"/>
      <c r="H1775" s="359"/>
      <c r="I1775" s="359"/>
      <c r="J1775" s="359"/>
      <c r="K1775" s="359"/>
      <c r="L1775" s="361"/>
      <c r="M1775" s="359"/>
      <c r="N1775" s="359"/>
      <c r="O1775" s="359"/>
      <c r="P1775" s="359"/>
      <c r="Q1775" s="359"/>
      <c r="R1775" s="359"/>
      <c r="S1775" s="359"/>
      <c r="T1775" s="359"/>
      <c r="U1775" s="359"/>
    </row>
    <row r="1776" ht="15.75" customHeight="1">
      <c r="A1776" s="226"/>
      <c r="B1776" s="359"/>
      <c r="C1776" s="359"/>
      <c r="D1776" s="359"/>
      <c r="E1776" s="359"/>
      <c r="F1776" s="360"/>
      <c r="G1776" s="360"/>
      <c r="H1776" s="359"/>
      <c r="I1776" s="359"/>
      <c r="J1776" s="359"/>
      <c r="K1776" s="359"/>
      <c r="L1776" s="361"/>
      <c r="M1776" s="359"/>
      <c r="N1776" s="359"/>
      <c r="O1776" s="359"/>
      <c r="P1776" s="359"/>
      <c r="Q1776" s="359"/>
      <c r="R1776" s="359"/>
      <c r="S1776" s="359"/>
      <c r="T1776" s="359"/>
      <c r="U1776" s="359"/>
    </row>
    <row r="1777" ht="15.75" customHeight="1">
      <c r="A1777" s="226"/>
      <c r="B1777" s="359"/>
      <c r="C1777" s="359"/>
      <c r="D1777" s="359"/>
      <c r="E1777" s="359"/>
      <c r="F1777" s="360"/>
      <c r="G1777" s="360"/>
      <c r="H1777" s="359"/>
      <c r="I1777" s="359"/>
      <c r="J1777" s="359"/>
      <c r="K1777" s="359"/>
      <c r="L1777" s="361"/>
      <c r="M1777" s="359"/>
      <c r="N1777" s="359"/>
      <c r="O1777" s="359"/>
      <c r="P1777" s="359"/>
      <c r="Q1777" s="359"/>
      <c r="R1777" s="359"/>
      <c r="S1777" s="359"/>
      <c r="T1777" s="359"/>
      <c r="U1777" s="359"/>
    </row>
    <row r="1778" ht="15.75" customHeight="1">
      <c r="A1778" s="226"/>
      <c r="B1778" s="359"/>
      <c r="C1778" s="359"/>
      <c r="D1778" s="359"/>
      <c r="E1778" s="359"/>
      <c r="F1778" s="360"/>
      <c r="G1778" s="360"/>
      <c r="H1778" s="359"/>
      <c r="I1778" s="359"/>
      <c r="J1778" s="359"/>
      <c r="K1778" s="359"/>
      <c r="L1778" s="361"/>
      <c r="M1778" s="359"/>
      <c r="N1778" s="359"/>
      <c r="O1778" s="359"/>
      <c r="P1778" s="359"/>
      <c r="Q1778" s="359"/>
      <c r="R1778" s="359"/>
      <c r="S1778" s="359"/>
      <c r="T1778" s="359"/>
      <c r="U1778" s="359"/>
    </row>
    <row r="1779" ht="15.75" customHeight="1">
      <c r="A1779" s="226"/>
      <c r="B1779" s="359"/>
      <c r="C1779" s="359"/>
      <c r="D1779" s="359"/>
      <c r="E1779" s="359"/>
      <c r="F1779" s="360"/>
      <c r="G1779" s="360"/>
      <c r="H1779" s="359"/>
      <c r="I1779" s="359"/>
      <c r="J1779" s="359"/>
      <c r="K1779" s="359"/>
      <c r="L1779" s="361"/>
      <c r="M1779" s="359"/>
      <c r="N1779" s="359"/>
      <c r="O1779" s="359"/>
      <c r="P1779" s="359"/>
      <c r="Q1779" s="359"/>
      <c r="R1779" s="359"/>
      <c r="S1779" s="359"/>
      <c r="T1779" s="359"/>
      <c r="U1779" s="359"/>
    </row>
    <row r="1780" ht="15.75" customHeight="1">
      <c r="A1780" s="226"/>
      <c r="B1780" s="359"/>
      <c r="C1780" s="359"/>
      <c r="D1780" s="359"/>
      <c r="E1780" s="359"/>
      <c r="F1780" s="360"/>
      <c r="G1780" s="360"/>
      <c r="H1780" s="359"/>
      <c r="I1780" s="359"/>
      <c r="J1780" s="359"/>
      <c r="K1780" s="359"/>
      <c r="L1780" s="361"/>
      <c r="M1780" s="359"/>
      <c r="N1780" s="359"/>
      <c r="O1780" s="359"/>
      <c r="P1780" s="359"/>
      <c r="Q1780" s="359"/>
      <c r="R1780" s="359"/>
      <c r="S1780" s="359"/>
      <c r="T1780" s="359"/>
      <c r="U1780" s="359"/>
    </row>
    <row r="1781" ht="15.75" customHeight="1">
      <c r="A1781" s="226"/>
      <c r="B1781" s="359"/>
      <c r="C1781" s="359"/>
      <c r="D1781" s="359"/>
      <c r="E1781" s="359"/>
      <c r="F1781" s="360"/>
      <c r="G1781" s="360"/>
      <c r="H1781" s="359"/>
      <c r="I1781" s="359"/>
      <c r="J1781" s="359"/>
      <c r="K1781" s="359"/>
      <c r="L1781" s="361"/>
      <c r="M1781" s="359"/>
      <c r="N1781" s="359"/>
      <c r="O1781" s="359"/>
      <c r="P1781" s="359"/>
      <c r="Q1781" s="359"/>
      <c r="R1781" s="359"/>
      <c r="S1781" s="359"/>
      <c r="T1781" s="359"/>
      <c r="U1781" s="359"/>
    </row>
    <row r="1782" ht="15.75" customHeight="1">
      <c r="A1782" s="226"/>
      <c r="B1782" s="359"/>
      <c r="C1782" s="359"/>
      <c r="D1782" s="359"/>
      <c r="E1782" s="359"/>
      <c r="F1782" s="360"/>
      <c r="G1782" s="360"/>
      <c r="H1782" s="359"/>
      <c r="I1782" s="359"/>
      <c r="J1782" s="359"/>
      <c r="K1782" s="359"/>
      <c r="L1782" s="361"/>
      <c r="M1782" s="359"/>
      <c r="N1782" s="359"/>
      <c r="O1782" s="359"/>
      <c r="P1782" s="359"/>
      <c r="Q1782" s="359"/>
      <c r="R1782" s="359"/>
      <c r="S1782" s="359"/>
      <c r="T1782" s="359"/>
      <c r="U1782" s="359"/>
    </row>
    <row r="1783" ht="15.75" customHeight="1">
      <c r="A1783" s="226"/>
      <c r="B1783" s="359"/>
      <c r="C1783" s="359"/>
      <c r="D1783" s="359"/>
      <c r="E1783" s="359"/>
      <c r="F1783" s="360"/>
      <c r="G1783" s="360"/>
      <c r="H1783" s="359"/>
      <c r="I1783" s="359"/>
      <c r="J1783" s="359"/>
      <c r="K1783" s="359"/>
      <c r="L1783" s="361"/>
      <c r="M1783" s="359"/>
      <c r="N1783" s="359"/>
      <c r="O1783" s="359"/>
      <c r="P1783" s="359"/>
      <c r="Q1783" s="359"/>
      <c r="R1783" s="359"/>
      <c r="S1783" s="359"/>
      <c r="T1783" s="359"/>
      <c r="U1783" s="359"/>
    </row>
    <row r="1784" ht="15.75" customHeight="1">
      <c r="A1784" s="226"/>
      <c r="B1784" s="359"/>
      <c r="C1784" s="359"/>
      <c r="D1784" s="359"/>
      <c r="E1784" s="359"/>
      <c r="F1784" s="360"/>
      <c r="G1784" s="360"/>
      <c r="H1784" s="359"/>
      <c r="I1784" s="359"/>
      <c r="J1784" s="359"/>
      <c r="K1784" s="359"/>
      <c r="L1784" s="361"/>
      <c r="M1784" s="359"/>
      <c r="N1784" s="359"/>
      <c r="O1784" s="359"/>
      <c r="P1784" s="359"/>
      <c r="Q1784" s="359"/>
      <c r="R1784" s="359"/>
      <c r="S1784" s="359"/>
      <c r="T1784" s="359"/>
      <c r="U1784" s="359"/>
    </row>
    <row r="1785" ht="15.75" customHeight="1">
      <c r="A1785" s="226"/>
      <c r="B1785" s="359"/>
      <c r="C1785" s="359"/>
      <c r="D1785" s="359"/>
      <c r="E1785" s="359"/>
      <c r="F1785" s="360"/>
      <c r="G1785" s="360"/>
      <c r="H1785" s="359"/>
      <c r="I1785" s="359"/>
      <c r="J1785" s="359"/>
      <c r="K1785" s="359"/>
      <c r="L1785" s="361"/>
      <c r="M1785" s="359"/>
      <c r="N1785" s="359"/>
      <c r="O1785" s="359"/>
      <c r="P1785" s="359"/>
      <c r="Q1785" s="359"/>
      <c r="R1785" s="359"/>
      <c r="S1785" s="359"/>
      <c r="T1785" s="359"/>
      <c r="U1785" s="359"/>
    </row>
    <row r="1786" ht="15.75" customHeight="1">
      <c r="A1786" s="226"/>
      <c r="B1786" s="359"/>
      <c r="C1786" s="359"/>
      <c r="D1786" s="359"/>
      <c r="E1786" s="359"/>
      <c r="F1786" s="360"/>
      <c r="G1786" s="360"/>
      <c r="H1786" s="359"/>
      <c r="I1786" s="359"/>
      <c r="J1786" s="359"/>
      <c r="K1786" s="359"/>
      <c r="L1786" s="361"/>
      <c r="M1786" s="359"/>
      <c r="N1786" s="359"/>
      <c r="O1786" s="359"/>
      <c r="P1786" s="359"/>
      <c r="Q1786" s="359"/>
      <c r="R1786" s="359"/>
      <c r="S1786" s="359"/>
      <c r="T1786" s="359"/>
      <c r="U1786" s="359"/>
    </row>
    <row r="1787" ht="15.75" customHeight="1">
      <c r="A1787" s="226"/>
      <c r="B1787" s="359"/>
      <c r="C1787" s="359"/>
      <c r="D1787" s="359"/>
      <c r="E1787" s="359"/>
      <c r="F1787" s="360"/>
      <c r="G1787" s="360"/>
      <c r="H1787" s="359"/>
      <c r="I1787" s="359"/>
      <c r="J1787" s="359"/>
      <c r="K1787" s="359"/>
      <c r="L1787" s="361"/>
      <c r="M1787" s="359"/>
      <c r="N1787" s="359"/>
      <c r="O1787" s="359"/>
      <c r="P1787" s="359"/>
      <c r="Q1787" s="359"/>
      <c r="R1787" s="359"/>
      <c r="S1787" s="359"/>
      <c r="T1787" s="359"/>
      <c r="U1787" s="359"/>
    </row>
    <row r="1788" ht="15.75" customHeight="1">
      <c r="A1788" s="226"/>
      <c r="B1788" s="359"/>
      <c r="C1788" s="359"/>
      <c r="D1788" s="359"/>
      <c r="E1788" s="359"/>
      <c r="F1788" s="360"/>
      <c r="G1788" s="360"/>
      <c r="H1788" s="359"/>
      <c r="I1788" s="359"/>
      <c r="J1788" s="359"/>
      <c r="K1788" s="359"/>
      <c r="L1788" s="361"/>
      <c r="M1788" s="359"/>
      <c r="N1788" s="359"/>
      <c r="O1788" s="359"/>
      <c r="P1788" s="359"/>
      <c r="Q1788" s="359"/>
      <c r="R1788" s="359"/>
      <c r="S1788" s="359"/>
      <c r="T1788" s="359"/>
      <c r="U1788" s="359"/>
    </row>
    <row r="1789" ht="15.75" customHeight="1">
      <c r="A1789" s="226"/>
      <c r="B1789" s="359"/>
      <c r="C1789" s="359"/>
      <c r="D1789" s="359"/>
      <c r="E1789" s="359"/>
      <c r="F1789" s="360"/>
      <c r="G1789" s="360"/>
      <c r="H1789" s="359"/>
      <c r="I1789" s="359"/>
      <c r="J1789" s="359"/>
      <c r="K1789" s="359"/>
      <c r="L1789" s="361"/>
      <c r="M1789" s="359"/>
      <c r="N1789" s="359"/>
      <c r="O1789" s="359"/>
      <c r="P1789" s="359"/>
      <c r="Q1789" s="359"/>
      <c r="R1789" s="359"/>
      <c r="S1789" s="359"/>
      <c r="T1789" s="359"/>
      <c r="U1789" s="359"/>
    </row>
    <row r="1790" ht="15.75" customHeight="1">
      <c r="A1790" s="226"/>
      <c r="B1790" s="359"/>
      <c r="C1790" s="359"/>
      <c r="D1790" s="359"/>
      <c r="E1790" s="359"/>
      <c r="F1790" s="360"/>
      <c r="G1790" s="360"/>
      <c r="H1790" s="359"/>
      <c r="I1790" s="359"/>
      <c r="J1790" s="359"/>
      <c r="K1790" s="359"/>
      <c r="L1790" s="361"/>
      <c r="M1790" s="359"/>
      <c r="N1790" s="359"/>
      <c r="O1790" s="359"/>
      <c r="P1790" s="359"/>
      <c r="Q1790" s="359"/>
      <c r="R1790" s="359"/>
      <c r="S1790" s="359"/>
      <c r="T1790" s="359"/>
      <c r="U1790" s="359"/>
    </row>
    <row r="1791" ht="15.75" customHeight="1">
      <c r="A1791" s="226"/>
      <c r="B1791" s="359"/>
      <c r="C1791" s="359"/>
      <c r="D1791" s="359"/>
      <c r="E1791" s="359"/>
      <c r="F1791" s="360"/>
      <c r="G1791" s="360"/>
      <c r="H1791" s="359"/>
      <c r="I1791" s="359"/>
      <c r="J1791" s="359"/>
      <c r="K1791" s="359"/>
      <c r="L1791" s="361"/>
      <c r="M1791" s="359"/>
      <c r="N1791" s="359"/>
      <c r="O1791" s="359"/>
      <c r="P1791" s="359"/>
      <c r="Q1791" s="359"/>
      <c r="R1791" s="359"/>
      <c r="S1791" s="359"/>
      <c r="T1791" s="359"/>
      <c r="U1791" s="359"/>
    </row>
    <row r="1792" ht="15.75" customHeight="1">
      <c r="A1792" s="226"/>
      <c r="B1792" s="359"/>
      <c r="C1792" s="359"/>
      <c r="D1792" s="359"/>
      <c r="E1792" s="359"/>
      <c r="F1792" s="360"/>
      <c r="G1792" s="360"/>
      <c r="H1792" s="359"/>
      <c r="I1792" s="359"/>
      <c r="J1792" s="359"/>
      <c r="K1792" s="359"/>
      <c r="L1792" s="361"/>
      <c r="M1792" s="359"/>
      <c r="N1792" s="359"/>
      <c r="O1792" s="359"/>
      <c r="P1792" s="359"/>
      <c r="Q1792" s="359"/>
      <c r="R1792" s="359"/>
      <c r="S1792" s="359"/>
      <c r="T1792" s="359"/>
      <c r="U1792" s="359"/>
    </row>
    <row r="1793" ht="15.75" customHeight="1">
      <c r="A1793" s="226"/>
      <c r="B1793" s="359"/>
      <c r="C1793" s="359"/>
      <c r="D1793" s="359"/>
      <c r="E1793" s="359"/>
      <c r="F1793" s="360"/>
      <c r="G1793" s="360"/>
      <c r="H1793" s="359"/>
      <c r="I1793" s="359"/>
      <c r="J1793" s="359"/>
      <c r="K1793" s="359"/>
      <c r="L1793" s="361"/>
      <c r="M1793" s="359"/>
      <c r="N1793" s="359"/>
      <c r="O1793" s="359"/>
      <c r="P1793" s="359"/>
      <c r="Q1793" s="359"/>
      <c r="R1793" s="359"/>
      <c r="S1793" s="359"/>
      <c r="T1793" s="359"/>
      <c r="U1793" s="359"/>
    </row>
    <row r="1794" ht="15.75" customHeight="1">
      <c r="A1794" s="226"/>
      <c r="B1794" s="359"/>
      <c r="C1794" s="359"/>
      <c r="D1794" s="359"/>
      <c r="E1794" s="359"/>
      <c r="F1794" s="360"/>
      <c r="G1794" s="360"/>
      <c r="H1794" s="359"/>
      <c r="I1794" s="359"/>
      <c r="J1794" s="359"/>
      <c r="K1794" s="359"/>
      <c r="L1794" s="361"/>
      <c r="M1794" s="359"/>
      <c r="N1794" s="359"/>
      <c r="O1794" s="359"/>
      <c r="P1794" s="359"/>
      <c r="Q1794" s="359"/>
      <c r="R1794" s="359"/>
      <c r="S1794" s="359"/>
      <c r="T1794" s="359"/>
      <c r="U1794" s="359"/>
    </row>
    <row r="1795" ht="15.75" customHeight="1">
      <c r="A1795" s="226"/>
      <c r="B1795" s="359"/>
      <c r="C1795" s="359"/>
      <c r="D1795" s="359"/>
      <c r="E1795" s="359"/>
      <c r="F1795" s="360"/>
      <c r="G1795" s="360"/>
      <c r="H1795" s="359"/>
      <c r="I1795" s="359"/>
      <c r="J1795" s="359"/>
      <c r="K1795" s="359"/>
      <c r="L1795" s="361"/>
      <c r="M1795" s="359"/>
      <c r="N1795" s="359"/>
      <c r="O1795" s="359"/>
      <c r="P1795" s="359"/>
      <c r="Q1795" s="359"/>
      <c r="R1795" s="359"/>
      <c r="S1795" s="359"/>
      <c r="T1795" s="359"/>
      <c r="U1795" s="359"/>
    </row>
    <row r="1796" ht="15.75" customHeight="1">
      <c r="A1796" s="226"/>
      <c r="B1796" s="359"/>
      <c r="C1796" s="359"/>
      <c r="D1796" s="359"/>
      <c r="E1796" s="359"/>
      <c r="F1796" s="360"/>
      <c r="G1796" s="360"/>
      <c r="H1796" s="359"/>
      <c r="I1796" s="359"/>
      <c r="J1796" s="359"/>
      <c r="K1796" s="359"/>
      <c r="L1796" s="361"/>
      <c r="M1796" s="359"/>
      <c r="N1796" s="359"/>
      <c r="O1796" s="359"/>
      <c r="P1796" s="359"/>
      <c r="Q1796" s="359"/>
      <c r="R1796" s="359"/>
      <c r="S1796" s="359"/>
      <c r="T1796" s="359"/>
      <c r="U1796" s="359"/>
    </row>
    <row r="1797" ht="15.75" customHeight="1">
      <c r="A1797" s="226"/>
      <c r="B1797" s="359"/>
      <c r="C1797" s="359"/>
      <c r="D1797" s="359"/>
      <c r="E1797" s="359"/>
      <c r="F1797" s="360"/>
      <c r="G1797" s="360"/>
      <c r="H1797" s="359"/>
      <c r="I1797" s="359"/>
      <c r="J1797" s="359"/>
      <c r="K1797" s="359"/>
      <c r="L1797" s="361"/>
      <c r="M1797" s="359"/>
      <c r="N1797" s="359"/>
      <c r="O1797" s="359"/>
      <c r="P1797" s="359"/>
      <c r="Q1797" s="359"/>
      <c r="R1797" s="359"/>
      <c r="S1797" s="359"/>
      <c r="T1797" s="359"/>
      <c r="U1797" s="359"/>
    </row>
    <row r="1798" ht="15.75" customHeight="1">
      <c r="A1798" s="226"/>
      <c r="B1798" s="359"/>
      <c r="C1798" s="359"/>
      <c r="D1798" s="359"/>
      <c r="E1798" s="359"/>
      <c r="F1798" s="360"/>
      <c r="G1798" s="360"/>
      <c r="H1798" s="359"/>
      <c r="I1798" s="359"/>
      <c r="J1798" s="359"/>
      <c r="K1798" s="359"/>
      <c r="L1798" s="361"/>
      <c r="M1798" s="359"/>
      <c r="N1798" s="359"/>
      <c r="O1798" s="359"/>
      <c r="P1798" s="359"/>
      <c r="Q1798" s="359"/>
      <c r="R1798" s="359"/>
      <c r="S1798" s="359"/>
      <c r="T1798" s="359"/>
      <c r="U1798" s="359"/>
    </row>
    <row r="1799" ht="15.75" customHeight="1">
      <c r="A1799" s="226"/>
      <c r="B1799" s="359"/>
      <c r="C1799" s="359"/>
      <c r="D1799" s="359"/>
      <c r="E1799" s="359"/>
      <c r="F1799" s="360"/>
      <c r="G1799" s="360"/>
      <c r="H1799" s="359"/>
      <c r="I1799" s="359"/>
      <c r="J1799" s="359"/>
      <c r="K1799" s="359"/>
      <c r="L1799" s="361"/>
      <c r="M1799" s="359"/>
      <c r="N1799" s="359"/>
      <c r="O1799" s="359"/>
      <c r="P1799" s="359"/>
      <c r="Q1799" s="359"/>
      <c r="R1799" s="359"/>
      <c r="S1799" s="359"/>
      <c r="T1799" s="359"/>
      <c r="U1799" s="359"/>
    </row>
    <row r="1800" ht="15.75" customHeight="1">
      <c r="A1800" s="226"/>
      <c r="B1800" s="359"/>
      <c r="C1800" s="359"/>
      <c r="D1800" s="359"/>
      <c r="E1800" s="359"/>
      <c r="F1800" s="360"/>
      <c r="G1800" s="360"/>
      <c r="H1800" s="359"/>
      <c r="I1800" s="359"/>
      <c r="J1800" s="359"/>
      <c r="K1800" s="359"/>
      <c r="L1800" s="361"/>
      <c r="M1800" s="359"/>
      <c r="N1800" s="359"/>
      <c r="O1800" s="359"/>
      <c r="P1800" s="359"/>
      <c r="Q1800" s="359"/>
      <c r="R1800" s="359"/>
      <c r="S1800" s="359"/>
      <c r="T1800" s="359"/>
      <c r="U1800" s="359"/>
    </row>
    <row r="1801" ht="15.75" customHeight="1">
      <c r="A1801" s="226"/>
      <c r="B1801" s="359"/>
      <c r="C1801" s="359"/>
      <c r="D1801" s="359"/>
      <c r="E1801" s="359"/>
      <c r="F1801" s="360"/>
      <c r="G1801" s="360"/>
      <c r="H1801" s="359"/>
      <c r="I1801" s="359"/>
      <c r="J1801" s="359"/>
      <c r="K1801" s="359"/>
      <c r="L1801" s="361"/>
      <c r="M1801" s="359"/>
      <c r="N1801" s="359"/>
      <c r="O1801" s="359"/>
      <c r="P1801" s="359"/>
      <c r="Q1801" s="359"/>
      <c r="R1801" s="359"/>
      <c r="S1801" s="359"/>
      <c r="T1801" s="359"/>
      <c r="U1801" s="359"/>
    </row>
    <row r="1802" ht="15.75" customHeight="1">
      <c r="A1802" s="226"/>
      <c r="B1802" s="359"/>
      <c r="C1802" s="359"/>
      <c r="D1802" s="359"/>
      <c r="E1802" s="359"/>
      <c r="F1802" s="360"/>
      <c r="G1802" s="360"/>
      <c r="H1802" s="359"/>
      <c r="I1802" s="359"/>
      <c r="J1802" s="359"/>
      <c r="K1802" s="359"/>
      <c r="L1802" s="361"/>
      <c r="M1802" s="359"/>
      <c r="N1802" s="359"/>
      <c r="O1802" s="359"/>
      <c r="P1802" s="359"/>
      <c r="Q1802" s="359"/>
      <c r="R1802" s="359"/>
      <c r="S1802" s="359"/>
      <c r="T1802" s="359"/>
      <c r="U1802" s="359"/>
    </row>
    <row r="1803" ht="15.75" customHeight="1">
      <c r="A1803" s="226"/>
      <c r="B1803" s="359"/>
      <c r="C1803" s="359"/>
      <c r="D1803" s="359"/>
      <c r="E1803" s="359"/>
      <c r="F1803" s="360"/>
      <c r="G1803" s="360"/>
      <c r="H1803" s="359"/>
      <c r="I1803" s="359"/>
      <c r="J1803" s="359"/>
      <c r="K1803" s="359"/>
      <c r="L1803" s="361"/>
      <c r="M1803" s="359"/>
      <c r="N1803" s="359"/>
      <c r="O1803" s="359"/>
      <c r="P1803" s="359"/>
      <c r="Q1803" s="359"/>
      <c r="R1803" s="359"/>
      <c r="S1803" s="359"/>
      <c r="T1803" s="359"/>
      <c r="U1803" s="359"/>
    </row>
    <row r="1804" ht="15.75" customHeight="1">
      <c r="A1804" s="226"/>
      <c r="B1804" s="359"/>
      <c r="C1804" s="359"/>
      <c r="D1804" s="359"/>
      <c r="E1804" s="359"/>
      <c r="F1804" s="360"/>
      <c r="G1804" s="360"/>
      <c r="H1804" s="359"/>
      <c r="I1804" s="359"/>
      <c r="J1804" s="359"/>
      <c r="K1804" s="359"/>
      <c r="L1804" s="361"/>
      <c r="M1804" s="359"/>
      <c r="N1804" s="359"/>
      <c r="O1804" s="359"/>
      <c r="P1804" s="359"/>
      <c r="Q1804" s="359"/>
      <c r="R1804" s="359"/>
      <c r="S1804" s="359"/>
      <c r="T1804" s="359"/>
      <c r="U1804" s="359"/>
    </row>
    <row r="1805" ht="15.75" customHeight="1">
      <c r="A1805" s="226"/>
      <c r="B1805" s="359"/>
      <c r="C1805" s="359"/>
      <c r="D1805" s="359"/>
      <c r="E1805" s="359"/>
      <c r="F1805" s="360"/>
      <c r="G1805" s="360"/>
      <c r="H1805" s="359"/>
      <c r="I1805" s="359"/>
      <c r="J1805" s="359"/>
      <c r="K1805" s="359"/>
      <c r="L1805" s="361"/>
      <c r="M1805" s="359"/>
      <c r="N1805" s="359"/>
      <c r="O1805" s="359"/>
      <c r="P1805" s="359"/>
      <c r="Q1805" s="359"/>
      <c r="R1805" s="359"/>
      <c r="S1805" s="359"/>
      <c r="T1805" s="359"/>
      <c r="U1805" s="359"/>
    </row>
    <row r="1806" ht="15.75" customHeight="1">
      <c r="A1806" s="226"/>
      <c r="B1806" s="359"/>
      <c r="C1806" s="359"/>
      <c r="D1806" s="359"/>
      <c r="E1806" s="359"/>
      <c r="F1806" s="360"/>
      <c r="G1806" s="360"/>
      <c r="H1806" s="359"/>
      <c r="I1806" s="359"/>
      <c r="J1806" s="359"/>
      <c r="K1806" s="359"/>
      <c r="L1806" s="361"/>
      <c r="M1806" s="359"/>
      <c r="N1806" s="359"/>
      <c r="O1806" s="359"/>
      <c r="P1806" s="359"/>
      <c r="Q1806" s="359"/>
      <c r="R1806" s="359"/>
      <c r="S1806" s="359"/>
      <c r="T1806" s="359"/>
      <c r="U1806" s="359"/>
    </row>
    <row r="1807" ht="15.75" customHeight="1">
      <c r="A1807" s="226"/>
      <c r="B1807" s="359"/>
      <c r="C1807" s="359"/>
      <c r="D1807" s="359"/>
      <c r="E1807" s="359"/>
      <c r="F1807" s="360"/>
      <c r="G1807" s="360"/>
      <c r="H1807" s="359"/>
      <c r="I1807" s="359"/>
      <c r="J1807" s="359"/>
      <c r="K1807" s="359"/>
      <c r="L1807" s="361"/>
      <c r="M1807" s="359"/>
      <c r="N1807" s="359"/>
      <c r="O1807" s="359"/>
      <c r="P1807" s="359"/>
      <c r="Q1807" s="359"/>
      <c r="R1807" s="359"/>
      <c r="S1807" s="359"/>
      <c r="T1807" s="359"/>
      <c r="U1807" s="359"/>
    </row>
    <row r="1808" ht="15.75" customHeight="1">
      <c r="A1808" s="226"/>
      <c r="B1808" s="359"/>
      <c r="C1808" s="359"/>
      <c r="D1808" s="359"/>
      <c r="E1808" s="359"/>
      <c r="F1808" s="360"/>
      <c r="G1808" s="360"/>
      <c r="H1808" s="359"/>
      <c r="I1808" s="359"/>
      <c r="J1808" s="359"/>
      <c r="K1808" s="359"/>
      <c r="L1808" s="361"/>
      <c r="M1808" s="359"/>
      <c r="N1808" s="359"/>
      <c r="O1808" s="359"/>
      <c r="P1808" s="359"/>
      <c r="Q1808" s="359"/>
      <c r="R1808" s="359"/>
      <c r="S1808" s="359"/>
      <c r="T1808" s="359"/>
      <c r="U1808" s="359"/>
    </row>
    <row r="1809" ht="15.75" customHeight="1">
      <c r="A1809" s="226"/>
      <c r="B1809" s="359"/>
      <c r="C1809" s="359"/>
      <c r="D1809" s="359"/>
      <c r="E1809" s="359"/>
      <c r="F1809" s="360"/>
      <c r="G1809" s="360"/>
      <c r="H1809" s="359"/>
      <c r="I1809" s="359"/>
      <c r="J1809" s="359"/>
      <c r="K1809" s="359"/>
      <c r="L1809" s="361"/>
      <c r="M1809" s="359"/>
      <c r="N1809" s="359"/>
      <c r="O1809" s="359"/>
      <c r="P1809" s="359"/>
      <c r="Q1809" s="359"/>
      <c r="R1809" s="359"/>
      <c r="S1809" s="359"/>
      <c r="T1809" s="359"/>
      <c r="U1809" s="359"/>
    </row>
    <row r="1810" ht="15.75" customHeight="1">
      <c r="A1810" s="226"/>
      <c r="B1810" s="359"/>
      <c r="C1810" s="359"/>
      <c r="D1810" s="359"/>
      <c r="E1810" s="359"/>
      <c r="F1810" s="360"/>
      <c r="G1810" s="360"/>
      <c r="H1810" s="359"/>
      <c r="I1810" s="359"/>
      <c r="J1810" s="359"/>
      <c r="K1810" s="359"/>
      <c r="L1810" s="361"/>
      <c r="M1810" s="359"/>
      <c r="N1810" s="359"/>
      <c r="O1810" s="359"/>
      <c r="P1810" s="359"/>
      <c r="Q1810" s="359"/>
      <c r="R1810" s="359"/>
      <c r="S1810" s="359"/>
      <c r="T1810" s="359"/>
      <c r="U1810" s="359"/>
    </row>
    <row r="1811" ht="15.75" customHeight="1">
      <c r="A1811" s="226"/>
      <c r="B1811" s="359"/>
      <c r="C1811" s="359"/>
      <c r="D1811" s="359"/>
      <c r="E1811" s="359"/>
      <c r="F1811" s="360"/>
      <c r="G1811" s="360"/>
      <c r="H1811" s="359"/>
      <c r="I1811" s="359"/>
      <c r="J1811" s="359"/>
      <c r="K1811" s="359"/>
      <c r="L1811" s="361"/>
      <c r="M1811" s="359"/>
      <c r="N1811" s="359"/>
      <c r="O1811" s="359"/>
      <c r="P1811" s="359"/>
      <c r="Q1811" s="359"/>
      <c r="R1811" s="359"/>
      <c r="S1811" s="359"/>
      <c r="T1811" s="359"/>
      <c r="U1811" s="359"/>
    </row>
    <row r="1812" ht="15.75" customHeight="1">
      <c r="A1812" s="226"/>
      <c r="B1812" s="359"/>
      <c r="C1812" s="359"/>
      <c r="D1812" s="359"/>
      <c r="E1812" s="359"/>
      <c r="F1812" s="360"/>
      <c r="G1812" s="360"/>
      <c r="H1812" s="359"/>
      <c r="I1812" s="359"/>
      <c r="J1812" s="359"/>
      <c r="K1812" s="359"/>
      <c r="L1812" s="361"/>
      <c r="M1812" s="359"/>
      <c r="N1812" s="359"/>
      <c r="O1812" s="359"/>
      <c r="P1812" s="359"/>
      <c r="Q1812" s="359"/>
      <c r="R1812" s="359"/>
      <c r="S1812" s="359"/>
      <c r="T1812" s="359"/>
      <c r="U1812" s="359"/>
    </row>
    <row r="1813" ht="15.75" customHeight="1">
      <c r="A1813" s="226"/>
      <c r="B1813" s="359"/>
      <c r="C1813" s="359"/>
      <c r="D1813" s="359"/>
      <c r="E1813" s="359"/>
      <c r="F1813" s="360"/>
      <c r="G1813" s="360"/>
      <c r="H1813" s="359"/>
      <c r="I1813" s="359"/>
      <c r="J1813" s="359"/>
      <c r="K1813" s="359"/>
      <c r="L1813" s="361"/>
      <c r="M1813" s="359"/>
      <c r="N1813" s="359"/>
      <c r="O1813" s="359"/>
      <c r="P1813" s="359"/>
      <c r="Q1813" s="359"/>
      <c r="R1813" s="359"/>
      <c r="S1813" s="359"/>
      <c r="T1813" s="359"/>
      <c r="U1813" s="359"/>
    </row>
    <row r="1814" ht="15.75" customHeight="1">
      <c r="A1814" s="226"/>
      <c r="B1814" s="359"/>
      <c r="C1814" s="359"/>
      <c r="D1814" s="359"/>
      <c r="E1814" s="359"/>
      <c r="F1814" s="360"/>
      <c r="G1814" s="360"/>
      <c r="H1814" s="359"/>
      <c r="I1814" s="359"/>
      <c r="J1814" s="359"/>
      <c r="K1814" s="359"/>
      <c r="L1814" s="361"/>
      <c r="M1814" s="359"/>
      <c r="N1814" s="359"/>
      <c r="O1814" s="359"/>
      <c r="P1814" s="359"/>
      <c r="Q1814" s="359"/>
      <c r="R1814" s="359"/>
      <c r="S1814" s="359"/>
      <c r="T1814" s="359"/>
      <c r="U1814" s="359"/>
    </row>
    <row r="1815" ht="15.75" customHeight="1">
      <c r="A1815" s="226"/>
      <c r="B1815" s="359"/>
      <c r="C1815" s="359"/>
      <c r="D1815" s="359"/>
      <c r="E1815" s="359"/>
      <c r="F1815" s="360"/>
      <c r="G1815" s="360"/>
      <c r="H1815" s="359"/>
      <c r="I1815" s="359"/>
      <c r="J1815" s="359"/>
      <c r="K1815" s="359"/>
      <c r="L1815" s="361"/>
      <c r="M1815" s="359"/>
      <c r="N1815" s="359"/>
      <c r="O1815" s="359"/>
      <c r="P1815" s="359"/>
      <c r="Q1815" s="359"/>
      <c r="R1815" s="359"/>
      <c r="S1815" s="359"/>
      <c r="T1815" s="359"/>
      <c r="U1815" s="359"/>
    </row>
    <row r="1816" ht="15.75" customHeight="1">
      <c r="A1816" s="226"/>
      <c r="B1816" s="359"/>
      <c r="C1816" s="359"/>
      <c r="D1816" s="359"/>
      <c r="E1816" s="359"/>
      <c r="F1816" s="360"/>
      <c r="G1816" s="360"/>
      <c r="H1816" s="359"/>
      <c r="I1816" s="359"/>
      <c r="J1816" s="359"/>
      <c r="K1816" s="359"/>
      <c r="L1816" s="361"/>
      <c r="M1816" s="359"/>
      <c r="N1816" s="359"/>
      <c r="O1816" s="359"/>
      <c r="P1816" s="359"/>
      <c r="Q1816" s="359"/>
      <c r="R1816" s="359"/>
      <c r="S1816" s="359"/>
      <c r="T1816" s="359"/>
      <c r="U1816" s="359"/>
    </row>
    <row r="1817" ht="15.75" customHeight="1">
      <c r="A1817" s="226"/>
      <c r="B1817" s="359"/>
      <c r="C1817" s="359"/>
      <c r="D1817" s="359"/>
      <c r="E1817" s="359"/>
      <c r="F1817" s="360"/>
      <c r="G1817" s="360"/>
      <c r="H1817" s="359"/>
      <c r="I1817" s="359"/>
      <c r="J1817" s="359"/>
      <c r="K1817" s="359"/>
      <c r="L1817" s="361"/>
      <c r="M1817" s="359"/>
      <c r="N1817" s="359"/>
      <c r="O1817" s="359"/>
      <c r="P1817" s="359"/>
      <c r="Q1817" s="359"/>
      <c r="R1817" s="359"/>
      <c r="S1817" s="359"/>
      <c r="T1817" s="359"/>
      <c r="U1817" s="359"/>
    </row>
    <row r="1818" ht="15.75" customHeight="1">
      <c r="A1818" s="226"/>
      <c r="B1818" s="359"/>
      <c r="C1818" s="359"/>
      <c r="D1818" s="359"/>
      <c r="E1818" s="359"/>
      <c r="F1818" s="360"/>
      <c r="G1818" s="360"/>
      <c r="H1818" s="359"/>
      <c r="I1818" s="359"/>
      <c r="J1818" s="359"/>
      <c r="K1818" s="359"/>
      <c r="L1818" s="361"/>
      <c r="M1818" s="359"/>
      <c r="N1818" s="359"/>
      <c r="O1818" s="359"/>
      <c r="P1818" s="359"/>
      <c r="Q1818" s="359"/>
      <c r="R1818" s="359"/>
      <c r="S1818" s="359"/>
      <c r="T1818" s="359"/>
      <c r="U1818" s="359"/>
    </row>
    <row r="1819" ht="15.75" customHeight="1">
      <c r="A1819" s="226"/>
      <c r="B1819" s="359"/>
      <c r="C1819" s="359"/>
      <c r="D1819" s="359"/>
      <c r="E1819" s="359"/>
      <c r="F1819" s="360"/>
      <c r="G1819" s="360"/>
      <c r="H1819" s="359"/>
      <c r="I1819" s="359"/>
      <c r="J1819" s="359"/>
      <c r="K1819" s="359"/>
      <c r="L1819" s="361"/>
      <c r="M1819" s="359"/>
      <c r="N1819" s="359"/>
      <c r="O1819" s="359"/>
      <c r="P1819" s="359"/>
      <c r="Q1819" s="359"/>
      <c r="R1819" s="359"/>
      <c r="S1819" s="359"/>
      <c r="T1819" s="359"/>
      <c r="U1819" s="359"/>
    </row>
    <row r="1820" ht="15.75" customHeight="1">
      <c r="A1820" s="226"/>
      <c r="B1820" s="359"/>
      <c r="C1820" s="359"/>
      <c r="D1820" s="359"/>
      <c r="E1820" s="359"/>
      <c r="F1820" s="360"/>
      <c r="G1820" s="360"/>
      <c r="H1820" s="359"/>
      <c r="I1820" s="359"/>
      <c r="J1820" s="359"/>
      <c r="K1820" s="359"/>
      <c r="L1820" s="361"/>
      <c r="M1820" s="359"/>
      <c r="N1820" s="359"/>
      <c r="O1820" s="359"/>
      <c r="P1820" s="359"/>
      <c r="Q1820" s="359"/>
      <c r="R1820" s="359"/>
      <c r="S1820" s="359"/>
      <c r="T1820" s="359"/>
      <c r="U1820" s="359"/>
    </row>
    <row r="1821" ht="15.75" customHeight="1">
      <c r="A1821" s="226"/>
      <c r="B1821" s="359"/>
      <c r="C1821" s="359"/>
      <c r="D1821" s="359"/>
      <c r="E1821" s="359"/>
      <c r="F1821" s="360"/>
      <c r="G1821" s="360"/>
      <c r="H1821" s="359"/>
      <c r="I1821" s="359"/>
      <c r="J1821" s="359"/>
      <c r="K1821" s="359"/>
      <c r="L1821" s="361"/>
      <c r="M1821" s="359"/>
      <c r="N1821" s="359"/>
      <c r="O1821" s="359"/>
      <c r="P1821" s="359"/>
      <c r="Q1821" s="359"/>
      <c r="R1821" s="359"/>
      <c r="S1821" s="359"/>
      <c r="T1821" s="359"/>
      <c r="U1821" s="359"/>
    </row>
    <row r="1822" ht="15.75" customHeight="1">
      <c r="A1822" s="226"/>
      <c r="B1822" s="359"/>
      <c r="C1822" s="359"/>
      <c r="D1822" s="359"/>
      <c r="E1822" s="359"/>
      <c r="F1822" s="360"/>
      <c r="G1822" s="360"/>
      <c r="H1822" s="359"/>
      <c r="I1822" s="359"/>
      <c r="J1822" s="359"/>
      <c r="K1822" s="359"/>
      <c r="L1822" s="361"/>
      <c r="M1822" s="359"/>
      <c r="N1822" s="359"/>
      <c r="O1822" s="359"/>
      <c r="P1822" s="359"/>
      <c r="Q1822" s="359"/>
      <c r="R1822" s="359"/>
      <c r="S1822" s="359"/>
      <c r="T1822" s="359"/>
      <c r="U1822" s="359"/>
    </row>
    <row r="1823" ht="15.75" customHeight="1">
      <c r="A1823" s="226"/>
      <c r="B1823" s="359"/>
      <c r="C1823" s="359"/>
      <c r="D1823" s="359"/>
      <c r="E1823" s="359"/>
      <c r="F1823" s="360"/>
      <c r="G1823" s="360"/>
      <c r="H1823" s="359"/>
      <c r="I1823" s="359"/>
      <c r="J1823" s="359"/>
      <c r="K1823" s="359"/>
      <c r="L1823" s="361"/>
      <c r="M1823" s="359"/>
      <c r="N1823" s="359"/>
      <c r="O1823" s="359"/>
      <c r="P1823" s="359"/>
      <c r="Q1823" s="359"/>
      <c r="R1823" s="359"/>
      <c r="S1823" s="359"/>
      <c r="T1823" s="359"/>
      <c r="U1823" s="359"/>
    </row>
    <row r="1824" ht="15.75" customHeight="1">
      <c r="A1824" s="226"/>
      <c r="B1824" s="359"/>
      <c r="C1824" s="359"/>
      <c r="D1824" s="359"/>
      <c r="E1824" s="359"/>
      <c r="F1824" s="360"/>
      <c r="G1824" s="360"/>
      <c r="H1824" s="359"/>
      <c r="I1824" s="359"/>
      <c r="J1824" s="359"/>
      <c r="K1824" s="359"/>
      <c r="L1824" s="361"/>
      <c r="M1824" s="359"/>
      <c r="N1824" s="359"/>
      <c r="O1824" s="359"/>
      <c r="P1824" s="359"/>
      <c r="Q1824" s="359"/>
      <c r="R1824" s="359"/>
      <c r="S1824" s="359"/>
      <c r="T1824" s="359"/>
      <c r="U1824" s="359"/>
    </row>
    <row r="1825" ht="15.75" customHeight="1">
      <c r="A1825" s="226"/>
      <c r="B1825" s="359"/>
      <c r="C1825" s="359"/>
      <c r="D1825" s="359"/>
      <c r="E1825" s="359"/>
      <c r="F1825" s="360"/>
      <c r="G1825" s="360"/>
      <c r="H1825" s="359"/>
      <c r="I1825" s="359"/>
      <c r="J1825" s="359"/>
      <c r="K1825" s="359"/>
      <c r="L1825" s="361"/>
      <c r="M1825" s="359"/>
      <c r="N1825" s="359"/>
      <c r="O1825" s="359"/>
      <c r="P1825" s="359"/>
      <c r="Q1825" s="359"/>
      <c r="R1825" s="359"/>
      <c r="S1825" s="359"/>
      <c r="T1825" s="359"/>
      <c r="U1825" s="359"/>
    </row>
    <row r="1826" ht="15.75" customHeight="1">
      <c r="A1826" s="226"/>
      <c r="B1826" s="359"/>
      <c r="C1826" s="359"/>
      <c r="D1826" s="359"/>
      <c r="E1826" s="359"/>
      <c r="F1826" s="360"/>
      <c r="G1826" s="360"/>
      <c r="H1826" s="359"/>
      <c r="I1826" s="359"/>
      <c r="J1826" s="359"/>
      <c r="K1826" s="359"/>
      <c r="L1826" s="361"/>
      <c r="M1826" s="359"/>
      <c r="N1826" s="359"/>
      <c r="O1826" s="359"/>
      <c r="P1826" s="359"/>
      <c r="Q1826" s="359"/>
      <c r="R1826" s="359"/>
      <c r="S1826" s="359"/>
      <c r="T1826" s="359"/>
      <c r="U1826" s="359"/>
    </row>
    <row r="1827" ht="15.75" customHeight="1">
      <c r="A1827" s="226"/>
      <c r="B1827" s="359"/>
      <c r="C1827" s="359"/>
      <c r="D1827" s="359"/>
      <c r="E1827" s="359"/>
      <c r="F1827" s="360"/>
      <c r="G1827" s="360"/>
      <c r="H1827" s="359"/>
      <c r="I1827" s="359"/>
      <c r="J1827" s="359"/>
      <c r="K1827" s="359"/>
      <c r="L1827" s="361"/>
      <c r="M1827" s="359"/>
      <c r="N1827" s="359"/>
      <c r="O1827" s="359"/>
      <c r="P1827" s="359"/>
      <c r="Q1827" s="359"/>
      <c r="R1827" s="359"/>
      <c r="S1827" s="359"/>
      <c r="T1827" s="359"/>
      <c r="U1827" s="359"/>
    </row>
    <row r="1828" ht="15.75" customHeight="1">
      <c r="A1828" s="226"/>
      <c r="B1828" s="359"/>
      <c r="C1828" s="359"/>
      <c r="D1828" s="359"/>
      <c r="E1828" s="359"/>
      <c r="F1828" s="360"/>
      <c r="G1828" s="360"/>
      <c r="H1828" s="359"/>
      <c r="I1828" s="359"/>
      <c r="J1828" s="359"/>
      <c r="K1828" s="359"/>
      <c r="L1828" s="361"/>
      <c r="M1828" s="359"/>
      <c r="N1828" s="359"/>
      <c r="O1828" s="359"/>
      <c r="P1828" s="359"/>
      <c r="Q1828" s="359"/>
      <c r="R1828" s="359"/>
      <c r="S1828" s="359"/>
      <c r="T1828" s="359"/>
      <c r="U1828" s="359"/>
    </row>
    <row r="1829" ht="15.75" customHeight="1">
      <c r="A1829" s="226"/>
      <c r="B1829" s="359"/>
      <c r="C1829" s="359"/>
      <c r="D1829" s="359"/>
      <c r="E1829" s="359"/>
      <c r="F1829" s="360"/>
      <c r="G1829" s="360"/>
      <c r="H1829" s="359"/>
      <c r="I1829" s="359"/>
      <c r="J1829" s="359"/>
      <c r="K1829" s="359"/>
      <c r="L1829" s="361"/>
      <c r="M1829" s="359"/>
      <c r="N1829" s="359"/>
      <c r="O1829" s="359"/>
      <c r="P1829" s="359"/>
      <c r="Q1829" s="359"/>
      <c r="R1829" s="359"/>
      <c r="S1829" s="359"/>
      <c r="T1829" s="359"/>
      <c r="U1829" s="359"/>
    </row>
    <row r="1830" ht="15.75" customHeight="1">
      <c r="A1830" s="226"/>
      <c r="B1830" s="359"/>
      <c r="C1830" s="359"/>
      <c r="D1830" s="359"/>
      <c r="E1830" s="359"/>
      <c r="F1830" s="360"/>
      <c r="G1830" s="360"/>
      <c r="H1830" s="359"/>
      <c r="I1830" s="359"/>
      <c r="J1830" s="359"/>
      <c r="K1830" s="359"/>
      <c r="L1830" s="361"/>
      <c r="M1830" s="359"/>
      <c r="N1830" s="359"/>
      <c r="O1830" s="359"/>
      <c r="P1830" s="359"/>
      <c r="Q1830" s="359"/>
      <c r="R1830" s="359"/>
      <c r="S1830" s="359"/>
      <c r="T1830" s="359"/>
      <c r="U1830" s="359"/>
    </row>
    <row r="1831" ht="15.75" customHeight="1">
      <c r="A1831" s="226"/>
      <c r="B1831" s="359"/>
      <c r="C1831" s="359"/>
      <c r="D1831" s="359"/>
      <c r="E1831" s="359"/>
      <c r="F1831" s="360"/>
      <c r="G1831" s="360"/>
      <c r="H1831" s="359"/>
      <c r="I1831" s="359"/>
      <c r="J1831" s="359"/>
      <c r="K1831" s="359"/>
      <c r="L1831" s="361"/>
      <c r="M1831" s="359"/>
      <c r="N1831" s="359"/>
      <c r="O1831" s="359"/>
      <c r="P1831" s="359"/>
      <c r="Q1831" s="359"/>
      <c r="R1831" s="359"/>
      <c r="S1831" s="359"/>
      <c r="T1831" s="359"/>
      <c r="U1831" s="359"/>
    </row>
    <row r="1832" ht="15.75" customHeight="1">
      <c r="A1832" s="226"/>
      <c r="B1832" s="359"/>
      <c r="C1832" s="359"/>
      <c r="D1832" s="359"/>
      <c r="E1832" s="359"/>
      <c r="F1832" s="360"/>
      <c r="G1832" s="360"/>
      <c r="H1832" s="359"/>
      <c r="I1832" s="359"/>
      <c r="J1832" s="359"/>
      <c r="K1832" s="359"/>
      <c r="L1832" s="361"/>
      <c r="M1832" s="359"/>
      <c r="N1832" s="359"/>
      <c r="O1832" s="359"/>
      <c r="P1832" s="359"/>
      <c r="Q1832" s="359"/>
      <c r="R1832" s="359"/>
      <c r="S1832" s="359"/>
      <c r="T1832" s="359"/>
      <c r="U1832" s="359"/>
    </row>
    <row r="1833" ht="15.75" customHeight="1">
      <c r="A1833" s="226"/>
      <c r="B1833" s="359"/>
      <c r="C1833" s="359"/>
      <c r="D1833" s="359"/>
      <c r="E1833" s="359"/>
      <c r="F1833" s="360"/>
      <c r="G1833" s="360"/>
      <c r="H1833" s="359"/>
      <c r="I1833" s="359"/>
      <c r="J1833" s="359"/>
      <c r="K1833" s="359"/>
      <c r="L1833" s="361"/>
      <c r="M1833" s="359"/>
      <c r="N1833" s="359"/>
      <c r="O1833" s="359"/>
      <c r="P1833" s="359"/>
      <c r="Q1833" s="359"/>
      <c r="R1833" s="359"/>
      <c r="S1833" s="359"/>
      <c r="T1833" s="359"/>
      <c r="U1833" s="359"/>
    </row>
    <row r="1834" ht="15.75" customHeight="1">
      <c r="A1834" s="226"/>
      <c r="B1834" s="359"/>
      <c r="C1834" s="359"/>
      <c r="D1834" s="359"/>
      <c r="E1834" s="359"/>
      <c r="F1834" s="360"/>
      <c r="G1834" s="360"/>
      <c r="H1834" s="359"/>
      <c r="I1834" s="359"/>
      <c r="J1834" s="359"/>
      <c r="K1834" s="359"/>
      <c r="L1834" s="361"/>
      <c r="M1834" s="359"/>
      <c r="N1834" s="359"/>
      <c r="O1834" s="359"/>
      <c r="P1834" s="359"/>
      <c r="Q1834" s="359"/>
      <c r="R1834" s="359"/>
      <c r="S1834" s="359"/>
      <c r="T1834" s="359"/>
      <c r="U1834" s="359"/>
    </row>
    <row r="1835" ht="15.75" customHeight="1">
      <c r="A1835" s="226"/>
      <c r="B1835" s="359"/>
      <c r="C1835" s="359"/>
      <c r="D1835" s="359"/>
      <c r="E1835" s="359"/>
      <c r="F1835" s="360"/>
      <c r="G1835" s="360"/>
      <c r="H1835" s="359"/>
      <c r="I1835" s="359"/>
      <c r="J1835" s="359"/>
      <c r="K1835" s="359"/>
      <c r="L1835" s="361"/>
      <c r="M1835" s="359"/>
      <c r="N1835" s="359"/>
      <c r="O1835" s="359"/>
      <c r="P1835" s="359"/>
      <c r="Q1835" s="359"/>
      <c r="R1835" s="359"/>
      <c r="S1835" s="359"/>
      <c r="T1835" s="359"/>
      <c r="U1835" s="359"/>
    </row>
    <row r="1836" ht="15.75" customHeight="1">
      <c r="A1836" s="226"/>
      <c r="B1836" s="359"/>
      <c r="C1836" s="359"/>
      <c r="D1836" s="359"/>
      <c r="E1836" s="359"/>
      <c r="F1836" s="360"/>
      <c r="G1836" s="360"/>
      <c r="H1836" s="359"/>
      <c r="I1836" s="359"/>
      <c r="J1836" s="359"/>
      <c r="K1836" s="359"/>
      <c r="L1836" s="361"/>
      <c r="M1836" s="359"/>
      <c r="N1836" s="359"/>
      <c r="O1836" s="359"/>
      <c r="P1836" s="359"/>
      <c r="Q1836" s="359"/>
      <c r="R1836" s="359"/>
      <c r="S1836" s="359"/>
      <c r="T1836" s="359"/>
      <c r="U1836" s="359"/>
    </row>
    <row r="1837" ht="15.75" customHeight="1">
      <c r="A1837" s="226"/>
      <c r="B1837" s="359"/>
      <c r="C1837" s="359"/>
      <c r="D1837" s="359"/>
      <c r="E1837" s="359"/>
      <c r="F1837" s="360"/>
      <c r="G1837" s="360"/>
      <c r="H1837" s="359"/>
      <c r="I1837" s="359"/>
      <c r="J1837" s="359"/>
      <c r="K1837" s="359"/>
      <c r="L1837" s="361"/>
      <c r="M1837" s="359"/>
      <c r="N1837" s="359"/>
      <c r="O1837" s="359"/>
      <c r="P1837" s="359"/>
      <c r="Q1837" s="359"/>
      <c r="R1837" s="359"/>
      <c r="S1837" s="359"/>
      <c r="T1837" s="359"/>
      <c r="U1837" s="359"/>
    </row>
    <row r="1838" ht="15.75" customHeight="1">
      <c r="A1838" s="226"/>
      <c r="B1838" s="359"/>
      <c r="C1838" s="359"/>
      <c r="D1838" s="359"/>
      <c r="E1838" s="359"/>
      <c r="F1838" s="360"/>
      <c r="G1838" s="360"/>
      <c r="H1838" s="359"/>
      <c r="I1838" s="359"/>
      <c r="J1838" s="359"/>
      <c r="K1838" s="359"/>
      <c r="L1838" s="361"/>
      <c r="M1838" s="359"/>
      <c r="N1838" s="359"/>
      <c r="O1838" s="359"/>
      <c r="P1838" s="359"/>
      <c r="Q1838" s="359"/>
      <c r="R1838" s="359"/>
      <c r="S1838" s="359"/>
      <c r="T1838" s="359"/>
      <c r="U1838" s="359"/>
    </row>
    <row r="1839" ht="15.75" customHeight="1">
      <c r="A1839" s="226"/>
      <c r="B1839" s="359"/>
      <c r="C1839" s="359"/>
      <c r="D1839" s="359"/>
      <c r="E1839" s="359"/>
      <c r="F1839" s="360"/>
      <c r="G1839" s="360"/>
      <c r="H1839" s="359"/>
      <c r="I1839" s="359"/>
      <c r="J1839" s="359"/>
      <c r="K1839" s="359"/>
      <c r="L1839" s="361"/>
      <c r="M1839" s="359"/>
      <c r="N1839" s="359"/>
      <c r="O1839" s="359"/>
      <c r="P1839" s="359"/>
      <c r="Q1839" s="359"/>
      <c r="R1839" s="359"/>
      <c r="S1839" s="359"/>
      <c r="T1839" s="359"/>
      <c r="U1839" s="359"/>
    </row>
    <row r="1840" ht="15.75" customHeight="1">
      <c r="A1840" s="226"/>
      <c r="B1840" s="359"/>
      <c r="C1840" s="359"/>
      <c r="D1840" s="359"/>
      <c r="E1840" s="359"/>
      <c r="F1840" s="360"/>
      <c r="G1840" s="360"/>
      <c r="H1840" s="359"/>
      <c r="I1840" s="359"/>
      <c r="J1840" s="359"/>
      <c r="K1840" s="359"/>
      <c r="L1840" s="361"/>
      <c r="M1840" s="359"/>
      <c r="N1840" s="359"/>
      <c r="O1840" s="359"/>
      <c r="P1840" s="359"/>
      <c r="Q1840" s="359"/>
      <c r="R1840" s="359"/>
      <c r="S1840" s="359"/>
      <c r="T1840" s="359"/>
      <c r="U1840" s="359"/>
    </row>
    <row r="1841" ht="15.75" customHeight="1">
      <c r="A1841" s="226"/>
      <c r="B1841" s="359"/>
      <c r="C1841" s="359"/>
      <c r="D1841" s="359"/>
      <c r="E1841" s="359"/>
      <c r="F1841" s="360"/>
      <c r="G1841" s="360"/>
      <c r="H1841" s="359"/>
      <c r="I1841" s="359"/>
      <c r="J1841" s="359"/>
      <c r="K1841" s="359"/>
      <c r="L1841" s="361"/>
      <c r="M1841" s="359"/>
      <c r="N1841" s="359"/>
      <c r="O1841" s="359"/>
      <c r="P1841" s="359"/>
      <c r="Q1841" s="359"/>
      <c r="R1841" s="359"/>
      <c r="S1841" s="359"/>
      <c r="T1841" s="359"/>
      <c r="U1841" s="359"/>
    </row>
    <row r="1842" ht="15.75" customHeight="1">
      <c r="A1842" s="226"/>
      <c r="B1842" s="359"/>
      <c r="C1842" s="359"/>
      <c r="D1842" s="359"/>
      <c r="E1842" s="359"/>
      <c r="F1842" s="360"/>
      <c r="G1842" s="360"/>
      <c r="H1842" s="359"/>
      <c r="I1842" s="359"/>
      <c r="J1842" s="359"/>
      <c r="K1842" s="359"/>
      <c r="L1842" s="361"/>
      <c r="M1842" s="359"/>
      <c r="N1842" s="359"/>
      <c r="O1842" s="359"/>
      <c r="P1842" s="359"/>
      <c r="Q1842" s="359"/>
      <c r="R1842" s="359"/>
      <c r="S1842" s="359"/>
      <c r="T1842" s="359"/>
      <c r="U1842" s="359"/>
    </row>
    <row r="1843" ht="15.75" customHeight="1">
      <c r="A1843" s="226"/>
      <c r="B1843" s="359"/>
      <c r="C1843" s="359"/>
      <c r="D1843" s="359"/>
      <c r="E1843" s="359"/>
      <c r="F1843" s="360"/>
      <c r="G1843" s="360"/>
      <c r="H1843" s="359"/>
      <c r="I1843" s="359"/>
      <c r="J1843" s="359"/>
      <c r="K1843" s="359"/>
      <c r="L1843" s="361"/>
      <c r="M1843" s="359"/>
      <c r="N1843" s="359"/>
      <c r="O1843" s="359"/>
      <c r="P1843" s="359"/>
      <c r="Q1843" s="359"/>
      <c r="R1843" s="359"/>
      <c r="S1843" s="359"/>
      <c r="T1843" s="359"/>
      <c r="U1843" s="359"/>
    </row>
    <row r="1844" ht="15.75" customHeight="1">
      <c r="A1844" s="226"/>
      <c r="B1844" s="359"/>
      <c r="C1844" s="359"/>
      <c r="D1844" s="359"/>
      <c r="E1844" s="359"/>
      <c r="F1844" s="360"/>
      <c r="G1844" s="360"/>
      <c r="H1844" s="359"/>
      <c r="I1844" s="359"/>
      <c r="J1844" s="359"/>
      <c r="K1844" s="359"/>
      <c r="L1844" s="361"/>
      <c r="M1844" s="359"/>
      <c r="N1844" s="359"/>
      <c r="O1844" s="359"/>
      <c r="P1844" s="359"/>
      <c r="Q1844" s="359"/>
      <c r="R1844" s="359"/>
      <c r="S1844" s="359"/>
      <c r="T1844" s="359"/>
      <c r="U1844" s="359"/>
    </row>
    <row r="1845" ht="15.75" customHeight="1">
      <c r="A1845" s="226"/>
      <c r="B1845" s="359"/>
      <c r="C1845" s="359"/>
      <c r="D1845" s="359"/>
      <c r="E1845" s="359"/>
      <c r="F1845" s="360"/>
      <c r="G1845" s="360"/>
      <c r="H1845" s="359"/>
      <c r="I1845" s="359"/>
      <c r="J1845" s="359"/>
      <c r="K1845" s="359"/>
      <c r="L1845" s="361"/>
      <c r="M1845" s="359"/>
      <c r="N1845" s="359"/>
      <c r="O1845" s="359"/>
      <c r="P1845" s="359"/>
      <c r="Q1845" s="359"/>
      <c r="R1845" s="359"/>
      <c r="S1845" s="359"/>
      <c r="T1845" s="359"/>
      <c r="U1845" s="359"/>
    </row>
    <row r="1846" ht="15.75" customHeight="1">
      <c r="A1846" s="226"/>
      <c r="B1846" s="359"/>
      <c r="C1846" s="359"/>
      <c r="D1846" s="359"/>
      <c r="E1846" s="359"/>
      <c r="F1846" s="360"/>
      <c r="G1846" s="360"/>
      <c r="H1846" s="359"/>
      <c r="I1846" s="359"/>
      <c r="J1846" s="359"/>
      <c r="K1846" s="359"/>
      <c r="L1846" s="361"/>
      <c r="M1846" s="359"/>
      <c r="N1846" s="359"/>
      <c r="O1846" s="359"/>
      <c r="P1846" s="359"/>
      <c r="Q1846" s="359"/>
      <c r="R1846" s="359"/>
      <c r="S1846" s="359"/>
      <c r="T1846" s="359"/>
      <c r="U1846" s="359"/>
    </row>
    <row r="1847" ht="15.75" customHeight="1">
      <c r="A1847" s="226"/>
      <c r="B1847" s="359"/>
      <c r="C1847" s="359"/>
      <c r="D1847" s="359"/>
      <c r="E1847" s="359"/>
      <c r="F1847" s="360"/>
      <c r="G1847" s="360"/>
      <c r="H1847" s="359"/>
      <c r="I1847" s="359"/>
      <c r="J1847" s="359"/>
      <c r="K1847" s="359"/>
      <c r="L1847" s="361"/>
      <c r="M1847" s="359"/>
      <c r="N1847" s="359"/>
      <c r="O1847" s="359"/>
      <c r="P1847" s="359"/>
      <c r="Q1847" s="359"/>
      <c r="R1847" s="359"/>
      <c r="S1847" s="359"/>
      <c r="T1847" s="359"/>
      <c r="U1847" s="359"/>
    </row>
    <row r="1848" ht="15.75" customHeight="1">
      <c r="A1848" s="226"/>
      <c r="B1848" s="359"/>
      <c r="C1848" s="359"/>
      <c r="D1848" s="359"/>
      <c r="E1848" s="359"/>
      <c r="F1848" s="360"/>
      <c r="G1848" s="360"/>
      <c r="H1848" s="359"/>
      <c r="I1848" s="359"/>
      <c r="J1848" s="359"/>
      <c r="K1848" s="359"/>
      <c r="L1848" s="361"/>
      <c r="M1848" s="359"/>
      <c r="N1848" s="359"/>
      <c r="O1848" s="359"/>
      <c r="P1848" s="359"/>
      <c r="Q1848" s="359"/>
      <c r="R1848" s="359"/>
      <c r="S1848" s="359"/>
      <c r="T1848" s="359"/>
      <c r="U1848" s="359"/>
    </row>
    <row r="1849" ht="15.75" customHeight="1">
      <c r="A1849" s="226"/>
      <c r="B1849" s="359"/>
      <c r="C1849" s="359"/>
      <c r="D1849" s="359"/>
      <c r="E1849" s="359"/>
      <c r="F1849" s="360"/>
      <c r="G1849" s="360"/>
      <c r="H1849" s="359"/>
      <c r="I1849" s="359"/>
      <c r="J1849" s="359"/>
      <c r="K1849" s="359"/>
      <c r="L1849" s="361"/>
      <c r="M1849" s="359"/>
      <c r="N1849" s="359"/>
      <c r="O1849" s="359"/>
      <c r="P1849" s="359"/>
      <c r="Q1849" s="359"/>
      <c r="R1849" s="359"/>
      <c r="S1849" s="359"/>
      <c r="T1849" s="359"/>
      <c r="U1849" s="359"/>
    </row>
    <row r="1850" ht="15.75" customHeight="1">
      <c r="A1850" s="226"/>
      <c r="B1850" s="359"/>
      <c r="C1850" s="359"/>
      <c r="D1850" s="359"/>
      <c r="E1850" s="359"/>
      <c r="F1850" s="360"/>
      <c r="G1850" s="360"/>
      <c r="H1850" s="359"/>
      <c r="I1850" s="359"/>
      <c r="J1850" s="359"/>
      <c r="K1850" s="359"/>
      <c r="L1850" s="361"/>
      <c r="M1850" s="359"/>
      <c r="N1850" s="359"/>
      <c r="O1850" s="359"/>
      <c r="P1850" s="359"/>
      <c r="Q1850" s="359"/>
      <c r="R1850" s="359"/>
      <c r="S1850" s="359"/>
      <c r="T1850" s="359"/>
      <c r="U1850" s="359"/>
    </row>
    <row r="1851" ht="15.75" customHeight="1">
      <c r="A1851" s="226"/>
      <c r="B1851" s="359"/>
      <c r="C1851" s="359"/>
      <c r="D1851" s="359"/>
      <c r="E1851" s="359"/>
      <c r="F1851" s="360"/>
      <c r="G1851" s="360"/>
      <c r="H1851" s="359"/>
      <c r="I1851" s="359"/>
      <c r="J1851" s="359"/>
      <c r="K1851" s="359"/>
      <c r="L1851" s="361"/>
      <c r="M1851" s="359"/>
      <c r="N1851" s="359"/>
      <c r="O1851" s="359"/>
      <c r="P1851" s="359"/>
      <c r="Q1851" s="359"/>
      <c r="R1851" s="359"/>
      <c r="S1851" s="359"/>
      <c r="T1851" s="359"/>
      <c r="U1851" s="359"/>
    </row>
    <row r="1852" ht="15.75" customHeight="1">
      <c r="A1852" s="226"/>
      <c r="B1852" s="359"/>
      <c r="C1852" s="359"/>
      <c r="D1852" s="359"/>
      <c r="E1852" s="359"/>
      <c r="F1852" s="360"/>
      <c r="G1852" s="360"/>
      <c r="H1852" s="359"/>
      <c r="I1852" s="359"/>
      <c r="J1852" s="359"/>
      <c r="K1852" s="359"/>
      <c r="L1852" s="361"/>
      <c r="M1852" s="359"/>
      <c r="N1852" s="359"/>
      <c r="O1852" s="359"/>
      <c r="P1852" s="359"/>
      <c r="Q1852" s="359"/>
      <c r="R1852" s="359"/>
      <c r="S1852" s="359"/>
      <c r="T1852" s="359"/>
      <c r="U1852" s="359"/>
    </row>
    <row r="1853" ht="15.75" customHeight="1">
      <c r="A1853" s="226"/>
      <c r="B1853" s="359"/>
      <c r="C1853" s="359"/>
      <c r="D1853" s="359"/>
      <c r="E1853" s="359"/>
      <c r="F1853" s="360"/>
      <c r="G1853" s="360"/>
      <c r="H1853" s="359"/>
      <c r="I1853" s="359"/>
      <c r="J1853" s="359"/>
      <c r="K1853" s="359"/>
      <c r="L1853" s="361"/>
      <c r="M1853" s="359"/>
      <c r="N1853" s="359"/>
      <c r="O1853" s="359"/>
      <c r="P1853" s="359"/>
      <c r="Q1853" s="359"/>
      <c r="R1853" s="359"/>
      <c r="S1853" s="359"/>
      <c r="T1853" s="359"/>
      <c r="U1853" s="359"/>
    </row>
    <row r="1854" ht="15.75" customHeight="1">
      <c r="A1854" s="226"/>
      <c r="B1854" s="359"/>
      <c r="C1854" s="359"/>
      <c r="D1854" s="359"/>
      <c r="E1854" s="359"/>
      <c r="F1854" s="360"/>
      <c r="G1854" s="360"/>
      <c r="H1854" s="359"/>
      <c r="I1854" s="359"/>
      <c r="J1854" s="359"/>
      <c r="K1854" s="359"/>
      <c r="L1854" s="361"/>
      <c r="M1854" s="359"/>
      <c r="N1854" s="359"/>
      <c r="O1854" s="359"/>
      <c r="P1854" s="359"/>
      <c r="Q1854" s="359"/>
      <c r="R1854" s="359"/>
      <c r="S1854" s="359"/>
      <c r="T1854" s="359"/>
      <c r="U1854" s="359"/>
    </row>
    <row r="1855" ht="15.75" customHeight="1">
      <c r="A1855" s="226"/>
      <c r="B1855" s="359"/>
      <c r="C1855" s="359"/>
      <c r="D1855" s="359"/>
      <c r="E1855" s="359"/>
      <c r="F1855" s="360"/>
      <c r="G1855" s="360"/>
      <c r="H1855" s="359"/>
      <c r="I1855" s="359"/>
      <c r="J1855" s="359"/>
      <c r="K1855" s="359"/>
      <c r="L1855" s="361"/>
      <c r="M1855" s="359"/>
      <c r="N1855" s="359"/>
      <c r="O1855" s="359"/>
      <c r="P1855" s="359"/>
      <c r="Q1855" s="359"/>
      <c r="R1855" s="359"/>
      <c r="S1855" s="359"/>
      <c r="T1855" s="359"/>
      <c r="U1855" s="359"/>
    </row>
    <row r="1856" ht="15.75" customHeight="1">
      <c r="A1856" s="226"/>
      <c r="B1856" s="359"/>
      <c r="C1856" s="359"/>
      <c r="D1856" s="359"/>
      <c r="E1856" s="359"/>
      <c r="F1856" s="360"/>
      <c r="G1856" s="360"/>
      <c r="H1856" s="359"/>
      <c r="I1856" s="359"/>
      <c r="J1856" s="359"/>
      <c r="K1856" s="359"/>
      <c r="L1856" s="361"/>
      <c r="M1856" s="359"/>
      <c r="N1856" s="359"/>
      <c r="O1856" s="359"/>
      <c r="P1856" s="359"/>
      <c r="Q1856" s="359"/>
      <c r="R1856" s="359"/>
      <c r="S1856" s="359"/>
      <c r="T1856" s="359"/>
      <c r="U1856" s="359"/>
    </row>
    <row r="1857" ht="15.75" customHeight="1">
      <c r="A1857" s="226"/>
      <c r="B1857" s="359"/>
      <c r="C1857" s="359"/>
      <c r="D1857" s="359"/>
      <c r="E1857" s="359"/>
      <c r="F1857" s="360"/>
      <c r="G1857" s="360"/>
      <c r="H1857" s="359"/>
      <c r="I1857" s="359"/>
      <c r="J1857" s="359"/>
      <c r="K1857" s="359"/>
      <c r="L1857" s="361"/>
      <c r="M1857" s="359"/>
      <c r="N1857" s="359"/>
      <c r="O1857" s="359"/>
      <c r="P1857" s="359"/>
      <c r="Q1857" s="359"/>
      <c r="R1857" s="359"/>
      <c r="S1857" s="359"/>
      <c r="T1857" s="359"/>
      <c r="U1857" s="359"/>
    </row>
    <row r="1858" ht="15.75" customHeight="1">
      <c r="A1858" s="226"/>
      <c r="B1858" s="359"/>
      <c r="C1858" s="359"/>
      <c r="D1858" s="359"/>
      <c r="E1858" s="359"/>
      <c r="F1858" s="360"/>
      <c r="G1858" s="360"/>
      <c r="H1858" s="359"/>
      <c r="I1858" s="359"/>
      <c r="J1858" s="359"/>
      <c r="K1858" s="359"/>
      <c r="L1858" s="361"/>
      <c r="M1858" s="359"/>
      <c r="N1858" s="359"/>
      <c r="O1858" s="359"/>
      <c r="P1858" s="359"/>
      <c r="Q1858" s="359"/>
      <c r="R1858" s="359"/>
      <c r="S1858" s="359"/>
      <c r="T1858" s="359"/>
      <c r="U1858" s="359"/>
    </row>
    <row r="1859" ht="15.75" customHeight="1">
      <c r="A1859" s="226"/>
      <c r="B1859" s="359"/>
      <c r="C1859" s="359"/>
      <c r="D1859" s="359"/>
      <c r="E1859" s="359"/>
      <c r="F1859" s="360"/>
      <c r="G1859" s="360"/>
      <c r="H1859" s="359"/>
      <c r="I1859" s="359"/>
      <c r="J1859" s="359"/>
      <c r="K1859" s="359"/>
      <c r="L1859" s="361"/>
      <c r="M1859" s="359"/>
      <c r="N1859" s="359"/>
      <c r="O1859" s="359"/>
      <c r="P1859" s="359"/>
      <c r="Q1859" s="359"/>
      <c r="R1859" s="359"/>
      <c r="S1859" s="359"/>
      <c r="T1859" s="359"/>
      <c r="U1859" s="359"/>
    </row>
    <row r="1860" ht="15.75" customHeight="1">
      <c r="A1860" s="226"/>
      <c r="B1860" s="359"/>
      <c r="C1860" s="359"/>
      <c r="D1860" s="359"/>
      <c r="E1860" s="359"/>
      <c r="F1860" s="360"/>
      <c r="G1860" s="360"/>
      <c r="H1860" s="359"/>
      <c r="I1860" s="359"/>
      <c r="J1860" s="359"/>
      <c r="K1860" s="359"/>
      <c r="L1860" s="361"/>
      <c r="M1860" s="359"/>
      <c r="N1860" s="359"/>
      <c r="O1860" s="359"/>
      <c r="P1860" s="359"/>
      <c r="Q1860" s="359"/>
      <c r="R1860" s="359"/>
      <c r="S1860" s="359"/>
      <c r="T1860" s="359"/>
      <c r="U1860" s="359"/>
    </row>
    <row r="1861" ht="15.75" customHeight="1">
      <c r="A1861" s="226"/>
      <c r="B1861" s="359"/>
      <c r="C1861" s="359"/>
      <c r="D1861" s="359"/>
      <c r="E1861" s="359"/>
      <c r="F1861" s="360"/>
      <c r="G1861" s="360"/>
      <c r="H1861" s="359"/>
      <c r="I1861" s="359"/>
      <c r="J1861" s="359"/>
      <c r="K1861" s="359"/>
      <c r="L1861" s="361"/>
      <c r="M1861" s="359"/>
      <c r="N1861" s="359"/>
      <c r="O1861" s="359"/>
      <c r="P1861" s="359"/>
      <c r="Q1861" s="359"/>
      <c r="R1861" s="359"/>
      <c r="S1861" s="359"/>
      <c r="T1861" s="359"/>
      <c r="U1861" s="359"/>
    </row>
    <row r="1862" ht="15.75" customHeight="1">
      <c r="A1862" s="226"/>
      <c r="B1862" s="359"/>
      <c r="C1862" s="359"/>
      <c r="D1862" s="359"/>
      <c r="E1862" s="359"/>
      <c r="F1862" s="360"/>
      <c r="G1862" s="360"/>
      <c r="H1862" s="359"/>
      <c r="I1862" s="359"/>
      <c r="J1862" s="359"/>
      <c r="K1862" s="359"/>
      <c r="L1862" s="361"/>
      <c r="M1862" s="359"/>
      <c r="N1862" s="359"/>
      <c r="O1862" s="359"/>
      <c r="P1862" s="359"/>
      <c r="Q1862" s="359"/>
      <c r="R1862" s="359"/>
      <c r="S1862" s="359"/>
      <c r="T1862" s="359"/>
      <c r="U1862" s="359"/>
    </row>
    <row r="1863" ht="15.75" customHeight="1">
      <c r="A1863" s="226"/>
      <c r="B1863" s="359"/>
      <c r="C1863" s="359"/>
      <c r="D1863" s="359"/>
      <c r="E1863" s="359"/>
      <c r="F1863" s="360"/>
      <c r="G1863" s="360"/>
      <c r="H1863" s="359"/>
      <c r="I1863" s="359"/>
      <c r="J1863" s="359"/>
      <c r="K1863" s="359"/>
      <c r="L1863" s="361"/>
      <c r="M1863" s="359"/>
      <c r="N1863" s="359"/>
      <c r="O1863" s="359"/>
      <c r="P1863" s="359"/>
      <c r="Q1863" s="359"/>
      <c r="R1863" s="359"/>
      <c r="S1863" s="359"/>
      <c r="T1863" s="359"/>
      <c r="U1863" s="359"/>
    </row>
    <row r="1864" ht="15.75" customHeight="1">
      <c r="A1864" s="226"/>
      <c r="B1864" s="359"/>
      <c r="C1864" s="359"/>
      <c r="D1864" s="359"/>
      <c r="E1864" s="359"/>
      <c r="F1864" s="360"/>
      <c r="G1864" s="360"/>
      <c r="H1864" s="359"/>
      <c r="I1864" s="359"/>
      <c r="J1864" s="359"/>
      <c r="K1864" s="359"/>
      <c r="L1864" s="361"/>
      <c r="M1864" s="359"/>
      <c r="N1864" s="359"/>
      <c r="O1864" s="359"/>
      <c r="P1864" s="359"/>
      <c r="Q1864" s="359"/>
      <c r="R1864" s="359"/>
      <c r="S1864" s="359"/>
      <c r="T1864" s="359"/>
      <c r="U1864" s="359"/>
    </row>
    <row r="1865" ht="15.75" customHeight="1">
      <c r="A1865" s="226"/>
      <c r="B1865" s="359"/>
      <c r="C1865" s="359"/>
      <c r="D1865" s="359"/>
      <c r="E1865" s="359"/>
      <c r="F1865" s="360"/>
      <c r="G1865" s="360"/>
      <c r="H1865" s="359"/>
      <c r="I1865" s="359"/>
      <c r="J1865" s="359"/>
      <c r="K1865" s="359"/>
      <c r="L1865" s="361"/>
      <c r="M1865" s="359"/>
      <c r="N1865" s="359"/>
      <c r="O1865" s="359"/>
      <c r="P1865" s="359"/>
      <c r="Q1865" s="359"/>
      <c r="R1865" s="359"/>
      <c r="S1865" s="359"/>
      <c r="T1865" s="359"/>
      <c r="U1865" s="359"/>
    </row>
    <row r="1866" ht="15.75" customHeight="1">
      <c r="A1866" s="226"/>
      <c r="B1866" s="359"/>
      <c r="C1866" s="359"/>
      <c r="D1866" s="359"/>
      <c r="E1866" s="359"/>
      <c r="F1866" s="360"/>
      <c r="G1866" s="360"/>
      <c r="H1866" s="359"/>
      <c r="I1866" s="359"/>
      <c r="J1866" s="359"/>
      <c r="K1866" s="359"/>
      <c r="L1866" s="361"/>
      <c r="M1866" s="359"/>
      <c r="N1866" s="359"/>
      <c r="O1866" s="359"/>
      <c r="P1866" s="359"/>
      <c r="Q1866" s="359"/>
      <c r="R1866" s="359"/>
      <c r="S1866" s="359"/>
      <c r="T1866" s="359"/>
      <c r="U1866" s="359"/>
    </row>
    <row r="1867" ht="15.75" customHeight="1">
      <c r="A1867" s="226"/>
      <c r="B1867" s="359"/>
      <c r="C1867" s="359"/>
      <c r="D1867" s="359"/>
      <c r="E1867" s="359"/>
      <c r="F1867" s="360"/>
      <c r="G1867" s="360"/>
      <c r="H1867" s="359"/>
      <c r="I1867" s="359"/>
      <c r="J1867" s="359"/>
      <c r="K1867" s="359"/>
      <c r="L1867" s="361"/>
      <c r="M1867" s="359"/>
      <c r="N1867" s="359"/>
      <c r="O1867" s="359"/>
      <c r="P1867" s="359"/>
      <c r="Q1867" s="359"/>
      <c r="R1867" s="359"/>
      <c r="S1867" s="359"/>
      <c r="T1867" s="359"/>
      <c r="U1867" s="359"/>
    </row>
    <row r="1868" ht="15.75" customHeight="1">
      <c r="A1868" s="226"/>
      <c r="B1868" s="359"/>
      <c r="C1868" s="359"/>
      <c r="D1868" s="359"/>
      <c r="E1868" s="359"/>
      <c r="F1868" s="360"/>
      <c r="G1868" s="360"/>
      <c r="H1868" s="359"/>
      <c r="I1868" s="359"/>
      <c r="J1868" s="359"/>
      <c r="K1868" s="359"/>
      <c r="L1868" s="361"/>
      <c r="M1868" s="359"/>
      <c r="N1868" s="359"/>
      <c r="O1868" s="359"/>
      <c r="P1868" s="359"/>
      <c r="Q1868" s="359"/>
      <c r="R1868" s="359"/>
      <c r="S1868" s="359"/>
      <c r="T1868" s="359"/>
      <c r="U1868" s="359"/>
    </row>
    <row r="1869" ht="15.75" customHeight="1">
      <c r="A1869" s="226"/>
      <c r="B1869" s="359"/>
      <c r="C1869" s="359"/>
      <c r="D1869" s="359"/>
      <c r="E1869" s="359"/>
      <c r="F1869" s="360"/>
      <c r="G1869" s="360"/>
      <c r="H1869" s="359"/>
      <c r="I1869" s="359"/>
      <c r="J1869" s="359"/>
      <c r="K1869" s="359"/>
      <c r="L1869" s="361"/>
      <c r="M1869" s="359"/>
      <c r="N1869" s="359"/>
      <c r="O1869" s="359"/>
      <c r="P1869" s="359"/>
      <c r="Q1869" s="359"/>
      <c r="R1869" s="359"/>
      <c r="S1869" s="359"/>
      <c r="T1869" s="359"/>
      <c r="U1869" s="359"/>
    </row>
    <row r="1870" ht="15.75" customHeight="1">
      <c r="A1870" s="226"/>
      <c r="B1870" s="359"/>
      <c r="C1870" s="359"/>
      <c r="D1870" s="359"/>
      <c r="E1870" s="359"/>
      <c r="F1870" s="360"/>
      <c r="G1870" s="360"/>
      <c r="H1870" s="359"/>
      <c r="I1870" s="359"/>
      <c r="J1870" s="359"/>
      <c r="K1870" s="359"/>
      <c r="L1870" s="361"/>
      <c r="M1870" s="359"/>
      <c r="N1870" s="359"/>
      <c r="O1870" s="359"/>
      <c r="P1870" s="359"/>
      <c r="Q1870" s="359"/>
      <c r="R1870" s="359"/>
      <c r="S1870" s="359"/>
      <c r="T1870" s="359"/>
      <c r="U1870" s="359"/>
    </row>
    <row r="1871" ht="15.75" customHeight="1">
      <c r="A1871" s="226"/>
      <c r="B1871" s="359"/>
      <c r="C1871" s="359"/>
      <c r="D1871" s="359"/>
      <c r="E1871" s="359"/>
      <c r="F1871" s="360"/>
      <c r="G1871" s="360"/>
      <c r="H1871" s="359"/>
      <c r="I1871" s="359"/>
      <c r="J1871" s="359"/>
      <c r="K1871" s="359"/>
      <c r="L1871" s="361"/>
      <c r="M1871" s="359"/>
      <c r="N1871" s="359"/>
      <c r="O1871" s="359"/>
      <c r="P1871" s="359"/>
      <c r="Q1871" s="359"/>
      <c r="R1871" s="359"/>
      <c r="S1871" s="359"/>
      <c r="T1871" s="359"/>
      <c r="U1871" s="359"/>
    </row>
    <row r="1872" ht="15.75" customHeight="1">
      <c r="A1872" s="226"/>
      <c r="B1872" s="359"/>
      <c r="C1872" s="359"/>
      <c r="D1872" s="359"/>
      <c r="E1872" s="359"/>
      <c r="F1872" s="360"/>
      <c r="G1872" s="360"/>
      <c r="H1872" s="359"/>
      <c r="I1872" s="359"/>
      <c r="J1872" s="359"/>
      <c r="K1872" s="359"/>
      <c r="L1872" s="361"/>
      <c r="M1872" s="359"/>
      <c r="N1872" s="359"/>
      <c r="O1872" s="359"/>
      <c r="P1872" s="359"/>
      <c r="Q1872" s="359"/>
      <c r="R1872" s="359"/>
      <c r="S1872" s="359"/>
      <c r="T1872" s="359"/>
      <c r="U1872" s="359"/>
    </row>
    <row r="1873" ht="15.75" customHeight="1">
      <c r="A1873" s="226"/>
      <c r="B1873" s="359"/>
      <c r="C1873" s="359"/>
      <c r="D1873" s="359"/>
      <c r="E1873" s="359"/>
      <c r="F1873" s="360"/>
      <c r="G1873" s="360"/>
      <c r="H1873" s="359"/>
      <c r="I1873" s="359"/>
      <c r="J1873" s="359"/>
      <c r="K1873" s="359"/>
      <c r="L1873" s="361"/>
      <c r="M1873" s="359"/>
      <c r="N1873" s="359"/>
      <c r="O1873" s="359"/>
      <c r="P1873" s="359"/>
      <c r="Q1873" s="359"/>
      <c r="R1873" s="359"/>
      <c r="S1873" s="359"/>
      <c r="T1873" s="359"/>
      <c r="U1873" s="359"/>
    </row>
    <row r="1874" ht="15.75" customHeight="1">
      <c r="A1874" s="226"/>
      <c r="B1874" s="359"/>
      <c r="C1874" s="359"/>
      <c r="D1874" s="359"/>
      <c r="E1874" s="359"/>
      <c r="F1874" s="360"/>
      <c r="G1874" s="360"/>
      <c r="H1874" s="359"/>
      <c r="I1874" s="359"/>
      <c r="J1874" s="359"/>
      <c r="K1874" s="359"/>
      <c r="L1874" s="361"/>
      <c r="M1874" s="359"/>
      <c r="N1874" s="359"/>
      <c r="O1874" s="359"/>
      <c r="P1874" s="359"/>
      <c r="Q1874" s="359"/>
      <c r="R1874" s="359"/>
      <c r="S1874" s="359"/>
      <c r="T1874" s="359"/>
      <c r="U1874" s="359"/>
    </row>
    <row r="1875" ht="15.75" customHeight="1">
      <c r="A1875" s="226"/>
      <c r="B1875" s="359"/>
      <c r="C1875" s="359"/>
      <c r="D1875" s="359"/>
      <c r="E1875" s="359"/>
      <c r="F1875" s="360"/>
      <c r="G1875" s="360"/>
      <c r="H1875" s="359"/>
      <c r="I1875" s="359"/>
      <c r="J1875" s="359"/>
      <c r="K1875" s="359"/>
      <c r="L1875" s="361"/>
      <c r="M1875" s="359"/>
      <c r="N1875" s="359"/>
      <c r="O1875" s="359"/>
      <c r="P1875" s="359"/>
      <c r="Q1875" s="359"/>
      <c r="R1875" s="359"/>
      <c r="S1875" s="359"/>
      <c r="T1875" s="359"/>
      <c r="U1875" s="359"/>
    </row>
    <row r="1876" ht="15.75" customHeight="1">
      <c r="A1876" s="226"/>
      <c r="B1876" s="359"/>
      <c r="C1876" s="359"/>
      <c r="D1876" s="359"/>
      <c r="E1876" s="359"/>
      <c r="F1876" s="360"/>
      <c r="G1876" s="360"/>
      <c r="H1876" s="359"/>
      <c r="I1876" s="359"/>
      <c r="J1876" s="359"/>
      <c r="K1876" s="359"/>
      <c r="L1876" s="361"/>
      <c r="M1876" s="359"/>
      <c r="N1876" s="359"/>
      <c r="O1876" s="359"/>
      <c r="P1876" s="359"/>
      <c r="Q1876" s="359"/>
      <c r="R1876" s="359"/>
      <c r="S1876" s="359"/>
      <c r="T1876" s="359"/>
      <c r="U1876" s="359"/>
    </row>
    <row r="1877" ht="15.75" customHeight="1">
      <c r="A1877" s="226"/>
      <c r="B1877" s="359"/>
      <c r="C1877" s="359"/>
      <c r="D1877" s="359"/>
      <c r="E1877" s="359"/>
      <c r="F1877" s="360"/>
      <c r="G1877" s="360"/>
      <c r="H1877" s="359"/>
      <c r="I1877" s="359"/>
      <c r="J1877" s="359"/>
      <c r="K1877" s="359"/>
      <c r="L1877" s="361"/>
      <c r="M1877" s="359"/>
      <c r="N1877" s="359"/>
      <c r="O1877" s="359"/>
      <c r="P1877" s="359"/>
      <c r="Q1877" s="359"/>
      <c r="R1877" s="359"/>
      <c r="S1877" s="359"/>
      <c r="T1877" s="359"/>
      <c r="U1877" s="359"/>
    </row>
    <row r="1878" ht="15.75" customHeight="1">
      <c r="A1878" s="226"/>
      <c r="B1878" s="359"/>
      <c r="C1878" s="359"/>
      <c r="D1878" s="359"/>
      <c r="E1878" s="359"/>
      <c r="F1878" s="360"/>
      <c r="G1878" s="360"/>
      <c r="H1878" s="359"/>
      <c r="I1878" s="359"/>
      <c r="J1878" s="359"/>
      <c r="K1878" s="359"/>
      <c r="L1878" s="361"/>
      <c r="M1878" s="359"/>
      <c r="N1878" s="359"/>
      <c r="O1878" s="359"/>
      <c r="P1878" s="359"/>
      <c r="Q1878" s="359"/>
      <c r="R1878" s="359"/>
      <c r="S1878" s="359"/>
      <c r="T1878" s="359"/>
      <c r="U1878" s="359"/>
    </row>
    <row r="1879" ht="15.75" customHeight="1">
      <c r="A1879" s="226"/>
      <c r="B1879" s="359"/>
      <c r="C1879" s="359"/>
      <c r="D1879" s="359"/>
      <c r="E1879" s="359"/>
      <c r="F1879" s="360"/>
      <c r="G1879" s="360"/>
      <c r="H1879" s="359"/>
      <c r="I1879" s="359"/>
      <c r="J1879" s="359"/>
      <c r="K1879" s="359"/>
      <c r="L1879" s="361"/>
      <c r="M1879" s="359"/>
      <c r="N1879" s="359"/>
      <c r="O1879" s="359"/>
      <c r="P1879" s="359"/>
      <c r="Q1879" s="359"/>
      <c r="R1879" s="359"/>
      <c r="S1879" s="359"/>
      <c r="T1879" s="359"/>
      <c r="U1879" s="359"/>
    </row>
    <row r="1880" ht="15.75" customHeight="1">
      <c r="A1880" s="226"/>
      <c r="B1880" s="359"/>
      <c r="C1880" s="359"/>
      <c r="D1880" s="359"/>
      <c r="E1880" s="359"/>
      <c r="F1880" s="360"/>
      <c r="G1880" s="360"/>
      <c r="H1880" s="359"/>
      <c r="I1880" s="359"/>
      <c r="J1880" s="359"/>
      <c r="K1880" s="359"/>
      <c r="L1880" s="361"/>
      <c r="M1880" s="359"/>
      <c r="N1880" s="359"/>
      <c r="O1880" s="359"/>
      <c r="P1880" s="359"/>
      <c r="Q1880" s="359"/>
      <c r="R1880" s="359"/>
      <c r="S1880" s="359"/>
      <c r="T1880" s="359"/>
      <c r="U1880" s="359"/>
    </row>
    <row r="1881" ht="15.75" customHeight="1">
      <c r="A1881" s="226"/>
      <c r="B1881" s="359"/>
      <c r="C1881" s="359"/>
      <c r="D1881" s="359"/>
      <c r="E1881" s="359"/>
      <c r="F1881" s="360"/>
      <c r="G1881" s="360"/>
      <c r="H1881" s="359"/>
      <c r="I1881" s="359"/>
      <c r="J1881" s="359"/>
      <c r="K1881" s="359"/>
      <c r="L1881" s="361"/>
      <c r="M1881" s="359"/>
      <c r="N1881" s="359"/>
      <c r="O1881" s="359"/>
      <c r="P1881" s="359"/>
      <c r="Q1881" s="359"/>
      <c r="R1881" s="359"/>
      <c r="S1881" s="359"/>
      <c r="T1881" s="359"/>
      <c r="U1881" s="359"/>
    </row>
    <row r="1882" ht="15.75" customHeight="1">
      <c r="A1882" s="226"/>
      <c r="B1882" s="359"/>
      <c r="C1882" s="359"/>
      <c r="D1882" s="359"/>
      <c r="E1882" s="359"/>
      <c r="F1882" s="360"/>
      <c r="G1882" s="360"/>
      <c r="H1882" s="359"/>
      <c r="I1882" s="359"/>
      <c r="J1882" s="359"/>
      <c r="K1882" s="359"/>
      <c r="L1882" s="361"/>
      <c r="M1882" s="359"/>
      <c r="N1882" s="359"/>
      <c r="O1882" s="359"/>
      <c r="P1882" s="359"/>
      <c r="Q1882" s="359"/>
      <c r="R1882" s="359"/>
      <c r="S1882" s="359"/>
      <c r="T1882" s="359"/>
      <c r="U1882" s="359"/>
    </row>
    <row r="1883" ht="15.75" customHeight="1">
      <c r="A1883" s="226"/>
      <c r="B1883" s="359"/>
      <c r="C1883" s="359"/>
      <c r="D1883" s="359"/>
      <c r="E1883" s="359"/>
      <c r="F1883" s="360"/>
      <c r="G1883" s="360"/>
      <c r="H1883" s="359"/>
      <c r="I1883" s="359"/>
      <c r="J1883" s="359"/>
      <c r="K1883" s="359"/>
      <c r="L1883" s="361"/>
      <c r="M1883" s="359"/>
      <c r="N1883" s="359"/>
      <c r="O1883" s="359"/>
      <c r="P1883" s="359"/>
      <c r="Q1883" s="359"/>
      <c r="R1883" s="359"/>
      <c r="S1883" s="359"/>
      <c r="T1883" s="359"/>
      <c r="U1883" s="359"/>
    </row>
    <row r="1884" ht="15.75" customHeight="1">
      <c r="A1884" s="226"/>
      <c r="B1884" s="359"/>
      <c r="C1884" s="359"/>
      <c r="D1884" s="359"/>
      <c r="E1884" s="359"/>
      <c r="F1884" s="360"/>
      <c r="G1884" s="360"/>
      <c r="H1884" s="359"/>
      <c r="I1884" s="359"/>
      <c r="J1884" s="359"/>
      <c r="K1884" s="359"/>
      <c r="L1884" s="361"/>
      <c r="M1884" s="359"/>
      <c r="N1884" s="359"/>
      <c r="O1884" s="359"/>
      <c r="P1884" s="359"/>
      <c r="Q1884" s="359"/>
      <c r="R1884" s="359"/>
      <c r="S1884" s="359"/>
      <c r="T1884" s="359"/>
      <c r="U1884" s="359"/>
    </row>
    <row r="1885" ht="15.75" customHeight="1">
      <c r="A1885" s="226"/>
      <c r="B1885" s="359"/>
      <c r="C1885" s="359"/>
      <c r="D1885" s="359"/>
      <c r="E1885" s="359"/>
      <c r="F1885" s="360"/>
      <c r="G1885" s="360"/>
      <c r="H1885" s="359"/>
      <c r="I1885" s="359"/>
      <c r="J1885" s="359"/>
      <c r="K1885" s="359"/>
      <c r="L1885" s="361"/>
      <c r="M1885" s="359"/>
      <c r="N1885" s="359"/>
      <c r="O1885" s="359"/>
      <c r="P1885" s="359"/>
      <c r="Q1885" s="359"/>
      <c r="R1885" s="359"/>
      <c r="S1885" s="359"/>
      <c r="T1885" s="359"/>
      <c r="U1885" s="359"/>
    </row>
    <row r="1886" ht="15.75" customHeight="1">
      <c r="A1886" s="226"/>
      <c r="B1886" s="359"/>
      <c r="C1886" s="359"/>
      <c r="D1886" s="359"/>
      <c r="E1886" s="359"/>
      <c r="F1886" s="360"/>
      <c r="G1886" s="360"/>
      <c r="H1886" s="359"/>
      <c r="I1886" s="359"/>
      <c r="J1886" s="359"/>
      <c r="K1886" s="359"/>
      <c r="L1886" s="361"/>
      <c r="M1886" s="359"/>
      <c r="N1886" s="359"/>
      <c r="O1886" s="359"/>
      <c r="P1886" s="359"/>
      <c r="Q1886" s="359"/>
      <c r="R1886" s="359"/>
      <c r="S1886" s="359"/>
      <c r="T1886" s="359"/>
      <c r="U1886" s="359"/>
    </row>
    <row r="1887" ht="15.75" customHeight="1">
      <c r="A1887" s="226"/>
      <c r="B1887" s="359"/>
      <c r="C1887" s="359"/>
      <c r="D1887" s="359"/>
      <c r="E1887" s="359"/>
      <c r="F1887" s="360"/>
      <c r="G1887" s="360"/>
      <c r="H1887" s="359"/>
      <c r="I1887" s="359"/>
      <c r="J1887" s="359"/>
      <c r="K1887" s="359"/>
      <c r="L1887" s="361"/>
      <c r="M1887" s="359"/>
      <c r="N1887" s="359"/>
      <c r="O1887" s="359"/>
      <c r="P1887" s="359"/>
      <c r="Q1887" s="359"/>
      <c r="R1887" s="359"/>
      <c r="S1887" s="359"/>
      <c r="T1887" s="359"/>
      <c r="U1887" s="359"/>
    </row>
    <row r="1888" ht="15.75" customHeight="1">
      <c r="A1888" s="226"/>
      <c r="B1888" s="359"/>
      <c r="C1888" s="359"/>
      <c r="D1888" s="359"/>
      <c r="E1888" s="359"/>
      <c r="F1888" s="360"/>
      <c r="G1888" s="360"/>
      <c r="H1888" s="359"/>
      <c r="I1888" s="359"/>
      <c r="J1888" s="359"/>
      <c r="K1888" s="359"/>
      <c r="L1888" s="361"/>
      <c r="M1888" s="359"/>
      <c r="N1888" s="359"/>
      <c r="O1888" s="359"/>
      <c r="P1888" s="359"/>
      <c r="Q1888" s="359"/>
      <c r="R1888" s="359"/>
      <c r="S1888" s="359"/>
      <c r="T1888" s="359"/>
      <c r="U1888" s="359"/>
    </row>
    <row r="1889" ht="15.75" customHeight="1">
      <c r="A1889" s="226"/>
      <c r="B1889" s="359"/>
      <c r="C1889" s="359"/>
      <c r="D1889" s="359"/>
      <c r="E1889" s="359"/>
      <c r="F1889" s="360"/>
      <c r="G1889" s="360"/>
      <c r="H1889" s="359"/>
      <c r="I1889" s="359"/>
      <c r="J1889" s="359"/>
      <c r="K1889" s="359"/>
      <c r="L1889" s="361"/>
      <c r="M1889" s="359"/>
      <c r="N1889" s="359"/>
      <c r="O1889" s="359"/>
      <c r="P1889" s="359"/>
      <c r="Q1889" s="359"/>
      <c r="R1889" s="359"/>
      <c r="S1889" s="359"/>
      <c r="T1889" s="359"/>
      <c r="U1889" s="359"/>
    </row>
    <row r="1890" ht="15.75" customHeight="1">
      <c r="A1890" s="226"/>
      <c r="B1890" s="359"/>
      <c r="C1890" s="359"/>
      <c r="D1890" s="359"/>
      <c r="E1890" s="359"/>
      <c r="F1890" s="360"/>
      <c r="G1890" s="360"/>
      <c r="H1890" s="359"/>
      <c r="I1890" s="359"/>
      <c r="J1890" s="359"/>
      <c r="K1890" s="359"/>
      <c r="L1890" s="361"/>
      <c r="M1890" s="359"/>
      <c r="N1890" s="359"/>
      <c r="O1890" s="359"/>
      <c r="P1890" s="359"/>
      <c r="Q1890" s="359"/>
      <c r="R1890" s="359"/>
      <c r="S1890" s="359"/>
      <c r="T1890" s="359"/>
      <c r="U1890" s="359"/>
    </row>
    <row r="1891" ht="15.75" customHeight="1">
      <c r="A1891" s="226"/>
      <c r="B1891" s="359"/>
      <c r="C1891" s="359"/>
      <c r="D1891" s="359"/>
      <c r="E1891" s="359"/>
      <c r="F1891" s="360"/>
      <c r="G1891" s="360"/>
      <c r="H1891" s="359"/>
      <c r="I1891" s="359"/>
      <c r="J1891" s="359"/>
      <c r="K1891" s="359"/>
      <c r="L1891" s="361"/>
      <c r="M1891" s="359"/>
      <c r="N1891" s="359"/>
      <c r="O1891" s="359"/>
      <c r="P1891" s="359"/>
      <c r="Q1891" s="359"/>
      <c r="R1891" s="359"/>
      <c r="S1891" s="359"/>
      <c r="T1891" s="359"/>
      <c r="U1891" s="359"/>
    </row>
    <row r="1892" ht="15.75" customHeight="1">
      <c r="A1892" s="226"/>
      <c r="B1892" s="359"/>
      <c r="C1892" s="359"/>
      <c r="D1892" s="359"/>
      <c r="E1892" s="359"/>
      <c r="F1892" s="360"/>
      <c r="G1892" s="360"/>
      <c r="H1892" s="359"/>
      <c r="I1892" s="359"/>
      <c r="J1892" s="359"/>
      <c r="K1892" s="359"/>
      <c r="L1892" s="361"/>
      <c r="M1892" s="359"/>
      <c r="N1892" s="359"/>
      <c r="O1892" s="359"/>
      <c r="P1892" s="359"/>
      <c r="Q1892" s="359"/>
      <c r="R1892" s="359"/>
      <c r="S1892" s="359"/>
      <c r="T1892" s="359"/>
      <c r="U1892" s="359"/>
    </row>
    <row r="1893" ht="15.75" customHeight="1">
      <c r="A1893" s="226"/>
      <c r="B1893" s="359"/>
      <c r="C1893" s="359"/>
      <c r="D1893" s="359"/>
      <c r="E1893" s="359"/>
      <c r="F1893" s="360"/>
      <c r="G1893" s="360"/>
      <c r="H1893" s="359"/>
      <c r="I1893" s="359"/>
      <c r="J1893" s="359"/>
      <c r="K1893" s="359"/>
      <c r="L1893" s="361"/>
      <c r="M1893" s="359"/>
      <c r="N1893" s="359"/>
      <c r="O1893" s="359"/>
      <c r="P1893" s="359"/>
      <c r="Q1893" s="359"/>
      <c r="R1893" s="359"/>
      <c r="S1893" s="359"/>
      <c r="T1893" s="359"/>
      <c r="U1893" s="359"/>
    </row>
    <row r="1894" ht="15.75" customHeight="1">
      <c r="A1894" s="226"/>
      <c r="B1894" s="359"/>
      <c r="C1894" s="359"/>
      <c r="D1894" s="359"/>
      <c r="E1894" s="359"/>
      <c r="F1894" s="360"/>
      <c r="G1894" s="360"/>
      <c r="H1894" s="359"/>
      <c r="I1894" s="359"/>
      <c r="J1894" s="359"/>
      <c r="K1894" s="359"/>
      <c r="L1894" s="361"/>
      <c r="M1894" s="359"/>
      <c r="N1894" s="359"/>
      <c r="O1894" s="359"/>
      <c r="P1894" s="359"/>
      <c r="Q1894" s="359"/>
      <c r="R1894" s="359"/>
      <c r="S1894" s="359"/>
      <c r="T1894" s="359"/>
      <c r="U1894" s="359"/>
    </row>
    <row r="1895" ht="15.75" customHeight="1">
      <c r="A1895" s="226"/>
      <c r="B1895" s="359"/>
      <c r="C1895" s="359"/>
      <c r="D1895" s="359"/>
      <c r="E1895" s="359"/>
      <c r="F1895" s="360"/>
      <c r="G1895" s="360"/>
      <c r="H1895" s="359"/>
      <c r="I1895" s="359"/>
      <c r="J1895" s="359"/>
      <c r="K1895" s="359"/>
      <c r="L1895" s="361"/>
      <c r="M1895" s="359"/>
      <c r="N1895" s="359"/>
      <c r="O1895" s="359"/>
      <c r="P1895" s="359"/>
      <c r="Q1895" s="359"/>
      <c r="R1895" s="359"/>
      <c r="S1895" s="359"/>
      <c r="T1895" s="359"/>
      <c r="U1895" s="359"/>
    </row>
    <row r="1896" ht="15.75" customHeight="1">
      <c r="A1896" s="226"/>
      <c r="B1896" s="359"/>
      <c r="C1896" s="359"/>
      <c r="D1896" s="359"/>
      <c r="E1896" s="359"/>
      <c r="F1896" s="360"/>
      <c r="G1896" s="360"/>
      <c r="H1896" s="359"/>
      <c r="I1896" s="359"/>
      <c r="J1896" s="359"/>
      <c r="K1896" s="359"/>
      <c r="L1896" s="361"/>
      <c r="M1896" s="359"/>
      <c r="N1896" s="359"/>
      <c r="O1896" s="359"/>
      <c r="P1896" s="359"/>
      <c r="Q1896" s="359"/>
      <c r="R1896" s="359"/>
      <c r="S1896" s="359"/>
      <c r="T1896" s="359"/>
      <c r="U1896" s="359"/>
    </row>
    <row r="1897" ht="15.75" customHeight="1">
      <c r="A1897" s="226"/>
      <c r="B1897" s="359"/>
      <c r="C1897" s="359"/>
      <c r="D1897" s="359"/>
      <c r="E1897" s="359"/>
      <c r="F1897" s="360"/>
      <c r="G1897" s="360"/>
      <c r="H1897" s="359"/>
      <c r="I1897" s="359"/>
      <c r="J1897" s="359"/>
      <c r="K1897" s="359"/>
      <c r="L1897" s="361"/>
      <c r="M1897" s="359"/>
      <c r="N1897" s="359"/>
      <c r="O1897" s="359"/>
      <c r="P1897" s="359"/>
      <c r="Q1897" s="359"/>
      <c r="R1897" s="359"/>
      <c r="S1897" s="359"/>
      <c r="T1897" s="359"/>
      <c r="U1897" s="359"/>
    </row>
    <row r="1898" ht="15.75" customHeight="1">
      <c r="A1898" s="226"/>
      <c r="B1898" s="359"/>
      <c r="C1898" s="359"/>
      <c r="D1898" s="359"/>
      <c r="E1898" s="359"/>
      <c r="F1898" s="360"/>
      <c r="G1898" s="360"/>
      <c r="H1898" s="359"/>
      <c r="I1898" s="359"/>
      <c r="J1898" s="359"/>
      <c r="K1898" s="359"/>
      <c r="L1898" s="361"/>
      <c r="M1898" s="359"/>
      <c r="N1898" s="359"/>
      <c r="O1898" s="359"/>
      <c r="P1898" s="359"/>
      <c r="Q1898" s="359"/>
      <c r="R1898" s="359"/>
      <c r="S1898" s="359"/>
      <c r="T1898" s="359"/>
      <c r="U1898" s="359"/>
    </row>
    <row r="1899" ht="15.75" customHeight="1">
      <c r="A1899" s="226"/>
      <c r="B1899" s="359"/>
      <c r="C1899" s="359"/>
      <c r="D1899" s="359"/>
      <c r="E1899" s="359"/>
      <c r="F1899" s="360"/>
      <c r="G1899" s="360"/>
      <c r="H1899" s="359"/>
      <c r="I1899" s="359"/>
      <c r="J1899" s="359"/>
      <c r="K1899" s="359"/>
      <c r="L1899" s="361"/>
      <c r="M1899" s="359"/>
      <c r="N1899" s="359"/>
      <c r="O1899" s="359"/>
      <c r="P1899" s="359"/>
      <c r="Q1899" s="359"/>
      <c r="R1899" s="359"/>
      <c r="S1899" s="359"/>
      <c r="T1899" s="359"/>
      <c r="U1899" s="359"/>
    </row>
    <row r="1900" ht="15.75" customHeight="1">
      <c r="A1900" s="226"/>
      <c r="B1900" s="359"/>
      <c r="C1900" s="359"/>
      <c r="D1900" s="359"/>
      <c r="E1900" s="359"/>
      <c r="F1900" s="360"/>
      <c r="G1900" s="360"/>
      <c r="H1900" s="359"/>
      <c r="I1900" s="359"/>
      <c r="J1900" s="359"/>
      <c r="K1900" s="359"/>
      <c r="L1900" s="361"/>
      <c r="M1900" s="359"/>
      <c r="N1900" s="359"/>
      <c r="O1900" s="359"/>
      <c r="P1900" s="359"/>
      <c r="Q1900" s="359"/>
      <c r="R1900" s="359"/>
      <c r="S1900" s="359"/>
      <c r="T1900" s="359"/>
      <c r="U1900" s="359"/>
    </row>
    <row r="1901" ht="15.75" customHeight="1">
      <c r="A1901" s="226"/>
      <c r="B1901" s="359"/>
      <c r="C1901" s="359"/>
      <c r="D1901" s="359"/>
      <c r="E1901" s="359"/>
      <c r="F1901" s="360"/>
      <c r="G1901" s="360"/>
      <c r="H1901" s="359"/>
      <c r="I1901" s="359"/>
      <c r="J1901" s="359"/>
      <c r="K1901" s="359"/>
      <c r="L1901" s="361"/>
      <c r="M1901" s="359"/>
      <c r="N1901" s="359"/>
      <c r="O1901" s="359"/>
      <c r="P1901" s="359"/>
      <c r="Q1901" s="359"/>
      <c r="R1901" s="359"/>
      <c r="S1901" s="359"/>
      <c r="T1901" s="359"/>
      <c r="U1901" s="359"/>
    </row>
    <row r="1902" ht="15.75" customHeight="1">
      <c r="A1902" s="226"/>
      <c r="B1902" s="359"/>
      <c r="C1902" s="359"/>
      <c r="D1902" s="359"/>
      <c r="E1902" s="359"/>
      <c r="F1902" s="360"/>
      <c r="G1902" s="360"/>
      <c r="H1902" s="359"/>
      <c r="I1902" s="359"/>
      <c r="J1902" s="359"/>
      <c r="K1902" s="359"/>
      <c r="L1902" s="361"/>
      <c r="M1902" s="359"/>
      <c r="N1902" s="359"/>
      <c r="O1902" s="359"/>
      <c r="P1902" s="359"/>
      <c r="Q1902" s="359"/>
      <c r="R1902" s="359"/>
      <c r="S1902" s="359"/>
      <c r="T1902" s="359"/>
      <c r="U1902" s="359"/>
    </row>
    <row r="1903" ht="15.75" customHeight="1">
      <c r="A1903" s="226"/>
      <c r="B1903" s="359"/>
      <c r="C1903" s="359"/>
      <c r="D1903" s="359"/>
      <c r="E1903" s="359"/>
      <c r="F1903" s="360"/>
      <c r="G1903" s="360"/>
      <c r="H1903" s="359"/>
      <c r="I1903" s="359"/>
      <c r="J1903" s="359"/>
      <c r="K1903" s="359"/>
      <c r="L1903" s="361"/>
      <c r="M1903" s="359"/>
      <c r="N1903" s="359"/>
      <c r="O1903" s="359"/>
      <c r="P1903" s="359"/>
      <c r="Q1903" s="359"/>
      <c r="R1903" s="359"/>
      <c r="S1903" s="359"/>
      <c r="T1903" s="359"/>
      <c r="U1903" s="359"/>
    </row>
    <row r="1904" ht="15.75" customHeight="1">
      <c r="A1904" s="226"/>
      <c r="B1904" s="359"/>
      <c r="C1904" s="359"/>
      <c r="D1904" s="359"/>
      <c r="E1904" s="359"/>
      <c r="F1904" s="360"/>
      <c r="G1904" s="360"/>
      <c r="H1904" s="359"/>
      <c r="I1904" s="359"/>
      <c r="J1904" s="359"/>
      <c r="K1904" s="359"/>
      <c r="L1904" s="361"/>
      <c r="M1904" s="359"/>
      <c r="N1904" s="359"/>
      <c r="O1904" s="359"/>
      <c r="P1904" s="359"/>
      <c r="Q1904" s="359"/>
      <c r="R1904" s="359"/>
      <c r="S1904" s="359"/>
      <c r="T1904" s="359"/>
      <c r="U1904" s="359"/>
    </row>
    <row r="1905" ht="15.75" customHeight="1">
      <c r="A1905" s="226"/>
      <c r="B1905" s="359"/>
      <c r="C1905" s="359"/>
      <c r="D1905" s="359"/>
      <c r="E1905" s="359"/>
      <c r="F1905" s="360"/>
      <c r="G1905" s="360"/>
      <c r="H1905" s="359"/>
      <c r="I1905" s="359"/>
      <c r="J1905" s="359"/>
      <c r="K1905" s="359"/>
      <c r="L1905" s="361"/>
      <c r="M1905" s="359"/>
      <c r="N1905" s="359"/>
      <c r="O1905" s="359"/>
      <c r="P1905" s="359"/>
      <c r="Q1905" s="359"/>
      <c r="R1905" s="359"/>
      <c r="S1905" s="359"/>
      <c r="T1905" s="359"/>
      <c r="U1905" s="359"/>
    </row>
    <row r="1906" ht="15.75" customHeight="1">
      <c r="A1906" s="226"/>
      <c r="B1906" s="359"/>
      <c r="C1906" s="359"/>
      <c r="D1906" s="359"/>
      <c r="E1906" s="359"/>
      <c r="F1906" s="360"/>
      <c r="G1906" s="360"/>
      <c r="H1906" s="359"/>
      <c r="I1906" s="359"/>
      <c r="J1906" s="359"/>
      <c r="K1906" s="359"/>
      <c r="L1906" s="361"/>
      <c r="M1906" s="359"/>
      <c r="N1906" s="359"/>
      <c r="O1906" s="359"/>
      <c r="P1906" s="359"/>
      <c r="Q1906" s="359"/>
      <c r="R1906" s="359"/>
      <c r="S1906" s="359"/>
      <c r="T1906" s="359"/>
      <c r="U1906" s="359"/>
    </row>
    <row r="1907" ht="15.75" customHeight="1">
      <c r="A1907" s="226"/>
      <c r="B1907" s="359"/>
      <c r="C1907" s="359"/>
      <c r="D1907" s="359"/>
      <c r="E1907" s="359"/>
      <c r="F1907" s="360"/>
      <c r="G1907" s="360"/>
      <c r="H1907" s="359"/>
      <c r="I1907" s="359"/>
      <c r="J1907" s="359"/>
      <c r="K1907" s="359"/>
      <c r="L1907" s="361"/>
      <c r="M1907" s="359"/>
      <c r="N1907" s="359"/>
      <c r="O1907" s="359"/>
      <c r="P1907" s="359"/>
      <c r="Q1907" s="359"/>
      <c r="R1907" s="359"/>
      <c r="S1907" s="359"/>
      <c r="T1907" s="359"/>
      <c r="U1907" s="359"/>
    </row>
    <row r="1908" ht="15.75" customHeight="1">
      <c r="A1908" s="226"/>
      <c r="B1908" s="359"/>
      <c r="C1908" s="359"/>
      <c r="D1908" s="359"/>
      <c r="E1908" s="359"/>
      <c r="F1908" s="360"/>
      <c r="G1908" s="360"/>
      <c r="H1908" s="359"/>
      <c r="I1908" s="359"/>
      <c r="J1908" s="359"/>
      <c r="K1908" s="359"/>
      <c r="L1908" s="361"/>
      <c r="M1908" s="359"/>
      <c r="N1908" s="359"/>
      <c r="O1908" s="359"/>
      <c r="P1908" s="359"/>
      <c r="Q1908" s="359"/>
      <c r="R1908" s="359"/>
      <c r="S1908" s="359"/>
      <c r="T1908" s="359"/>
      <c r="U1908" s="359"/>
    </row>
    <row r="1909" ht="15.75" customHeight="1">
      <c r="A1909" s="226"/>
      <c r="B1909" s="359"/>
      <c r="C1909" s="359"/>
      <c r="D1909" s="359"/>
      <c r="E1909" s="359"/>
      <c r="F1909" s="360"/>
      <c r="G1909" s="360"/>
      <c r="H1909" s="359"/>
      <c r="I1909" s="359"/>
      <c r="J1909" s="359"/>
      <c r="K1909" s="359"/>
      <c r="L1909" s="361"/>
      <c r="M1909" s="359"/>
      <c r="N1909" s="359"/>
      <c r="O1909" s="359"/>
      <c r="P1909" s="359"/>
      <c r="Q1909" s="359"/>
      <c r="R1909" s="359"/>
      <c r="S1909" s="359"/>
      <c r="T1909" s="359"/>
      <c r="U1909" s="359"/>
    </row>
    <row r="1910" ht="15.75" customHeight="1">
      <c r="A1910" s="226"/>
      <c r="B1910" s="359"/>
      <c r="C1910" s="359"/>
      <c r="D1910" s="359"/>
      <c r="E1910" s="359"/>
      <c r="F1910" s="360"/>
      <c r="G1910" s="360"/>
      <c r="H1910" s="359"/>
      <c r="I1910" s="359"/>
      <c r="J1910" s="359"/>
      <c r="K1910" s="359"/>
      <c r="L1910" s="361"/>
      <c r="M1910" s="359"/>
      <c r="N1910" s="359"/>
      <c r="O1910" s="359"/>
      <c r="P1910" s="359"/>
      <c r="Q1910" s="359"/>
      <c r="R1910" s="359"/>
      <c r="S1910" s="359"/>
      <c r="T1910" s="359"/>
      <c r="U1910" s="359"/>
    </row>
    <row r="1911" ht="15.75" customHeight="1">
      <c r="A1911" s="226"/>
      <c r="B1911" s="359"/>
      <c r="C1911" s="359"/>
      <c r="D1911" s="359"/>
      <c r="E1911" s="359"/>
      <c r="F1911" s="360"/>
      <c r="G1911" s="360"/>
      <c r="H1911" s="359"/>
      <c r="I1911" s="359"/>
      <c r="J1911" s="359"/>
      <c r="K1911" s="359"/>
      <c r="L1911" s="361"/>
      <c r="M1911" s="359"/>
      <c r="N1911" s="359"/>
      <c r="O1911" s="359"/>
      <c r="P1911" s="359"/>
      <c r="Q1911" s="359"/>
      <c r="R1911" s="359"/>
      <c r="S1911" s="359"/>
      <c r="T1911" s="359"/>
      <c r="U1911" s="359"/>
    </row>
    <row r="1912" ht="15.75" customHeight="1">
      <c r="A1912" s="226"/>
      <c r="B1912" s="359"/>
      <c r="C1912" s="359"/>
      <c r="D1912" s="359"/>
      <c r="E1912" s="359"/>
      <c r="F1912" s="360"/>
      <c r="G1912" s="360"/>
      <c r="H1912" s="359"/>
      <c r="I1912" s="359"/>
      <c r="J1912" s="359"/>
      <c r="K1912" s="359"/>
      <c r="L1912" s="361"/>
      <c r="M1912" s="359"/>
      <c r="N1912" s="359"/>
      <c r="O1912" s="359"/>
      <c r="P1912" s="359"/>
      <c r="Q1912" s="359"/>
      <c r="R1912" s="359"/>
      <c r="S1912" s="359"/>
      <c r="T1912" s="359"/>
      <c r="U1912" s="359"/>
    </row>
    <row r="1913" ht="15.75" customHeight="1">
      <c r="A1913" s="226"/>
      <c r="B1913" s="359"/>
      <c r="C1913" s="359"/>
      <c r="D1913" s="359"/>
      <c r="E1913" s="359"/>
      <c r="F1913" s="360"/>
      <c r="G1913" s="360"/>
      <c r="H1913" s="359"/>
      <c r="I1913" s="359"/>
      <c r="J1913" s="359"/>
      <c r="K1913" s="359"/>
      <c r="L1913" s="361"/>
      <c r="M1913" s="359"/>
      <c r="N1913" s="359"/>
      <c r="O1913" s="359"/>
      <c r="P1913" s="359"/>
      <c r="Q1913" s="359"/>
      <c r="R1913" s="359"/>
      <c r="S1913" s="359"/>
      <c r="T1913" s="359"/>
      <c r="U1913" s="359"/>
    </row>
    <row r="1914" ht="15.75" customHeight="1">
      <c r="A1914" s="226"/>
      <c r="B1914" s="359"/>
      <c r="C1914" s="359"/>
      <c r="D1914" s="359"/>
      <c r="E1914" s="359"/>
      <c r="F1914" s="360"/>
      <c r="G1914" s="360"/>
      <c r="H1914" s="359"/>
      <c r="I1914" s="359"/>
      <c r="J1914" s="359"/>
      <c r="K1914" s="359"/>
      <c r="L1914" s="361"/>
      <c r="M1914" s="359"/>
      <c r="N1914" s="359"/>
      <c r="O1914" s="359"/>
      <c r="P1914" s="359"/>
      <c r="Q1914" s="359"/>
      <c r="R1914" s="359"/>
      <c r="S1914" s="359"/>
      <c r="T1914" s="359"/>
      <c r="U1914" s="359"/>
    </row>
    <row r="1915" ht="15.75" customHeight="1">
      <c r="A1915" s="226"/>
      <c r="B1915" s="359"/>
      <c r="C1915" s="359"/>
      <c r="D1915" s="359"/>
      <c r="E1915" s="359"/>
      <c r="F1915" s="360"/>
      <c r="G1915" s="360"/>
      <c r="H1915" s="359"/>
      <c r="I1915" s="359"/>
      <c r="J1915" s="359"/>
      <c r="K1915" s="359"/>
      <c r="L1915" s="361"/>
      <c r="M1915" s="359"/>
      <c r="N1915" s="359"/>
      <c r="O1915" s="359"/>
      <c r="P1915" s="359"/>
      <c r="Q1915" s="359"/>
      <c r="R1915" s="359"/>
      <c r="S1915" s="359"/>
      <c r="T1915" s="359"/>
      <c r="U1915" s="359"/>
    </row>
    <row r="1916" ht="15.75" customHeight="1">
      <c r="A1916" s="226"/>
      <c r="B1916" s="359"/>
      <c r="C1916" s="359"/>
      <c r="D1916" s="359"/>
      <c r="E1916" s="359"/>
      <c r="F1916" s="360"/>
      <c r="G1916" s="360"/>
      <c r="H1916" s="359"/>
      <c r="I1916" s="359"/>
      <c r="J1916" s="359"/>
      <c r="K1916" s="359"/>
      <c r="L1916" s="361"/>
      <c r="M1916" s="359"/>
      <c r="N1916" s="359"/>
      <c r="O1916" s="359"/>
      <c r="P1916" s="359"/>
      <c r="Q1916" s="359"/>
      <c r="R1916" s="359"/>
      <c r="S1916" s="359"/>
      <c r="T1916" s="359"/>
      <c r="U1916" s="359"/>
    </row>
    <row r="1917" ht="15.75" customHeight="1">
      <c r="A1917" s="226"/>
      <c r="B1917" s="359"/>
      <c r="C1917" s="359"/>
      <c r="D1917" s="359"/>
      <c r="E1917" s="359"/>
      <c r="F1917" s="360"/>
      <c r="G1917" s="360"/>
      <c r="H1917" s="359"/>
      <c r="I1917" s="359"/>
      <c r="J1917" s="359"/>
      <c r="K1917" s="359"/>
      <c r="L1917" s="361"/>
      <c r="M1917" s="359"/>
      <c r="N1917" s="359"/>
      <c r="O1917" s="359"/>
      <c r="P1917" s="359"/>
      <c r="Q1917" s="359"/>
      <c r="R1917" s="359"/>
      <c r="S1917" s="359"/>
      <c r="T1917" s="359"/>
      <c r="U1917" s="359"/>
    </row>
    <row r="1918" ht="15.75" customHeight="1">
      <c r="A1918" s="226"/>
      <c r="B1918" s="359"/>
      <c r="C1918" s="359"/>
      <c r="D1918" s="359"/>
      <c r="E1918" s="359"/>
      <c r="F1918" s="360"/>
      <c r="G1918" s="360"/>
      <c r="H1918" s="359"/>
      <c r="I1918" s="359"/>
      <c r="J1918" s="359"/>
      <c r="K1918" s="359"/>
      <c r="L1918" s="361"/>
      <c r="M1918" s="359"/>
      <c r="N1918" s="359"/>
      <c r="O1918" s="359"/>
      <c r="P1918" s="359"/>
      <c r="Q1918" s="359"/>
      <c r="R1918" s="359"/>
      <c r="S1918" s="359"/>
      <c r="T1918" s="359"/>
      <c r="U1918" s="359"/>
    </row>
    <row r="1919" ht="15.75" customHeight="1">
      <c r="A1919" s="226"/>
      <c r="B1919" s="359"/>
      <c r="C1919" s="359"/>
      <c r="D1919" s="359"/>
      <c r="E1919" s="359"/>
      <c r="F1919" s="360"/>
      <c r="G1919" s="360"/>
      <c r="H1919" s="359"/>
      <c r="I1919" s="359"/>
      <c r="J1919" s="359"/>
      <c r="K1919" s="359"/>
      <c r="L1919" s="361"/>
      <c r="M1919" s="359"/>
      <c r="N1919" s="359"/>
      <c r="O1919" s="359"/>
      <c r="P1919" s="359"/>
      <c r="Q1919" s="359"/>
      <c r="R1919" s="359"/>
      <c r="S1919" s="359"/>
      <c r="T1919" s="359"/>
      <c r="U1919" s="359"/>
    </row>
    <row r="1920" ht="15.75" customHeight="1">
      <c r="A1920" s="226"/>
      <c r="B1920" s="359"/>
      <c r="C1920" s="359"/>
      <c r="D1920" s="359"/>
      <c r="E1920" s="359"/>
      <c r="F1920" s="360"/>
      <c r="G1920" s="360"/>
      <c r="H1920" s="359"/>
      <c r="I1920" s="359"/>
      <c r="J1920" s="359"/>
      <c r="K1920" s="359"/>
      <c r="L1920" s="361"/>
      <c r="M1920" s="359"/>
      <c r="N1920" s="359"/>
      <c r="O1920" s="359"/>
      <c r="P1920" s="359"/>
      <c r="Q1920" s="359"/>
      <c r="R1920" s="359"/>
      <c r="S1920" s="359"/>
      <c r="T1920" s="359"/>
      <c r="U1920" s="359"/>
    </row>
    <row r="1921" ht="15.75" customHeight="1">
      <c r="A1921" s="226"/>
      <c r="B1921" s="359"/>
      <c r="C1921" s="359"/>
      <c r="D1921" s="359"/>
      <c r="E1921" s="359"/>
      <c r="F1921" s="360"/>
      <c r="G1921" s="360"/>
      <c r="H1921" s="359"/>
      <c r="I1921" s="359"/>
      <c r="J1921" s="359"/>
      <c r="K1921" s="359"/>
      <c r="L1921" s="361"/>
      <c r="M1921" s="359"/>
      <c r="N1921" s="359"/>
      <c r="O1921" s="359"/>
      <c r="P1921" s="359"/>
      <c r="Q1921" s="359"/>
      <c r="R1921" s="359"/>
      <c r="S1921" s="359"/>
      <c r="T1921" s="359"/>
      <c r="U1921" s="359"/>
    </row>
    <row r="1922" ht="15.75" customHeight="1">
      <c r="A1922" s="226"/>
      <c r="B1922" s="359"/>
      <c r="C1922" s="359"/>
      <c r="D1922" s="359"/>
      <c r="E1922" s="359"/>
      <c r="F1922" s="360"/>
      <c r="G1922" s="360"/>
      <c r="H1922" s="359"/>
      <c r="I1922" s="359"/>
      <c r="J1922" s="359"/>
      <c r="K1922" s="359"/>
      <c r="L1922" s="361"/>
      <c r="M1922" s="359"/>
      <c r="N1922" s="359"/>
      <c r="O1922" s="359"/>
      <c r="P1922" s="359"/>
      <c r="Q1922" s="359"/>
      <c r="R1922" s="359"/>
      <c r="S1922" s="359"/>
      <c r="T1922" s="359"/>
      <c r="U1922" s="359"/>
    </row>
    <row r="1923" ht="15.75" customHeight="1">
      <c r="A1923" s="226"/>
      <c r="B1923" s="359"/>
      <c r="C1923" s="359"/>
      <c r="D1923" s="359"/>
      <c r="E1923" s="359"/>
      <c r="F1923" s="360"/>
      <c r="G1923" s="360"/>
      <c r="H1923" s="359"/>
      <c r="I1923" s="359"/>
      <c r="J1923" s="359"/>
      <c r="K1923" s="359"/>
      <c r="L1923" s="361"/>
      <c r="M1923" s="359"/>
      <c r="N1923" s="359"/>
      <c r="O1923" s="359"/>
      <c r="P1923" s="359"/>
      <c r="Q1923" s="359"/>
      <c r="R1923" s="359"/>
      <c r="S1923" s="359"/>
      <c r="T1923" s="359"/>
      <c r="U1923" s="359"/>
    </row>
    <row r="1924" ht="15.75" customHeight="1">
      <c r="A1924" s="226"/>
      <c r="B1924" s="359"/>
      <c r="C1924" s="359"/>
      <c r="D1924" s="359"/>
      <c r="E1924" s="359"/>
      <c r="F1924" s="360"/>
      <c r="G1924" s="360"/>
      <c r="H1924" s="359"/>
      <c r="I1924" s="359"/>
      <c r="J1924" s="359"/>
      <c r="K1924" s="359"/>
      <c r="L1924" s="361"/>
      <c r="M1924" s="359"/>
      <c r="N1924" s="359"/>
      <c r="O1924" s="359"/>
      <c r="P1924" s="359"/>
      <c r="Q1924" s="359"/>
      <c r="R1924" s="359"/>
      <c r="S1924" s="359"/>
      <c r="T1924" s="359"/>
      <c r="U1924" s="359"/>
    </row>
    <row r="1925" ht="15.75" customHeight="1">
      <c r="A1925" s="226"/>
      <c r="B1925" s="359"/>
      <c r="C1925" s="359"/>
      <c r="D1925" s="359"/>
      <c r="E1925" s="359"/>
      <c r="F1925" s="360"/>
      <c r="G1925" s="360"/>
      <c r="H1925" s="359"/>
      <c r="I1925" s="359"/>
      <c r="J1925" s="359"/>
      <c r="K1925" s="359"/>
      <c r="L1925" s="361"/>
      <c r="M1925" s="359"/>
      <c r="N1925" s="359"/>
      <c r="O1925" s="359"/>
      <c r="P1925" s="359"/>
      <c r="Q1925" s="359"/>
      <c r="R1925" s="359"/>
      <c r="S1925" s="359"/>
      <c r="T1925" s="359"/>
      <c r="U1925" s="359"/>
    </row>
    <row r="1926" ht="15.75" customHeight="1">
      <c r="A1926" s="226"/>
      <c r="B1926" s="359"/>
      <c r="C1926" s="359"/>
      <c r="D1926" s="359"/>
      <c r="E1926" s="359"/>
      <c r="F1926" s="360"/>
      <c r="G1926" s="360"/>
      <c r="H1926" s="359"/>
      <c r="I1926" s="359"/>
      <c r="J1926" s="359"/>
      <c r="K1926" s="359"/>
      <c r="L1926" s="361"/>
      <c r="M1926" s="359"/>
      <c r="N1926" s="359"/>
      <c r="O1926" s="359"/>
      <c r="P1926" s="359"/>
      <c r="Q1926" s="359"/>
      <c r="R1926" s="359"/>
      <c r="S1926" s="359"/>
      <c r="T1926" s="359"/>
      <c r="U1926" s="359"/>
    </row>
    <row r="1927" ht="15.75" customHeight="1">
      <c r="A1927" s="226"/>
      <c r="B1927" s="359"/>
      <c r="C1927" s="359"/>
      <c r="D1927" s="359"/>
      <c r="E1927" s="359"/>
      <c r="F1927" s="360"/>
      <c r="G1927" s="360"/>
      <c r="H1927" s="359"/>
      <c r="I1927" s="359"/>
      <c r="J1927" s="359"/>
      <c r="K1927" s="359"/>
      <c r="L1927" s="361"/>
      <c r="M1927" s="359"/>
      <c r="N1927" s="359"/>
      <c r="O1927" s="359"/>
      <c r="P1927" s="359"/>
      <c r="Q1927" s="359"/>
      <c r="R1927" s="359"/>
      <c r="S1927" s="359"/>
      <c r="T1927" s="359"/>
      <c r="U1927" s="359"/>
    </row>
    <row r="1928" ht="15.75" customHeight="1">
      <c r="A1928" s="226"/>
      <c r="B1928" s="359"/>
      <c r="C1928" s="359"/>
      <c r="D1928" s="359"/>
      <c r="E1928" s="359"/>
      <c r="F1928" s="360"/>
      <c r="G1928" s="360"/>
      <c r="H1928" s="359"/>
      <c r="I1928" s="359"/>
      <c r="J1928" s="359"/>
      <c r="K1928" s="359"/>
      <c r="L1928" s="361"/>
      <c r="M1928" s="359"/>
      <c r="N1928" s="359"/>
      <c r="O1928" s="359"/>
      <c r="P1928" s="359"/>
      <c r="Q1928" s="359"/>
      <c r="R1928" s="359"/>
      <c r="S1928" s="359"/>
      <c r="T1928" s="359"/>
      <c r="U1928" s="359"/>
    </row>
    <row r="1929" ht="15.75" customHeight="1">
      <c r="A1929" s="226"/>
      <c r="B1929" s="359"/>
      <c r="C1929" s="359"/>
      <c r="D1929" s="359"/>
      <c r="E1929" s="359"/>
      <c r="F1929" s="360"/>
      <c r="G1929" s="360"/>
      <c r="H1929" s="359"/>
      <c r="I1929" s="359"/>
      <c r="J1929" s="359"/>
      <c r="K1929" s="359"/>
      <c r="L1929" s="361"/>
      <c r="M1929" s="359"/>
      <c r="N1929" s="359"/>
      <c r="O1929" s="359"/>
      <c r="P1929" s="359"/>
      <c r="Q1929" s="359"/>
      <c r="R1929" s="359"/>
      <c r="S1929" s="359"/>
      <c r="T1929" s="359"/>
      <c r="U1929" s="359"/>
    </row>
    <row r="1930" ht="15.75" customHeight="1">
      <c r="A1930" s="226"/>
      <c r="B1930" s="359"/>
      <c r="C1930" s="359"/>
      <c r="D1930" s="359"/>
      <c r="E1930" s="359"/>
      <c r="F1930" s="360"/>
      <c r="G1930" s="360"/>
      <c r="H1930" s="359"/>
      <c r="I1930" s="359"/>
      <c r="J1930" s="359"/>
      <c r="K1930" s="359"/>
      <c r="L1930" s="361"/>
      <c r="M1930" s="359"/>
      <c r="N1930" s="359"/>
      <c r="O1930" s="359"/>
      <c r="P1930" s="359"/>
      <c r="Q1930" s="359"/>
      <c r="R1930" s="359"/>
      <c r="S1930" s="359"/>
      <c r="T1930" s="359"/>
      <c r="U1930" s="359"/>
    </row>
    <row r="1931" ht="15.75" customHeight="1">
      <c r="A1931" s="226"/>
      <c r="B1931" s="359"/>
      <c r="C1931" s="359"/>
      <c r="D1931" s="359"/>
      <c r="E1931" s="359"/>
      <c r="F1931" s="360"/>
      <c r="G1931" s="360"/>
      <c r="H1931" s="359"/>
      <c r="I1931" s="359"/>
      <c r="J1931" s="359"/>
      <c r="K1931" s="359"/>
      <c r="L1931" s="361"/>
      <c r="M1931" s="359"/>
      <c r="N1931" s="359"/>
      <c r="O1931" s="359"/>
      <c r="P1931" s="359"/>
      <c r="Q1931" s="359"/>
      <c r="R1931" s="359"/>
      <c r="S1931" s="359"/>
      <c r="T1931" s="359"/>
      <c r="U1931" s="359"/>
    </row>
    <row r="1932" ht="15.75" customHeight="1">
      <c r="A1932" s="226"/>
      <c r="B1932" s="359"/>
      <c r="C1932" s="359"/>
      <c r="D1932" s="359"/>
      <c r="E1932" s="359"/>
      <c r="F1932" s="360"/>
      <c r="G1932" s="360"/>
      <c r="H1932" s="359"/>
      <c r="I1932" s="359"/>
      <c r="J1932" s="359"/>
      <c r="K1932" s="359"/>
      <c r="L1932" s="361"/>
      <c r="M1932" s="359"/>
      <c r="N1932" s="359"/>
      <c r="O1932" s="359"/>
      <c r="P1932" s="359"/>
      <c r="Q1932" s="359"/>
      <c r="R1932" s="359"/>
      <c r="S1932" s="359"/>
      <c r="T1932" s="359"/>
      <c r="U1932" s="359"/>
    </row>
    <row r="1933" ht="15.75" customHeight="1">
      <c r="A1933" s="226"/>
      <c r="B1933" s="359"/>
      <c r="C1933" s="359"/>
      <c r="D1933" s="359"/>
      <c r="E1933" s="359"/>
      <c r="F1933" s="360"/>
      <c r="G1933" s="360"/>
      <c r="H1933" s="359"/>
      <c r="I1933" s="359"/>
      <c r="J1933" s="359"/>
      <c r="K1933" s="359"/>
      <c r="L1933" s="361"/>
      <c r="M1933" s="359"/>
      <c r="N1933" s="359"/>
      <c r="O1933" s="359"/>
      <c r="P1933" s="359"/>
      <c r="Q1933" s="359"/>
      <c r="R1933" s="359"/>
      <c r="S1933" s="359"/>
      <c r="T1933" s="359"/>
      <c r="U1933" s="359"/>
    </row>
    <row r="1934" ht="15.75" customHeight="1">
      <c r="A1934" s="226"/>
      <c r="B1934" s="359"/>
      <c r="C1934" s="359"/>
      <c r="D1934" s="359"/>
      <c r="E1934" s="359"/>
      <c r="F1934" s="360"/>
      <c r="G1934" s="360"/>
      <c r="H1934" s="359"/>
      <c r="I1934" s="359"/>
      <c r="J1934" s="359"/>
      <c r="K1934" s="359"/>
      <c r="L1934" s="361"/>
      <c r="M1934" s="359"/>
      <c r="N1934" s="359"/>
      <c r="O1934" s="359"/>
      <c r="P1934" s="359"/>
      <c r="Q1934" s="359"/>
      <c r="R1934" s="359"/>
      <c r="S1934" s="359"/>
      <c r="T1934" s="359"/>
      <c r="U1934" s="359"/>
    </row>
    <row r="1935" ht="15.75" customHeight="1">
      <c r="A1935" s="226"/>
      <c r="B1935" s="359"/>
      <c r="C1935" s="359"/>
      <c r="D1935" s="359"/>
      <c r="E1935" s="359"/>
      <c r="F1935" s="360"/>
      <c r="G1935" s="360"/>
      <c r="H1935" s="359"/>
      <c r="I1935" s="359"/>
      <c r="J1935" s="359"/>
      <c r="K1935" s="359"/>
      <c r="L1935" s="361"/>
      <c r="M1935" s="359"/>
      <c r="N1935" s="359"/>
      <c r="O1935" s="359"/>
      <c r="P1935" s="359"/>
      <c r="Q1935" s="359"/>
      <c r="R1935" s="359"/>
      <c r="S1935" s="359"/>
      <c r="T1935" s="359"/>
      <c r="U1935" s="359"/>
    </row>
    <row r="1936" ht="15.75" customHeight="1">
      <c r="A1936" s="226"/>
      <c r="B1936" s="359"/>
      <c r="C1936" s="359"/>
      <c r="D1936" s="359"/>
      <c r="E1936" s="359"/>
      <c r="F1936" s="360"/>
      <c r="G1936" s="360"/>
      <c r="H1936" s="359"/>
      <c r="I1936" s="359"/>
      <c r="J1936" s="359"/>
      <c r="K1936" s="359"/>
      <c r="L1936" s="361"/>
      <c r="M1936" s="359"/>
      <c r="N1936" s="359"/>
      <c r="O1936" s="359"/>
      <c r="P1936" s="359"/>
      <c r="Q1936" s="359"/>
      <c r="R1936" s="359"/>
      <c r="S1936" s="359"/>
      <c r="T1936" s="359"/>
      <c r="U1936" s="359"/>
    </row>
    <row r="1937" ht="15.75" customHeight="1">
      <c r="A1937" s="226"/>
      <c r="B1937" s="359"/>
      <c r="C1937" s="359"/>
      <c r="D1937" s="359"/>
      <c r="E1937" s="359"/>
      <c r="F1937" s="360"/>
      <c r="G1937" s="360"/>
      <c r="H1937" s="359"/>
      <c r="I1937" s="359"/>
      <c r="J1937" s="359"/>
      <c r="K1937" s="359"/>
      <c r="L1937" s="361"/>
      <c r="M1937" s="359"/>
      <c r="N1937" s="359"/>
      <c r="O1937" s="359"/>
      <c r="P1937" s="359"/>
      <c r="Q1937" s="359"/>
      <c r="R1937" s="359"/>
      <c r="S1937" s="359"/>
      <c r="T1937" s="359"/>
      <c r="U1937" s="359"/>
    </row>
    <row r="1938" ht="15.75" customHeight="1">
      <c r="A1938" s="226"/>
      <c r="B1938" s="359"/>
      <c r="C1938" s="359"/>
      <c r="D1938" s="359"/>
      <c r="E1938" s="359"/>
      <c r="F1938" s="360"/>
      <c r="G1938" s="360"/>
      <c r="H1938" s="359"/>
      <c r="I1938" s="359"/>
      <c r="J1938" s="359"/>
      <c r="K1938" s="359"/>
      <c r="L1938" s="361"/>
      <c r="M1938" s="359"/>
      <c r="N1938" s="359"/>
      <c r="O1938" s="359"/>
      <c r="P1938" s="359"/>
      <c r="Q1938" s="359"/>
      <c r="R1938" s="359"/>
      <c r="S1938" s="359"/>
      <c r="T1938" s="359"/>
      <c r="U1938" s="359"/>
    </row>
    <row r="1939" ht="15.75" customHeight="1">
      <c r="A1939" s="226"/>
      <c r="B1939" s="359"/>
      <c r="C1939" s="359"/>
      <c r="D1939" s="359"/>
      <c r="E1939" s="359"/>
      <c r="F1939" s="360"/>
      <c r="G1939" s="360"/>
      <c r="H1939" s="359"/>
      <c r="I1939" s="359"/>
      <c r="J1939" s="359"/>
      <c r="K1939" s="359"/>
      <c r="L1939" s="361"/>
      <c r="M1939" s="359"/>
      <c r="N1939" s="359"/>
      <c r="O1939" s="359"/>
      <c r="P1939" s="359"/>
      <c r="Q1939" s="359"/>
      <c r="R1939" s="359"/>
      <c r="S1939" s="359"/>
      <c r="T1939" s="359"/>
      <c r="U1939" s="359"/>
    </row>
    <row r="1940" ht="15.75" customHeight="1">
      <c r="A1940" s="226"/>
      <c r="B1940" s="359"/>
      <c r="C1940" s="359"/>
      <c r="D1940" s="359"/>
      <c r="E1940" s="359"/>
      <c r="F1940" s="360"/>
      <c r="G1940" s="360"/>
      <c r="H1940" s="359"/>
      <c r="I1940" s="359"/>
      <c r="J1940" s="359"/>
      <c r="K1940" s="359"/>
      <c r="L1940" s="361"/>
      <c r="M1940" s="359"/>
      <c r="N1940" s="359"/>
      <c r="O1940" s="359"/>
      <c r="P1940" s="359"/>
      <c r="Q1940" s="359"/>
      <c r="R1940" s="359"/>
      <c r="S1940" s="359"/>
      <c r="T1940" s="359"/>
      <c r="U1940" s="359"/>
    </row>
    <row r="1941" ht="15.75" customHeight="1">
      <c r="A1941" s="226"/>
      <c r="B1941" s="359"/>
      <c r="C1941" s="359"/>
      <c r="D1941" s="359"/>
      <c r="E1941" s="359"/>
      <c r="F1941" s="360"/>
      <c r="G1941" s="360"/>
      <c r="H1941" s="359"/>
      <c r="I1941" s="359"/>
      <c r="J1941" s="359"/>
      <c r="K1941" s="359"/>
      <c r="L1941" s="361"/>
      <c r="M1941" s="359"/>
      <c r="N1941" s="359"/>
      <c r="O1941" s="359"/>
      <c r="P1941" s="359"/>
      <c r="Q1941" s="359"/>
      <c r="R1941" s="359"/>
      <c r="S1941" s="359"/>
      <c r="T1941" s="359"/>
      <c r="U1941" s="359"/>
    </row>
    <row r="1942" ht="15.75" customHeight="1">
      <c r="A1942" s="226"/>
      <c r="B1942" s="359"/>
      <c r="C1942" s="359"/>
      <c r="D1942" s="359"/>
      <c r="E1942" s="359"/>
      <c r="F1942" s="360"/>
      <c r="G1942" s="360"/>
      <c r="H1942" s="359"/>
      <c r="I1942" s="359"/>
      <c r="J1942" s="359"/>
      <c r="K1942" s="359"/>
      <c r="L1942" s="361"/>
      <c r="M1942" s="359"/>
      <c r="N1942" s="359"/>
      <c r="O1942" s="359"/>
      <c r="P1942" s="359"/>
      <c r="Q1942" s="359"/>
      <c r="R1942" s="359"/>
      <c r="S1942" s="359"/>
      <c r="T1942" s="359"/>
      <c r="U1942" s="359"/>
    </row>
    <row r="1943" ht="15.75" customHeight="1">
      <c r="A1943" s="226"/>
      <c r="B1943" s="359"/>
      <c r="C1943" s="359"/>
      <c r="D1943" s="359"/>
      <c r="E1943" s="359"/>
      <c r="F1943" s="360"/>
      <c r="G1943" s="360"/>
      <c r="H1943" s="359"/>
      <c r="I1943" s="359"/>
      <c r="J1943" s="359"/>
      <c r="K1943" s="359"/>
      <c r="L1943" s="361"/>
      <c r="M1943" s="359"/>
      <c r="N1943" s="359"/>
      <c r="O1943" s="359"/>
      <c r="P1943" s="359"/>
      <c r="Q1943" s="359"/>
      <c r="R1943" s="359"/>
      <c r="S1943" s="359"/>
      <c r="T1943" s="359"/>
      <c r="U1943" s="359"/>
    </row>
    <row r="1944" ht="15.75" customHeight="1">
      <c r="A1944" s="226"/>
      <c r="B1944" s="359"/>
      <c r="C1944" s="359"/>
      <c r="D1944" s="359"/>
      <c r="E1944" s="359"/>
      <c r="F1944" s="360"/>
      <c r="G1944" s="360"/>
      <c r="H1944" s="359"/>
      <c r="I1944" s="359"/>
      <c r="J1944" s="359"/>
      <c r="K1944" s="359"/>
      <c r="L1944" s="361"/>
      <c r="M1944" s="359"/>
      <c r="N1944" s="359"/>
      <c r="O1944" s="359"/>
      <c r="P1944" s="359"/>
      <c r="Q1944" s="359"/>
      <c r="R1944" s="359"/>
      <c r="S1944" s="359"/>
      <c r="T1944" s="359"/>
      <c r="U1944" s="359"/>
    </row>
    <row r="1945" ht="15.75" customHeight="1">
      <c r="A1945" s="226"/>
      <c r="B1945" s="359"/>
      <c r="C1945" s="359"/>
      <c r="D1945" s="359"/>
      <c r="E1945" s="359"/>
      <c r="F1945" s="360"/>
      <c r="G1945" s="360"/>
      <c r="H1945" s="359"/>
      <c r="I1945" s="359"/>
      <c r="J1945" s="359"/>
      <c r="K1945" s="359"/>
      <c r="L1945" s="361"/>
      <c r="M1945" s="359"/>
      <c r="N1945" s="359"/>
      <c r="O1945" s="359"/>
      <c r="P1945" s="359"/>
      <c r="Q1945" s="359"/>
      <c r="R1945" s="359"/>
      <c r="S1945" s="359"/>
      <c r="T1945" s="359"/>
      <c r="U1945" s="359"/>
    </row>
    <row r="1946" ht="15.75" customHeight="1">
      <c r="A1946" s="226"/>
      <c r="B1946" s="359"/>
      <c r="C1946" s="359"/>
      <c r="D1946" s="359"/>
      <c r="E1946" s="359"/>
      <c r="F1946" s="360"/>
      <c r="G1946" s="360"/>
      <c r="H1946" s="359"/>
      <c r="I1946" s="359"/>
      <c r="J1946" s="359"/>
      <c r="K1946" s="359"/>
      <c r="L1946" s="361"/>
      <c r="M1946" s="359"/>
      <c r="N1946" s="359"/>
      <c r="O1946" s="359"/>
      <c r="P1946" s="359"/>
      <c r="Q1946" s="359"/>
      <c r="R1946" s="359"/>
      <c r="S1946" s="359"/>
      <c r="T1946" s="359"/>
      <c r="U1946" s="359"/>
    </row>
    <row r="1947" ht="15.75" customHeight="1">
      <c r="A1947" s="226"/>
      <c r="B1947" s="359"/>
      <c r="C1947" s="359"/>
      <c r="D1947" s="359"/>
      <c r="E1947" s="359"/>
      <c r="F1947" s="360"/>
      <c r="G1947" s="360"/>
      <c r="H1947" s="359"/>
      <c r="I1947" s="359"/>
      <c r="J1947" s="359"/>
      <c r="K1947" s="359"/>
      <c r="L1947" s="361"/>
      <c r="M1947" s="359"/>
      <c r="N1947" s="359"/>
      <c r="O1947" s="359"/>
      <c r="P1947" s="359"/>
      <c r="Q1947" s="359"/>
      <c r="R1947" s="359"/>
      <c r="S1947" s="359"/>
      <c r="T1947" s="359"/>
      <c r="U1947" s="359"/>
    </row>
    <row r="1948" ht="15.75" customHeight="1">
      <c r="A1948" s="226"/>
      <c r="B1948" s="359"/>
      <c r="C1948" s="359"/>
      <c r="D1948" s="359"/>
      <c r="E1948" s="359"/>
      <c r="F1948" s="360"/>
      <c r="G1948" s="360"/>
      <c r="H1948" s="359"/>
      <c r="I1948" s="359"/>
      <c r="J1948" s="359"/>
      <c r="K1948" s="359"/>
      <c r="L1948" s="361"/>
      <c r="M1948" s="359"/>
      <c r="N1948" s="359"/>
      <c r="O1948" s="359"/>
      <c r="P1948" s="359"/>
      <c r="Q1948" s="359"/>
      <c r="R1948" s="359"/>
      <c r="S1948" s="359"/>
      <c r="T1948" s="359"/>
      <c r="U1948" s="359"/>
    </row>
    <row r="1949" ht="15.75" customHeight="1">
      <c r="A1949" s="226"/>
      <c r="B1949" s="359"/>
      <c r="C1949" s="359"/>
      <c r="D1949" s="359"/>
      <c r="E1949" s="359"/>
      <c r="F1949" s="360"/>
      <c r="G1949" s="360"/>
      <c r="H1949" s="359"/>
      <c r="I1949" s="359"/>
      <c r="J1949" s="359"/>
      <c r="K1949" s="359"/>
      <c r="L1949" s="361"/>
      <c r="M1949" s="359"/>
      <c r="N1949" s="359"/>
      <c r="O1949" s="359"/>
      <c r="P1949" s="359"/>
      <c r="Q1949" s="359"/>
      <c r="R1949" s="359"/>
      <c r="S1949" s="359"/>
      <c r="T1949" s="359"/>
      <c r="U1949" s="359"/>
    </row>
    <row r="1950" ht="15.75" customHeight="1">
      <c r="A1950" s="226"/>
      <c r="B1950" s="359"/>
      <c r="C1950" s="359"/>
      <c r="D1950" s="359"/>
      <c r="E1950" s="359"/>
      <c r="F1950" s="360"/>
      <c r="G1950" s="360"/>
      <c r="H1950" s="359"/>
      <c r="I1950" s="359"/>
      <c r="J1950" s="359"/>
      <c r="K1950" s="359"/>
      <c r="L1950" s="361"/>
      <c r="M1950" s="359"/>
      <c r="N1950" s="359"/>
      <c r="O1950" s="359"/>
      <c r="P1950" s="359"/>
      <c r="Q1950" s="359"/>
      <c r="R1950" s="359"/>
      <c r="S1950" s="359"/>
      <c r="T1950" s="359"/>
      <c r="U1950" s="359"/>
    </row>
    <row r="1951" ht="15.75" customHeight="1">
      <c r="A1951" s="226"/>
      <c r="B1951" s="359"/>
      <c r="C1951" s="359"/>
      <c r="D1951" s="359"/>
      <c r="E1951" s="359"/>
      <c r="F1951" s="360"/>
      <c r="G1951" s="360"/>
      <c r="H1951" s="359"/>
      <c r="I1951" s="359"/>
      <c r="J1951" s="359"/>
      <c r="K1951" s="359"/>
      <c r="L1951" s="361"/>
      <c r="M1951" s="359"/>
      <c r="N1951" s="359"/>
      <c r="O1951" s="359"/>
      <c r="P1951" s="359"/>
      <c r="Q1951" s="359"/>
      <c r="R1951" s="359"/>
      <c r="S1951" s="359"/>
      <c r="T1951" s="359"/>
      <c r="U1951" s="359"/>
    </row>
    <row r="1952" ht="15.75" customHeight="1">
      <c r="A1952" s="226"/>
      <c r="B1952" s="359"/>
      <c r="C1952" s="359"/>
      <c r="D1952" s="359"/>
      <c r="E1952" s="359"/>
      <c r="F1952" s="360"/>
      <c r="G1952" s="360"/>
      <c r="H1952" s="359"/>
      <c r="I1952" s="359"/>
      <c r="J1952" s="359"/>
      <c r="K1952" s="359"/>
      <c r="L1952" s="361"/>
      <c r="M1952" s="359"/>
      <c r="N1952" s="359"/>
      <c r="O1952" s="359"/>
      <c r="P1952" s="359"/>
      <c r="Q1952" s="359"/>
      <c r="R1952" s="359"/>
      <c r="S1952" s="359"/>
      <c r="T1952" s="359"/>
      <c r="U1952" s="359"/>
    </row>
    <row r="1953" ht="15.75" customHeight="1">
      <c r="A1953" s="226"/>
      <c r="B1953" s="359"/>
      <c r="C1953" s="359"/>
      <c r="D1953" s="359"/>
      <c r="E1953" s="359"/>
      <c r="F1953" s="360"/>
      <c r="G1953" s="360"/>
      <c r="H1953" s="359"/>
      <c r="I1953" s="359"/>
      <c r="J1953" s="359"/>
      <c r="K1953" s="359"/>
      <c r="L1953" s="361"/>
      <c r="M1953" s="359"/>
      <c r="N1953" s="359"/>
      <c r="O1953" s="359"/>
      <c r="P1953" s="359"/>
      <c r="Q1953" s="359"/>
      <c r="R1953" s="359"/>
      <c r="S1953" s="359"/>
      <c r="T1953" s="359"/>
      <c r="U1953" s="359"/>
    </row>
    <row r="1954" ht="15.75" customHeight="1">
      <c r="A1954" s="226"/>
      <c r="B1954" s="359"/>
      <c r="C1954" s="359"/>
      <c r="D1954" s="359"/>
      <c r="E1954" s="359"/>
      <c r="F1954" s="360"/>
      <c r="G1954" s="360"/>
      <c r="H1954" s="359"/>
      <c r="I1954" s="359"/>
      <c r="J1954" s="359"/>
      <c r="K1954" s="359"/>
      <c r="L1954" s="361"/>
      <c r="M1954" s="359"/>
      <c r="N1954" s="359"/>
      <c r="O1954" s="359"/>
      <c r="P1954" s="359"/>
      <c r="Q1954" s="359"/>
      <c r="R1954" s="359"/>
      <c r="S1954" s="359"/>
      <c r="T1954" s="359"/>
      <c r="U1954" s="359"/>
    </row>
    <row r="1955" ht="15.75" customHeight="1">
      <c r="A1955" s="226"/>
      <c r="B1955" s="359"/>
      <c r="C1955" s="359"/>
      <c r="D1955" s="359"/>
      <c r="E1955" s="359"/>
      <c r="F1955" s="360"/>
      <c r="G1955" s="360"/>
      <c r="H1955" s="359"/>
      <c r="I1955" s="359"/>
      <c r="J1955" s="359"/>
      <c r="K1955" s="359"/>
      <c r="L1955" s="361"/>
      <c r="M1955" s="359"/>
      <c r="N1955" s="359"/>
      <c r="O1955" s="359"/>
      <c r="P1955" s="359"/>
      <c r="Q1955" s="359"/>
      <c r="R1955" s="359"/>
      <c r="S1955" s="359"/>
      <c r="T1955" s="359"/>
      <c r="U1955" s="359"/>
    </row>
    <row r="1956" ht="15.75" customHeight="1">
      <c r="A1956" s="226"/>
      <c r="B1956" s="359"/>
      <c r="C1956" s="359"/>
      <c r="D1956" s="359"/>
      <c r="E1956" s="359"/>
      <c r="F1956" s="360"/>
      <c r="G1956" s="360"/>
      <c r="H1956" s="359"/>
      <c r="I1956" s="359"/>
      <c r="J1956" s="359"/>
      <c r="K1956" s="359"/>
      <c r="L1956" s="361"/>
      <c r="M1956" s="359"/>
      <c r="N1956" s="359"/>
      <c r="O1956" s="359"/>
      <c r="P1956" s="359"/>
      <c r="Q1956" s="359"/>
      <c r="R1956" s="359"/>
      <c r="S1956" s="359"/>
      <c r="T1956" s="359"/>
      <c r="U1956" s="359"/>
    </row>
    <row r="1957" ht="15.75" customHeight="1">
      <c r="A1957" s="226"/>
      <c r="B1957" s="359"/>
      <c r="C1957" s="359"/>
      <c r="D1957" s="359"/>
      <c r="E1957" s="359"/>
      <c r="F1957" s="360"/>
      <c r="G1957" s="360"/>
      <c r="H1957" s="359"/>
      <c r="I1957" s="359"/>
      <c r="J1957" s="359"/>
      <c r="K1957" s="359"/>
      <c r="L1957" s="361"/>
      <c r="M1957" s="359"/>
      <c r="N1957" s="359"/>
      <c r="O1957" s="359"/>
      <c r="P1957" s="359"/>
      <c r="Q1957" s="359"/>
      <c r="R1957" s="359"/>
      <c r="S1957" s="359"/>
      <c r="T1957" s="359"/>
      <c r="U1957" s="359"/>
    </row>
    <row r="1958" ht="15.75" customHeight="1">
      <c r="A1958" s="226"/>
      <c r="B1958" s="359"/>
      <c r="C1958" s="359"/>
      <c r="D1958" s="359"/>
      <c r="E1958" s="359"/>
      <c r="F1958" s="360"/>
      <c r="G1958" s="360"/>
      <c r="H1958" s="359"/>
      <c r="I1958" s="359"/>
      <c r="J1958" s="359"/>
      <c r="K1958" s="359"/>
      <c r="L1958" s="361"/>
      <c r="M1958" s="359"/>
      <c r="N1958" s="359"/>
      <c r="O1958" s="359"/>
      <c r="P1958" s="359"/>
      <c r="Q1958" s="359"/>
      <c r="R1958" s="359"/>
      <c r="S1958" s="359"/>
      <c r="T1958" s="359"/>
      <c r="U1958" s="359"/>
    </row>
    <row r="1959" ht="15.75" customHeight="1">
      <c r="A1959" s="226"/>
      <c r="B1959" s="359"/>
      <c r="C1959" s="359"/>
      <c r="D1959" s="359"/>
      <c r="E1959" s="359"/>
      <c r="F1959" s="360"/>
      <c r="G1959" s="360"/>
      <c r="H1959" s="359"/>
      <c r="I1959" s="359"/>
      <c r="J1959" s="359"/>
      <c r="K1959" s="359"/>
      <c r="L1959" s="361"/>
      <c r="M1959" s="359"/>
      <c r="N1959" s="359"/>
      <c r="O1959" s="359"/>
      <c r="P1959" s="359"/>
      <c r="Q1959" s="359"/>
      <c r="R1959" s="359"/>
      <c r="S1959" s="359"/>
      <c r="T1959" s="359"/>
      <c r="U1959" s="359"/>
    </row>
    <row r="1960" ht="15.75" customHeight="1">
      <c r="A1960" s="226"/>
      <c r="B1960" s="359"/>
      <c r="C1960" s="359"/>
      <c r="D1960" s="359"/>
      <c r="E1960" s="359"/>
      <c r="F1960" s="360"/>
      <c r="G1960" s="360"/>
      <c r="H1960" s="359"/>
      <c r="I1960" s="359"/>
      <c r="J1960" s="359"/>
      <c r="K1960" s="359"/>
      <c r="L1960" s="361"/>
      <c r="M1960" s="359"/>
      <c r="N1960" s="359"/>
      <c r="O1960" s="359"/>
      <c r="P1960" s="359"/>
      <c r="Q1960" s="359"/>
      <c r="R1960" s="359"/>
      <c r="S1960" s="359"/>
      <c r="T1960" s="359"/>
      <c r="U1960" s="359"/>
    </row>
    <row r="1961" ht="15.75" customHeight="1">
      <c r="A1961" s="226"/>
      <c r="B1961" s="359"/>
      <c r="C1961" s="359"/>
      <c r="D1961" s="359"/>
      <c r="E1961" s="359"/>
      <c r="F1961" s="360"/>
      <c r="G1961" s="360"/>
      <c r="H1961" s="359"/>
      <c r="I1961" s="359"/>
      <c r="J1961" s="359"/>
      <c r="K1961" s="359"/>
      <c r="L1961" s="361"/>
      <c r="M1961" s="359"/>
      <c r="N1961" s="359"/>
      <c r="O1961" s="359"/>
      <c r="P1961" s="359"/>
      <c r="Q1961" s="359"/>
      <c r="R1961" s="359"/>
      <c r="S1961" s="359"/>
      <c r="T1961" s="359"/>
      <c r="U1961" s="359"/>
    </row>
    <row r="1962" ht="15.75" customHeight="1">
      <c r="A1962" s="226"/>
      <c r="B1962" s="359"/>
      <c r="C1962" s="359"/>
      <c r="D1962" s="359"/>
      <c r="E1962" s="359"/>
      <c r="F1962" s="360"/>
      <c r="G1962" s="360"/>
      <c r="H1962" s="359"/>
      <c r="I1962" s="359"/>
      <c r="J1962" s="359"/>
      <c r="K1962" s="359"/>
      <c r="L1962" s="361"/>
      <c r="M1962" s="359"/>
      <c r="N1962" s="359"/>
      <c r="O1962" s="359"/>
      <c r="P1962" s="359"/>
      <c r="Q1962" s="359"/>
      <c r="R1962" s="359"/>
      <c r="S1962" s="359"/>
      <c r="T1962" s="359"/>
      <c r="U1962" s="359"/>
    </row>
    <row r="1963" ht="15.75" customHeight="1">
      <c r="A1963" s="226"/>
      <c r="B1963" s="359"/>
      <c r="C1963" s="359"/>
      <c r="D1963" s="359"/>
      <c r="E1963" s="359"/>
      <c r="F1963" s="360"/>
      <c r="G1963" s="360"/>
      <c r="H1963" s="359"/>
      <c r="I1963" s="359"/>
      <c r="J1963" s="359"/>
      <c r="K1963" s="359"/>
      <c r="L1963" s="361"/>
      <c r="M1963" s="359"/>
      <c r="N1963" s="359"/>
      <c r="O1963" s="359"/>
      <c r="P1963" s="359"/>
      <c r="Q1963" s="359"/>
      <c r="R1963" s="359"/>
      <c r="S1963" s="359"/>
      <c r="T1963" s="359"/>
      <c r="U1963" s="359"/>
    </row>
    <row r="1964" ht="15.75" customHeight="1">
      <c r="A1964" s="226"/>
      <c r="B1964" s="359"/>
      <c r="C1964" s="359"/>
      <c r="D1964" s="359"/>
      <c r="E1964" s="359"/>
      <c r="F1964" s="360"/>
      <c r="G1964" s="360"/>
      <c r="H1964" s="359"/>
      <c r="I1964" s="359"/>
      <c r="J1964" s="359"/>
      <c r="K1964" s="359"/>
      <c r="L1964" s="361"/>
      <c r="M1964" s="359"/>
      <c r="N1964" s="359"/>
      <c r="O1964" s="359"/>
      <c r="P1964" s="359"/>
      <c r="Q1964" s="359"/>
      <c r="R1964" s="359"/>
      <c r="S1964" s="359"/>
      <c r="T1964" s="359"/>
      <c r="U1964" s="359"/>
    </row>
    <row r="1965" ht="15.75" customHeight="1">
      <c r="A1965" s="226"/>
      <c r="B1965" s="359"/>
      <c r="C1965" s="359"/>
      <c r="D1965" s="359"/>
      <c r="E1965" s="359"/>
      <c r="F1965" s="360"/>
      <c r="G1965" s="360"/>
      <c r="H1965" s="359"/>
      <c r="I1965" s="359"/>
      <c r="J1965" s="359"/>
      <c r="K1965" s="359"/>
      <c r="L1965" s="361"/>
      <c r="M1965" s="359"/>
      <c r="N1965" s="359"/>
      <c r="O1965" s="359"/>
      <c r="P1965" s="359"/>
      <c r="Q1965" s="359"/>
      <c r="R1965" s="359"/>
      <c r="S1965" s="359"/>
      <c r="T1965" s="359"/>
      <c r="U1965" s="359"/>
    </row>
    <row r="1966" ht="15.75" customHeight="1">
      <c r="A1966" s="226"/>
      <c r="B1966" s="359"/>
      <c r="C1966" s="359"/>
      <c r="D1966" s="359"/>
      <c r="E1966" s="359"/>
      <c r="F1966" s="360"/>
      <c r="G1966" s="360"/>
      <c r="H1966" s="359"/>
      <c r="I1966" s="359"/>
      <c r="J1966" s="359"/>
      <c r="K1966" s="359"/>
      <c r="L1966" s="361"/>
      <c r="M1966" s="359"/>
      <c r="N1966" s="359"/>
      <c r="O1966" s="359"/>
      <c r="P1966" s="359"/>
      <c r="Q1966" s="359"/>
      <c r="R1966" s="359"/>
      <c r="S1966" s="359"/>
      <c r="T1966" s="359"/>
      <c r="U1966" s="359"/>
    </row>
    <row r="1967" ht="15.75" customHeight="1">
      <c r="A1967" s="226"/>
      <c r="B1967" s="359"/>
      <c r="C1967" s="359"/>
      <c r="D1967" s="359"/>
      <c r="E1967" s="359"/>
      <c r="F1967" s="360"/>
      <c r="G1967" s="360"/>
      <c r="H1967" s="359"/>
      <c r="I1967" s="359"/>
      <c r="J1967" s="359"/>
      <c r="K1967" s="359"/>
      <c r="L1967" s="361"/>
      <c r="M1967" s="359"/>
      <c r="N1967" s="359"/>
      <c r="O1967" s="359"/>
      <c r="P1967" s="359"/>
      <c r="Q1967" s="359"/>
      <c r="R1967" s="359"/>
      <c r="S1967" s="359"/>
      <c r="T1967" s="359"/>
      <c r="U1967" s="359"/>
    </row>
    <row r="1968" ht="15.75" customHeight="1">
      <c r="A1968" s="226"/>
      <c r="B1968" s="359"/>
      <c r="C1968" s="359"/>
      <c r="D1968" s="359"/>
      <c r="E1968" s="359"/>
      <c r="F1968" s="360"/>
      <c r="G1968" s="360"/>
      <c r="H1968" s="359"/>
      <c r="I1968" s="359"/>
      <c r="J1968" s="359"/>
      <c r="K1968" s="359"/>
      <c r="L1968" s="361"/>
      <c r="M1968" s="359"/>
      <c r="N1968" s="359"/>
      <c r="O1968" s="359"/>
      <c r="P1968" s="359"/>
      <c r="Q1968" s="359"/>
      <c r="R1968" s="359"/>
      <c r="S1968" s="359"/>
      <c r="T1968" s="359"/>
      <c r="U1968" s="359"/>
    </row>
    <row r="1969" ht="15.75" customHeight="1">
      <c r="A1969" s="226"/>
      <c r="B1969" s="359"/>
      <c r="C1969" s="359"/>
      <c r="D1969" s="359"/>
      <c r="E1969" s="359"/>
      <c r="F1969" s="360"/>
      <c r="G1969" s="360"/>
      <c r="H1969" s="359"/>
      <c r="I1969" s="359"/>
      <c r="J1969" s="359"/>
      <c r="K1969" s="359"/>
      <c r="L1969" s="361"/>
      <c r="M1969" s="359"/>
      <c r="N1969" s="359"/>
      <c r="O1969" s="359"/>
      <c r="P1969" s="359"/>
      <c r="Q1969" s="359"/>
      <c r="R1969" s="359"/>
      <c r="S1969" s="359"/>
      <c r="T1969" s="359"/>
      <c r="U1969" s="359"/>
    </row>
    <row r="1970" ht="15.75" customHeight="1">
      <c r="A1970" s="226"/>
      <c r="B1970" s="359"/>
      <c r="C1970" s="359"/>
      <c r="D1970" s="359"/>
      <c r="E1970" s="359"/>
      <c r="F1970" s="360"/>
      <c r="G1970" s="360"/>
      <c r="H1970" s="359"/>
      <c r="I1970" s="359"/>
      <c r="J1970" s="359"/>
      <c r="K1970" s="359"/>
      <c r="L1970" s="361"/>
      <c r="M1970" s="359"/>
      <c r="N1970" s="359"/>
      <c r="O1970" s="359"/>
      <c r="P1970" s="359"/>
      <c r="Q1970" s="359"/>
      <c r="R1970" s="359"/>
      <c r="S1970" s="359"/>
      <c r="T1970" s="359"/>
      <c r="U1970" s="359"/>
    </row>
    <row r="1971" ht="15.75" customHeight="1">
      <c r="A1971" s="226"/>
      <c r="B1971" s="359"/>
      <c r="C1971" s="359"/>
      <c r="D1971" s="359"/>
      <c r="E1971" s="359"/>
      <c r="F1971" s="360"/>
      <c r="G1971" s="360"/>
      <c r="H1971" s="359"/>
      <c r="I1971" s="359"/>
      <c r="J1971" s="359"/>
      <c r="K1971" s="359"/>
      <c r="L1971" s="361"/>
      <c r="M1971" s="359"/>
      <c r="N1971" s="359"/>
      <c r="O1971" s="359"/>
      <c r="P1971" s="359"/>
      <c r="Q1971" s="359"/>
      <c r="R1971" s="359"/>
      <c r="S1971" s="359"/>
      <c r="T1971" s="359"/>
      <c r="U1971" s="359"/>
    </row>
    <row r="1972" ht="15.75" customHeight="1">
      <c r="A1972" s="226"/>
      <c r="B1972" s="359"/>
      <c r="C1972" s="359"/>
      <c r="D1972" s="359"/>
      <c r="E1972" s="359"/>
      <c r="F1972" s="360"/>
      <c r="G1972" s="360"/>
      <c r="H1972" s="359"/>
      <c r="I1972" s="359"/>
      <c r="J1972" s="359"/>
      <c r="K1972" s="359"/>
      <c r="L1972" s="361"/>
      <c r="M1972" s="359"/>
      <c r="N1972" s="359"/>
      <c r="O1972" s="359"/>
      <c r="P1972" s="359"/>
      <c r="Q1972" s="359"/>
      <c r="R1972" s="359"/>
      <c r="S1972" s="359"/>
      <c r="T1972" s="359"/>
      <c r="U1972" s="359"/>
    </row>
    <row r="1973" ht="15.75" customHeight="1">
      <c r="A1973" s="226"/>
      <c r="B1973" s="359"/>
      <c r="C1973" s="359"/>
      <c r="D1973" s="359"/>
      <c r="E1973" s="359"/>
      <c r="F1973" s="360"/>
      <c r="G1973" s="360"/>
      <c r="H1973" s="359"/>
      <c r="I1973" s="359"/>
      <c r="J1973" s="359"/>
      <c r="K1973" s="359"/>
      <c r="L1973" s="361"/>
      <c r="M1973" s="359"/>
      <c r="N1973" s="359"/>
      <c r="O1973" s="359"/>
      <c r="P1973" s="359"/>
      <c r="Q1973" s="359"/>
      <c r="R1973" s="359"/>
      <c r="S1973" s="359"/>
      <c r="T1973" s="359"/>
      <c r="U1973" s="359"/>
    </row>
    <row r="1974" ht="15.75" customHeight="1">
      <c r="A1974" s="226"/>
      <c r="B1974" s="359"/>
      <c r="C1974" s="359"/>
      <c r="D1974" s="359"/>
      <c r="E1974" s="359"/>
      <c r="F1974" s="360"/>
      <c r="G1974" s="360"/>
      <c r="H1974" s="359"/>
      <c r="I1974" s="359"/>
      <c r="J1974" s="359"/>
      <c r="K1974" s="359"/>
      <c r="L1974" s="361"/>
      <c r="M1974" s="359"/>
      <c r="N1974" s="359"/>
      <c r="O1974" s="359"/>
      <c r="P1974" s="359"/>
      <c r="Q1974" s="359"/>
      <c r="R1974" s="359"/>
      <c r="S1974" s="359"/>
      <c r="T1974" s="359"/>
      <c r="U1974" s="359"/>
    </row>
    <row r="1975" ht="15.75" customHeight="1">
      <c r="A1975" s="226"/>
      <c r="B1975" s="359"/>
      <c r="C1975" s="359"/>
      <c r="D1975" s="359"/>
      <c r="E1975" s="359"/>
      <c r="F1975" s="360"/>
      <c r="G1975" s="360"/>
      <c r="H1975" s="359"/>
      <c r="I1975" s="359"/>
      <c r="J1975" s="359"/>
      <c r="K1975" s="359"/>
      <c r="L1975" s="361"/>
      <c r="M1975" s="359"/>
      <c r="N1975" s="359"/>
      <c r="O1975" s="359"/>
      <c r="P1975" s="359"/>
      <c r="Q1975" s="359"/>
      <c r="R1975" s="359"/>
      <c r="S1975" s="359"/>
      <c r="T1975" s="359"/>
      <c r="U1975" s="359"/>
    </row>
    <row r="1976" ht="15.75" customHeight="1">
      <c r="A1976" s="226"/>
      <c r="B1976" s="359"/>
      <c r="C1976" s="359"/>
      <c r="D1976" s="359"/>
      <c r="E1976" s="359"/>
      <c r="F1976" s="360"/>
      <c r="G1976" s="360"/>
      <c r="H1976" s="359"/>
      <c r="I1976" s="359"/>
      <c r="J1976" s="359"/>
      <c r="K1976" s="359"/>
      <c r="L1976" s="361"/>
      <c r="M1976" s="359"/>
      <c r="N1976" s="359"/>
      <c r="O1976" s="359"/>
      <c r="P1976" s="359"/>
      <c r="Q1976" s="359"/>
      <c r="R1976" s="359"/>
      <c r="S1976" s="359"/>
      <c r="T1976" s="359"/>
      <c r="U1976" s="359"/>
    </row>
    <row r="1977" ht="15.75" customHeight="1">
      <c r="A1977" s="226"/>
      <c r="B1977" s="359"/>
      <c r="C1977" s="359"/>
      <c r="D1977" s="359"/>
      <c r="E1977" s="359"/>
      <c r="F1977" s="360"/>
      <c r="G1977" s="360"/>
      <c r="H1977" s="359"/>
      <c r="I1977" s="359"/>
      <c r="J1977" s="359"/>
      <c r="K1977" s="359"/>
      <c r="L1977" s="361"/>
      <c r="M1977" s="359"/>
      <c r="N1977" s="359"/>
      <c r="O1977" s="359"/>
      <c r="P1977" s="359"/>
      <c r="Q1977" s="359"/>
      <c r="R1977" s="359"/>
      <c r="S1977" s="359"/>
      <c r="T1977" s="359"/>
      <c r="U1977" s="359"/>
    </row>
    <row r="1978" ht="15.75" customHeight="1">
      <c r="A1978" s="226"/>
      <c r="B1978" s="359"/>
      <c r="C1978" s="359"/>
      <c r="D1978" s="359"/>
      <c r="E1978" s="359"/>
      <c r="F1978" s="360"/>
      <c r="G1978" s="360"/>
      <c r="H1978" s="359"/>
      <c r="I1978" s="359"/>
      <c r="J1978" s="359"/>
      <c r="K1978" s="359"/>
      <c r="L1978" s="361"/>
      <c r="M1978" s="359"/>
      <c r="N1978" s="359"/>
      <c r="O1978" s="359"/>
      <c r="P1978" s="359"/>
      <c r="Q1978" s="359"/>
      <c r="R1978" s="359"/>
      <c r="S1978" s="359"/>
      <c r="T1978" s="359"/>
      <c r="U1978" s="359"/>
    </row>
    <row r="1979" ht="15.75" customHeight="1">
      <c r="A1979" s="226"/>
      <c r="B1979" s="359"/>
      <c r="C1979" s="359"/>
      <c r="D1979" s="359"/>
      <c r="E1979" s="359"/>
      <c r="F1979" s="360"/>
      <c r="G1979" s="360"/>
      <c r="H1979" s="359"/>
      <c r="I1979" s="359"/>
      <c r="J1979" s="359"/>
      <c r="K1979" s="359"/>
      <c r="L1979" s="361"/>
      <c r="M1979" s="359"/>
      <c r="N1979" s="359"/>
      <c r="O1979" s="359"/>
      <c r="P1979" s="359"/>
      <c r="Q1979" s="359"/>
      <c r="R1979" s="359"/>
      <c r="S1979" s="359"/>
      <c r="T1979" s="359"/>
      <c r="U1979" s="359"/>
    </row>
    <row r="1980" ht="15.75" customHeight="1">
      <c r="A1980" s="226"/>
      <c r="B1980" s="359"/>
      <c r="C1980" s="359"/>
      <c r="D1980" s="359"/>
      <c r="E1980" s="359"/>
      <c r="F1980" s="360"/>
      <c r="G1980" s="360"/>
      <c r="H1980" s="359"/>
      <c r="I1980" s="359"/>
      <c r="J1980" s="359"/>
      <c r="K1980" s="359"/>
      <c r="L1980" s="361"/>
      <c r="M1980" s="359"/>
      <c r="N1980" s="359"/>
      <c r="O1980" s="359"/>
      <c r="P1980" s="359"/>
      <c r="Q1980" s="359"/>
      <c r="R1980" s="359"/>
      <c r="S1980" s="359"/>
      <c r="T1980" s="359"/>
      <c r="U1980" s="359"/>
    </row>
    <row r="1981" ht="15.75" customHeight="1">
      <c r="A1981" s="226"/>
      <c r="B1981" s="359"/>
      <c r="C1981" s="359"/>
      <c r="D1981" s="359"/>
      <c r="E1981" s="359"/>
      <c r="F1981" s="360"/>
      <c r="G1981" s="360"/>
      <c r="H1981" s="359"/>
      <c r="I1981" s="359"/>
      <c r="J1981" s="359"/>
      <c r="K1981" s="359"/>
      <c r="L1981" s="361"/>
      <c r="M1981" s="359"/>
      <c r="N1981" s="359"/>
      <c r="O1981" s="359"/>
      <c r="P1981" s="359"/>
      <c r="Q1981" s="359"/>
      <c r="R1981" s="359"/>
      <c r="S1981" s="359"/>
      <c r="T1981" s="359"/>
      <c r="U1981" s="359"/>
    </row>
    <row r="1982" ht="15.75" customHeight="1">
      <c r="A1982" s="226"/>
      <c r="B1982" s="359"/>
      <c r="C1982" s="359"/>
      <c r="D1982" s="359"/>
      <c r="E1982" s="359"/>
      <c r="F1982" s="360"/>
      <c r="G1982" s="360"/>
      <c r="H1982" s="359"/>
      <c r="I1982" s="359"/>
      <c r="J1982" s="359"/>
      <c r="K1982" s="359"/>
      <c r="L1982" s="361"/>
      <c r="M1982" s="359"/>
      <c r="N1982" s="359"/>
      <c r="O1982" s="359"/>
      <c r="P1982" s="359"/>
      <c r="Q1982" s="359"/>
      <c r="R1982" s="359"/>
      <c r="S1982" s="359"/>
      <c r="T1982" s="359"/>
      <c r="U1982" s="359"/>
    </row>
    <row r="1983" ht="15.75" customHeight="1">
      <c r="A1983" s="226"/>
      <c r="B1983" s="359"/>
      <c r="C1983" s="359"/>
      <c r="D1983" s="359"/>
      <c r="E1983" s="359"/>
      <c r="F1983" s="360"/>
      <c r="G1983" s="360"/>
      <c r="H1983" s="359"/>
      <c r="I1983" s="359"/>
      <c r="J1983" s="359"/>
      <c r="K1983" s="359"/>
      <c r="L1983" s="361"/>
      <c r="M1983" s="359"/>
      <c r="N1983" s="359"/>
      <c r="O1983" s="359"/>
      <c r="P1983" s="359"/>
      <c r="Q1983" s="359"/>
      <c r="R1983" s="359"/>
      <c r="S1983" s="359"/>
      <c r="T1983" s="359"/>
      <c r="U1983" s="359"/>
    </row>
    <row r="1984" ht="15.75" customHeight="1">
      <c r="A1984" s="226"/>
      <c r="B1984" s="359"/>
      <c r="C1984" s="359"/>
      <c r="D1984" s="359"/>
      <c r="E1984" s="359"/>
      <c r="F1984" s="360"/>
      <c r="G1984" s="360"/>
      <c r="H1984" s="359"/>
      <c r="I1984" s="359"/>
      <c r="J1984" s="359"/>
      <c r="K1984" s="359"/>
      <c r="L1984" s="361"/>
      <c r="M1984" s="359"/>
      <c r="N1984" s="359"/>
      <c r="O1984" s="359"/>
      <c r="P1984" s="359"/>
      <c r="Q1984" s="359"/>
      <c r="R1984" s="359"/>
      <c r="S1984" s="359"/>
      <c r="T1984" s="359"/>
      <c r="U1984" s="359"/>
    </row>
    <row r="1985" ht="15.75" customHeight="1">
      <c r="A1985" s="226"/>
      <c r="B1985" s="359"/>
      <c r="C1985" s="359"/>
      <c r="D1985" s="359"/>
      <c r="E1985" s="359"/>
      <c r="F1985" s="360"/>
      <c r="G1985" s="360"/>
      <c r="H1985" s="359"/>
      <c r="I1985" s="359"/>
      <c r="J1985" s="359"/>
      <c r="K1985" s="359"/>
      <c r="L1985" s="361"/>
      <c r="M1985" s="359"/>
      <c r="N1985" s="359"/>
      <c r="O1985" s="359"/>
      <c r="P1985" s="359"/>
      <c r="Q1985" s="359"/>
      <c r="R1985" s="359"/>
      <c r="S1985" s="359"/>
      <c r="T1985" s="359"/>
      <c r="U1985" s="359"/>
    </row>
    <row r="1986" ht="15.75" customHeight="1">
      <c r="A1986" s="226"/>
      <c r="B1986" s="359"/>
      <c r="C1986" s="359"/>
      <c r="D1986" s="359"/>
      <c r="E1986" s="359"/>
      <c r="F1986" s="360"/>
      <c r="G1986" s="360"/>
      <c r="H1986" s="359"/>
      <c r="I1986" s="359"/>
      <c r="J1986" s="359"/>
      <c r="K1986" s="359"/>
      <c r="L1986" s="361"/>
      <c r="M1986" s="359"/>
      <c r="N1986" s="359"/>
      <c r="O1986" s="359"/>
      <c r="P1986" s="359"/>
      <c r="Q1986" s="359"/>
      <c r="R1986" s="359"/>
      <c r="S1986" s="359"/>
      <c r="T1986" s="359"/>
      <c r="U1986" s="359"/>
    </row>
    <row r="1987" ht="15.75" customHeight="1">
      <c r="A1987" s="226"/>
      <c r="B1987" s="359"/>
      <c r="C1987" s="359"/>
      <c r="D1987" s="359"/>
      <c r="E1987" s="359"/>
      <c r="F1987" s="360"/>
      <c r="G1987" s="360"/>
      <c r="H1987" s="359"/>
      <c r="I1987" s="359"/>
      <c r="J1987" s="359"/>
      <c r="K1987" s="359"/>
      <c r="L1987" s="361"/>
      <c r="M1987" s="359"/>
      <c r="N1987" s="359"/>
      <c r="O1987" s="359"/>
      <c r="P1987" s="359"/>
      <c r="Q1987" s="359"/>
      <c r="R1987" s="359"/>
      <c r="S1987" s="359"/>
      <c r="T1987" s="359"/>
      <c r="U1987" s="359"/>
    </row>
    <row r="1988" ht="15.75" customHeight="1">
      <c r="A1988" s="226"/>
      <c r="B1988" s="359"/>
      <c r="C1988" s="359"/>
      <c r="D1988" s="359"/>
      <c r="E1988" s="359"/>
      <c r="F1988" s="360"/>
      <c r="G1988" s="360"/>
      <c r="H1988" s="359"/>
      <c r="I1988" s="359"/>
      <c r="J1988" s="359"/>
      <c r="K1988" s="359"/>
      <c r="L1988" s="361"/>
      <c r="M1988" s="359"/>
      <c r="N1988" s="359"/>
      <c r="O1988" s="359"/>
      <c r="P1988" s="359"/>
      <c r="Q1988" s="359"/>
      <c r="R1988" s="359"/>
      <c r="S1988" s="359"/>
      <c r="T1988" s="359"/>
      <c r="U1988" s="359"/>
    </row>
    <row r="1989" ht="15.75" customHeight="1">
      <c r="A1989" s="226"/>
      <c r="B1989" s="359"/>
      <c r="C1989" s="359"/>
      <c r="D1989" s="359"/>
      <c r="E1989" s="359"/>
      <c r="F1989" s="360"/>
      <c r="G1989" s="360"/>
      <c r="H1989" s="359"/>
      <c r="I1989" s="359"/>
      <c r="J1989" s="359"/>
      <c r="K1989" s="359"/>
      <c r="L1989" s="361"/>
      <c r="M1989" s="359"/>
      <c r="N1989" s="359"/>
      <c r="O1989" s="359"/>
      <c r="P1989" s="359"/>
      <c r="Q1989" s="359"/>
      <c r="R1989" s="359"/>
      <c r="S1989" s="359"/>
      <c r="T1989" s="359"/>
      <c r="U1989" s="359"/>
    </row>
    <row r="1990" ht="15.75" customHeight="1">
      <c r="A1990" s="226"/>
      <c r="B1990" s="359"/>
      <c r="C1990" s="359"/>
      <c r="D1990" s="359"/>
      <c r="E1990" s="359"/>
      <c r="F1990" s="360"/>
      <c r="G1990" s="360"/>
      <c r="H1990" s="359"/>
      <c r="I1990" s="359"/>
      <c r="J1990" s="359"/>
      <c r="K1990" s="359"/>
      <c r="L1990" s="361"/>
      <c r="M1990" s="359"/>
      <c r="N1990" s="359"/>
      <c r="O1990" s="359"/>
      <c r="P1990" s="359"/>
      <c r="Q1990" s="359"/>
      <c r="R1990" s="359"/>
      <c r="S1990" s="359"/>
      <c r="T1990" s="359"/>
      <c r="U1990" s="359"/>
    </row>
    <row r="1991" ht="15.75" customHeight="1">
      <c r="A1991" s="226"/>
      <c r="B1991" s="359"/>
      <c r="C1991" s="359"/>
      <c r="D1991" s="359"/>
      <c r="E1991" s="359"/>
      <c r="F1991" s="360"/>
      <c r="G1991" s="360"/>
      <c r="H1991" s="359"/>
      <c r="I1991" s="359"/>
      <c r="J1991" s="359"/>
      <c r="K1991" s="359"/>
      <c r="L1991" s="361"/>
      <c r="M1991" s="359"/>
      <c r="N1991" s="359"/>
      <c r="O1991" s="359"/>
      <c r="P1991" s="359"/>
      <c r="Q1991" s="359"/>
      <c r="R1991" s="359"/>
      <c r="S1991" s="359"/>
      <c r="T1991" s="359"/>
      <c r="U1991" s="359"/>
    </row>
    <row r="1992" ht="15.75" customHeight="1">
      <c r="A1992" s="226"/>
      <c r="B1992" s="359"/>
      <c r="C1992" s="359"/>
      <c r="D1992" s="359"/>
      <c r="E1992" s="359"/>
      <c r="F1992" s="360"/>
      <c r="G1992" s="360"/>
      <c r="H1992" s="359"/>
      <c r="I1992" s="359"/>
      <c r="J1992" s="359"/>
      <c r="K1992" s="359"/>
      <c r="L1992" s="361"/>
      <c r="M1992" s="359"/>
      <c r="N1992" s="359"/>
      <c r="O1992" s="359"/>
      <c r="P1992" s="359"/>
      <c r="Q1992" s="359"/>
      <c r="R1992" s="359"/>
      <c r="S1992" s="359"/>
      <c r="T1992" s="359"/>
      <c r="U1992" s="359"/>
    </row>
    <row r="1993" ht="15.75" customHeight="1">
      <c r="A1993" s="226"/>
      <c r="B1993" s="359"/>
      <c r="C1993" s="359"/>
      <c r="D1993" s="359"/>
      <c r="E1993" s="359"/>
      <c r="F1993" s="360"/>
      <c r="G1993" s="360"/>
      <c r="H1993" s="359"/>
      <c r="I1993" s="359"/>
      <c r="J1993" s="359"/>
      <c r="K1993" s="359"/>
      <c r="L1993" s="361"/>
      <c r="M1993" s="359"/>
      <c r="N1993" s="359"/>
      <c r="O1993" s="359"/>
      <c r="P1993" s="359"/>
      <c r="Q1993" s="359"/>
      <c r="R1993" s="359"/>
      <c r="S1993" s="359"/>
      <c r="T1993" s="359"/>
      <c r="U1993" s="359"/>
    </row>
    <row r="1994" ht="15.75" customHeight="1">
      <c r="A1994" s="226"/>
      <c r="B1994" s="359"/>
      <c r="C1994" s="359"/>
      <c r="D1994" s="359"/>
      <c r="E1994" s="359"/>
      <c r="F1994" s="360"/>
      <c r="G1994" s="360"/>
      <c r="H1994" s="359"/>
      <c r="I1994" s="359"/>
      <c r="J1994" s="359"/>
      <c r="K1994" s="359"/>
      <c r="L1994" s="361"/>
      <c r="M1994" s="359"/>
      <c r="N1994" s="359"/>
      <c r="O1994" s="359"/>
      <c r="P1994" s="359"/>
      <c r="Q1994" s="359"/>
      <c r="R1994" s="359"/>
      <c r="S1994" s="359"/>
      <c r="T1994" s="359"/>
      <c r="U1994" s="359"/>
    </row>
    <row r="1995" ht="15.75" customHeight="1">
      <c r="A1995" s="226"/>
      <c r="B1995" s="359"/>
      <c r="C1995" s="359"/>
      <c r="D1995" s="359"/>
      <c r="E1995" s="359"/>
      <c r="F1995" s="360"/>
      <c r="G1995" s="360"/>
      <c r="H1995" s="359"/>
      <c r="I1995" s="359"/>
      <c r="J1995" s="359"/>
      <c r="K1995" s="359"/>
      <c r="L1995" s="361"/>
      <c r="M1995" s="359"/>
      <c r="N1995" s="359"/>
      <c r="O1995" s="359"/>
      <c r="P1995" s="359"/>
      <c r="Q1995" s="359"/>
      <c r="R1995" s="359"/>
      <c r="S1995" s="359"/>
      <c r="T1995" s="359"/>
      <c r="U1995" s="359"/>
    </row>
    <row r="1996" ht="15.75" customHeight="1">
      <c r="A1996" s="226"/>
      <c r="B1996" s="359"/>
      <c r="C1996" s="359"/>
      <c r="D1996" s="359"/>
      <c r="E1996" s="359"/>
      <c r="F1996" s="360"/>
      <c r="G1996" s="360"/>
      <c r="H1996" s="359"/>
      <c r="I1996" s="359"/>
      <c r="J1996" s="359"/>
      <c r="K1996" s="359"/>
      <c r="L1996" s="361"/>
      <c r="M1996" s="359"/>
      <c r="N1996" s="359"/>
      <c r="O1996" s="359"/>
      <c r="P1996" s="359"/>
      <c r="Q1996" s="359"/>
      <c r="R1996" s="359"/>
      <c r="S1996" s="359"/>
      <c r="T1996" s="359"/>
      <c r="U1996" s="359"/>
    </row>
    <row r="1997" ht="15.75" customHeight="1">
      <c r="A1997" s="226"/>
      <c r="B1997" s="359"/>
      <c r="C1997" s="359"/>
      <c r="D1997" s="359"/>
      <c r="E1997" s="359"/>
      <c r="F1997" s="360"/>
      <c r="G1997" s="360"/>
      <c r="H1997" s="359"/>
      <c r="I1997" s="359"/>
      <c r="J1997" s="359"/>
      <c r="K1997" s="359"/>
      <c r="L1997" s="361"/>
      <c r="M1997" s="359"/>
      <c r="N1997" s="359"/>
      <c r="O1997" s="359"/>
      <c r="P1997" s="359"/>
      <c r="Q1997" s="359"/>
      <c r="R1997" s="359"/>
      <c r="S1997" s="359"/>
      <c r="T1997" s="359"/>
      <c r="U1997" s="359"/>
    </row>
    <row r="1998" ht="15.75" customHeight="1">
      <c r="A1998" s="226"/>
      <c r="B1998" s="359"/>
      <c r="C1998" s="359"/>
      <c r="D1998" s="359"/>
      <c r="E1998" s="359"/>
      <c r="F1998" s="360"/>
      <c r="G1998" s="360"/>
      <c r="H1998" s="359"/>
      <c r="I1998" s="359"/>
      <c r="J1998" s="359"/>
      <c r="K1998" s="359"/>
      <c r="L1998" s="361"/>
      <c r="M1998" s="359"/>
      <c r="N1998" s="359"/>
      <c r="O1998" s="359"/>
      <c r="P1998" s="359"/>
      <c r="Q1998" s="359"/>
      <c r="R1998" s="359"/>
      <c r="S1998" s="359"/>
      <c r="T1998" s="359"/>
      <c r="U1998" s="359"/>
    </row>
    <row r="1999" ht="15.75" customHeight="1">
      <c r="A1999" s="226"/>
      <c r="B1999" s="359"/>
      <c r="C1999" s="359"/>
      <c r="D1999" s="359"/>
      <c r="E1999" s="359"/>
      <c r="F1999" s="360"/>
      <c r="G1999" s="360"/>
      <c r="H1999" s="359"/>
      <c r="I1999" s="359"/>
      <c r="J1999" s="359"/>
      <c r="K1999" s="359"/>
      <c r="L1999" s="361"/>
      <c r="M1999" s="359"/>
      <c r="N1999" s="359"/>
      <c r="O1999" s="359"/>
      <c r="P1999" s="359"/>
      <c r="Q1999" s="359"/>
      <c r="R1999" s="359"/>
      <c r="S1999" s="359"/>
      <c r="T1999" s="359"/>
      <c r="U1999" s="359"/>
    </row>
    <row r="2000" ht="15.75" customHeight="1">
      <c r="A2000" s="226"/>
      <c r="B2000" s="359"/>
      <c r="C2000" s="359"/>
      <c r="D2000" s="359"/>
      <c r="E2000" s="359"/>
      <c r="F2000" s="360"/>
      <c r="G2000" s="360"/>
      <c r="H2000" s="359"/>
      <c r="I2000" s="359"/>
      <c r="J2000" s="359"/>
      <c r="K2000" s="359"/>
      <c r="L2000" s="361"/>
      <c r="M2000" s="359"/>
      <c r="N2000" s="359"/>
      <c r="O2000" s="359"/>
      <c r="P2000" s="359"/>
      <c r="Q2000" s="359"/>
      <c r="R2000" s="359"/>
      <c r="S2000" s="359"/>
      <c r="T2000" s="359"/>
      <c r="U2000" s="359"/>
    </row>
    <row r="2001" ht="15.75" customHeight="1">
      <c r="A2001" s="226"/>
      <c r="B2001" s="359"/>
      <c r="C2001" s="359"/>
      <c r="D2001" s="359"/>
      <c r="E2001" s="359"/>
      <c r="F2001" s="360"/>
      <c r="G2001" s="360"/>
      <c r="H2001" s="359"/>
      <c r="I2001" s="359"/>
      <c r="J2001" s="359"/>
      <c r="K2001" s="359"/>
      <c r="L2001" s="361"/>
      <c r="M2001" s="359"/>
      <c r="N2001" s="359"/>
      <c r="O2001" s="359"/>
      <c r="P2001" s="359"/>
      <c r="Q2001" s="359"/>
      <c r="R2001" s="359"/>
      <c r="S2001" s="359"/>
      <c r="T2001" s="359"/>
      <c r="U2001" s="359"/>
    </row>
    <row r="2002" ht="15.75" customHeight="1">
      <c r="A2002" s="226"/>
      <c r="B2002" s="359"/>
      <c r="C2002" s="359"/>
      <c r="D2002" s="359"/>
      <c r="E2002" s="359"/>
      <c r="F2002" s="360"/>
      <c r="G2002" s="360"/>
      <c r="H2002" s="359"/>
      <c r="I2002" s="359"/>
      <c r="J2002" s="359"/>
      <c r="K2002" s="359"/>
      <c r="L2002" s="361"/>
      <c r="M2002" s="359"/>
      <c r="N2002" s="359"/>
      <c r="O2002" s="359"/>
      <c r="P2002" s="359"/>
      <c r="Q2002" s="359"/>
      <c r="R2002" s="359"/>
      <c r="S2002" s="359"/>
      <c r="T2002" s="359"/>
      <c r="U2002" s="359"/>
    </row>
    <row r="2003" ht="15.75" customHeight="1">
      <c r="A2003" s="226"/>
      <c r="B2003" s="359"/>
      <c r="C2003" s="359"/>
      <c r="D2003" s="359"/>
      <c r="E2003" s="359"/>
      <c r="F2003" s="360"/>
      <c r="G2003" s="360"/>
      <c r="H2003" s="359"/>
      <c r="I2003" s="359"/>
      <c r="J2003" s="359"/>
      <c r="K2003" s="359"/>
      <c r="L2003" s="361"/>
      <c r="M2003" s="359"/>
      <c r="N2003" s="359"/>
      <c r="O2003" s="359"/>
      <c r="P2003" s="359"/>
      <c r="Q2003" s="359"/>
      <c r="R2003" s="359"/>
      <c r="S2003" s="359"/>
      <c r="T2003" s="359"/>
      <c r="U2003" s="359"/>
    </row>
    <row r="2004" ht="15.75" customHeight="1">
      <c r="A2004" s="226"/>
      <c r="B2004" s="359"/>
      <c r="C2004" s="359"/>
      <c r="D2004" s="359"/>
      <c r="E2004" s="359"/>
      <c r="F2004" s="360"/>
      <c r="G2004" s="360"/>
      <c r="H2004" s="359"/>
      <c r="I2004" s="359"/>
      <c r="J2004" s="359"/>
      <c r="K2004" s="359"/>
      <c r="L2004" s="361"/>
      <c r="M2004" s="359"/>
      <c r="N2004" s="359"/>
      <c r="O2004" s="359"/>
      <c r="P2004" s="359"/>
      <c r="Q2004" s="359"/>
      <c r="R2004" s="359"/>
      <c r="S2004" s="359"/>
      <c r="T2004" s="359"/>
      <c r="U2004" s="359"/>
    </row>
    <row r="2005" ht="15.75" customHeight="1">
      <c r="A2005" s="226"/>
      <c r="B2005" s="359"/>
      <c r="C2005" s="359"/>
      <c r="D2005" s="359"/>
      <c r="E2005" s="359"/>
      <c r="F2005" s="360"/>
      <c r="G2005" s="360"/>
      <c r="H2005" s="359"/>
      <c r="I2005" s="359"/>
      <c r="J2005" s="359"/>
      <c r="K2005" s="359"/>
      <c r="L2005" s="361"/>
      <c r="M2005" s="359"/>
      <c r="N2005" s="359"/>
      <c r="O2005" s="359"/>
      <c r="P2005" s="359"/>
      <c r="Q2005" s="359"/>
      <c r="R2005" s="359"/>
      <c r="S2005" s="359"/>
      <c r="T2005" s="359"/>
      <c r="U2005" s="359"/>
    </row>
    <row r="2006" ht="15.75" customHeight="1">
      <c r="A2006" s="226"/>
      <c r="B2006" s="359"/>
      <c r="C2006" s="359"/>
      <c r="D2006" s="359"/>
      <c r="E2006" s="359"/>
      <c r="F2006" s="360"/>
      <c r="G2006" s="360"/>
      <c r="H2006" s="359"/>
      <c r="I2006" s="359"/>
      <c r="J2006" s="359"/>
      <c r="K2006" s="359"/>
      <c r="L2006" s="361"/>
      <c r="M2006" s="359"/>
      <c r="N2006" s="359"/>
      <c r="O2006" s="359"/>
      <c r="P2006" s="359"/>
      <c r="Q2006" s="359"/>
      <c r="R2006" s="359"/>
      <c r="S2006" s="359"/>
      <c r="T2006" s="359"/>
      <c r="U2006" s="359"/>
    </row>
    <row r="2007" ht="15.75" customHeight="1">
      <c r="A2007" s="226"/>
      <c r="B2007" s="359"/>
      <c r="C2007" s="359"/>
      <c r="D2007" s="359"/>
      <c r="E2007" s="359"/>
      <c r="F2007" s="360"/>
      <c r="G2007" s="360"/>
      <c r="H2007" s="359"/>
      <c r="I2007" s="359"/>
      <c r="J2007" s="359"/>
      <c r="K2007" s="359"/>
      <c r="L2007" s="361"/>
      <c r="M2007" s="359"/>
      <c r="N2007" s="359"/>
      <c r="O2007" s="359"/>
      <c r="P2007" s="359"/>
      <c r="Q2007" s="359"/>
      <c r="R2007" s="359"/>
      <c r="S2007" s="359"/>
      <c r="T2007" s="359"/>
      <c r="U2007" s="359"/>
    </row>
    <row r="2008" ht="15.75" customHeight="1">
      <c r="A2008" s="226"/>
      <c r="B2008" s="359"/>
      <c r="C2008" s="359"/>
      <c r="D2008" s="359"/>
      <c r="E2008" s="359"/>
      <c r="F2008" s="360"/>
      <c r="G2008" s="360"/>
      <c r="H2008" s="359"/>
      <c r="I2008" s="359"/>
      <c r="J2008" s="359"/>
      <c r="K2008" s="359"/>
      <c r="L2008" s="361"/>
      <c r="M2008" s="359"/>
      <c r="N2008" s="359"/>
      <c r="O2008" s="359"/>
      <c r="P2008" s="359"/>
      <c r="Q2008" s="359"/>
      <c r="R2008" s="359"/>
      <c r="S2008" s="359"/>
      <c r="T2008" s="359"/>
      <c r="U2008" s="359"/>
    </row>
    <row r="2009" ht="15.75" customHeight="1">
      <c r="A2009" s="226"/>
      <c r="B2009" s="359"/>
      <c r="C2009" s="359"/>
      <c r="D2009" s="359"/>
      <c r="E2009" s="359"/>
      <c r="F2009" s="360"/>
      <c r="G2009" s="360"/>
      <c r="H2009" s="359"/>
      <c r="I2009" s="359"/>
      <c r="J2009" s="359"/>
      <c r="K2009" s="359"/>
      <c r="L2009" s="361"/>
      <c r="M2009" s="359"/>
      <c r="N2009" s="359"/>
      <c r="O2009" s="359"/>
      <c r="P2009" s="359"/>
      <c r="Q2009" s="359"/>
      <c r="R2009" s="359"/>
      <c r="S2009" s="359"/>
      <c r="T2009" s="359"/>
      <c r="U2009" s="359"/>
    </row>
    <row r="2010" ht="15.75" customHeight="1">
      <c r="A2010" s="226"/>
      <c r="B2010" s="359"/>
      <c r="C2010" s="359"/>
      <c r="D2010" s="359"/>
      <c r="E2010" s="359"/>
      <c r="F2010" s="360"/>
      <c r="G2010" s="360"/>
      <c r="H2010" s="359"/>
      <c r="I2010" s="359"/>
      <c r="J2010" s="359"/>
      <c r="K2010" s="359"/>
      <c r="L2010" s="361"/>
      <c r="M2010" s="359"/>
      <c r="N2010" s="359"/>
      <c r="O2010" s="359"/>
      <c r="P2010" s="359"/>
      <c r="Q2010" s="359"/>
      <c r="R2010" s="359"/>
      <c r="S2010" s="359"/>
      <c r="T2010" s="359"/>
      <c r="U2010" s="359"/>
    </row>
    <row r="2011" ht="15.75" customHeight="1">
      <c r="A2011" s="226"/>
      <c r="B2011" s="359"/>
      <c r="C2011" s="359"/>
      <c r="D2011" s="359"/>
      <c r="E2011" s="359"/>
      <c r="F2011" s="360"/>
      <c r="G2011" s="360"/>
      <c r="H2011" s="359"/>
      <c r="I2011" s="359"/>
      <c r="J2011" s="359"/>
      <c r="K2011" s="359"/>
      <c r="L2011" s="361"/>
      <c r="M2011" s="359"/>
      <c r="N2011" s="359"/>
      <c r="O2011" s="359"/>
      <c r="P2011" s="359"/>
      <c r="Q2011" s="359"/>
      <c r="R2011" s="359"/>
      <c r="S2011" s="359"/>
      <c r="T2011" s="359"/>
      <c r="U2011" s="359"/>
    </row>
    <row r="2012" ht="15.75" customHeight="1">
      <c r="A2012" s="226"/>
      <c r="B2012" s="359"/>
      <c r="C2012" s="359"/>
      <c r="D2012" s="359"/>
      <c r="E2012" s="359"/>
      <c r="F2012" s="360"/>
      <c r="G2012" s="360"/>
      <c r="H2012" s="359"/>
      <c r="I2012" s="359"/>
      <c r="J2012" s="359"/>
      <c r="K2012" s="359"/>
      <c r="L2012" s="361"/>
      <c r="M2012" s="359"/>
      <c r="N2012" s="359"/>
      <c r="O2012" s="359"/>
      <c r="P2012" s="359"/>
      <c r="Q2012" s="359"/>
      <c r="R2012" s="359"/>
      <c r="S2012" s="359"/>
      <c r="T2012" s="359"/>
      <c r="U2012" s="359"/>
    </row>
    <row r="2013" ht="15.75" customHeight="1">
      <c r="A2013" s="226"/>
      <c r="B2013" s="359"/>
      <c r="C2013" s="359"/>
      <c r="D2013" s="359"/>
      <c r="E2013" s="359"/>
      <c r="F2013" s="360"/>
      <c r="G2013" s="360"/>
      <c r="H2013" s="359"/>
      <c r="I2013" s="359"/>
      <c r="J2013" s="359"/>
      <c r="K2013" s="359"/>
      <c r="L2013" s="361"/>
      <c r="M2013" s="359"/>
      <c r="N2013" s="359"/>
      <c r="O2013" s="359"/>
      <c r="P2013" s="359"/>
      <c r="Q2013" s="359"/>
      <c r="R2013" s="359"/>
      <c r="S2013" s="359"/>
      <c r="T2013" s="359"/>
      <c r="U2013" s="359"/>
    </row>
    <row r="2014" ht="15.75" customHeight="1">
      <c r="A2014" s="226"/>
      <c r="B2014" s="359"/>
      <c r="C2014" s="359"/>
      <c r="D2014" s="359"/>
      <c r="E2014" s="359"/>
      <c r="F2014" s="360"/>
      <c r="G2014" s="360"/>
      <c r="H2014" s="359"/>
      <c r="I2014" s="359"/>
      <c r="J2014" s="359"/>
      <c r="K2014" s="359"/>
      <c r="L2014" s="361"/>
      <c r="M2014" s="359"/>
      <c r="N2014" s="359"/>
      <c r="O2014" s="359"/>
      <c r="P2014" s="359"/>
      <c r="Q2014" s="359"/>
      <c r="R2014" s="359"/>
      <c r="S2014" s="359"/>
      <c r="T2014" s="359"/>
      <c r="U2014" s="359"/>
    </row>
    <row r="2015" ht="15.75" customHeight="1">
      <c r="A2015" s="226"/>
      <c r="B2015" s="359"/>
      <c r="C2015" s="359"/>
      <c r="D2015" s="359"/>
      <c r="E2015" s="359"/>
      <c r="F2015" s="360"/>
      <c r="G2015" s="360"/>
      <c r="H2015" s="359"/>
      <c r="I2015" s="359"/>
      <c r="J2015" s="359"/>
      <c r="K2015" s="359"/>
      <c r="L2015" s="361"/>
      <c r="M2015" s="359"/>
      <c r="N2015" s="359"/>
      <c r="O2015" s="359"/>
      <c r="P2015" s="359"/>
      <c r="Q2015" s="359"/>
      <c r="R2015" s="359"/>
      <c r="S2015" s="359"/>
      <c r="T2015" s="359"/>
      <c r="U2015" s="359"/>
    </row>
    <row r="2016" ht="15.75" customHeight="1">
      <c r="A2016" s="226"/>
      <c r="B2016" s="359"/>
      <c r="C2016" s="359"/>
      <c r="D2016" s="359"/>
      <c r="E2016" s="359"/>
      <c r="F2016" s="360"/>
      <c r="G2016" s="360"/>
      <c r="H2016" s="359"/>
      <c r="I2016" s="359"/>
      <c r="J2016" s="359"/>
      <c r="K2016" s="359"/>
      <c r="L2016" s="361"/>
      <c r="M2016" s="359"/>
      <c r="N2016" s="359"/>
      <c r="O2016" s="359"/>
      <c r="P2016" s="359"/>
      <c r="Q2016" s="359"/>
      <c r="R2016" s="359"/>
      <c r="S2016" s="359"/>
      <c r="T2016" s="359"/>
      <c r="U2016" s="359"/>
    </row>
    <row r="2017" ht="15.75" customHeight="1">
      <c r="A2017" s="226"/>
      <c r="B2017" s="359"/>
      <c r="C2017" s="359"/>
      <c r="D2017" s="359"/>
      <c r="E2017" s="359"/>
      <c r="F2017" s="360"/>
      <c r="G2017" s="360"/>
      <c r="H2017" s="359"/>
      <c r="I2017" s="359"/>
      <c r="J2017" s="359"/>
      <c r="K2017" s="359"/>
      <c r="L2017" s="361"/>
      <c r="M2017" s="359"/>
      <c r="N2017" s="359"/>
      <c r="O2017" s="359"/>
      <c r="P2017" s="359"/>
      <c r="Q2017" s="359"/>
      <c r="R2017" s="359"/>
      <c r="S2017" s="359"/>
      <c r="T2017" s="359"/>
      <c r="U2017" s="359"/>
    </row>
    <row r="2018" ht="15.75" customHeight="1">
      <c r="A2018" s="226"/>
      <c r="B2018" s="359"/>
      <c r="C2018" s="359"/>
      <c r="D2018" s="359"/>
      <c r="E2018" s="359"/>
      <c r="F2018" s="360"/>
      <c r="G2018" s="360"/>
      <c r="H2018" s="359"/>
      <c r="I2018" s="359"/>
      <c r="J2018" s="359"/>
      <c r="K2018" s="359"/>
      <c r="L2018" s="361"/>
      <c r="M2018" s="359"/>
      <c r="N2018" s="359"/>
      <c r="O2018" s="359"/>
      <c r="P2018" s="359"/>
      <c r="Q2018" s="359"/>
      <c r="R2018" s="359"/>
      <c r="S2018" s="359"/>
      <c r="T2018" s="359"/>
      <c r="U2018" s="359"/>
    </row>
    <row r="2019" ht="15.75" customHeight="1">
      <c r="A2019" s="226"/>
      <c r="B2019" s="359"/>
      <c r="C2019" s="359"/>
      <c r="D2019" s="359"/>
      <c r="E2019" s="359"/>
      <c r="F2019" s="360"/>
      <c r="G2019" s="360"/>
      <c r="H2019" s="359"/>
      <c r="I2019" s="359"/>
      <c r="J2019" s="359"/>
      <c r="K2019" s="359"/>
      <c r="L2019" s="361"/>
      <c r="M2019" s="359"/>
      <c r="N2019" s="359"/>
      <c r="O2019" s="359"/>
      <c r="P2019" s="359"/>
      <c r="Q2019" s="359"/>
      <c r="R2019" s="359"/>
      <c r="S2019" s="359"/>
      <c r="T2019" s="359"/>
      <c r="U2019" s="359"/>
    </row>
    <row r="2020" ht="15.75" customHeight="1">
      <c r="A2020" s="226"/>
      <c r="B2020" s="359"/>
      <c r="C2020" s="359"/>
      <c r="D2020" s="359"/>
      <c r="E2020" s="359"/>
      <c r="F2020" s="360"/>
      <c r="G2020" s="360"/>
      <c r="H2020" s="359"/>
      <c r="I2020" s="359"/>
      <c r="J2020" s="359"/>
      <c r="K2020" s="359"/>
      <c r="L2020" s="361"/>
      <c r="M2020" s="359"/>
      <c r="N2020" s="359"/>
      <c r="O2020" s="359"/>
      <c r="P2020" s="359"/>
      <c r="Q2020" s="359"/>
      <c r="R2020" s="359"/>
      <c r="S2020" s="359"/>
      <c r="T2020" s="359"/>
      <c r="U2020" s="359"/>
    </row>
    <row r="2021" ht="15.75" customHeight="1">
      <c r="A2021" s="226"/>
      <c r="B2021" s="359"/>
      <c r="C2021" s="359"/>
      <c r="D2021" s="359"/>
      <c r="E2021" s="359"/>
      <c r="F2021" s="360"/>
      <c r="G2021" s="360"/>
      <c r="H2021" s="359"/>
      <c r="I2021" s="359"/>
      <c r="J2021" s="359"/>
      <c r="K2021" s="359"/>
      <c r="L2021" s="361"/>
      <c r="M2021" s="359"/>
      <c r="N2021" s="359"/>
      <c r="O2021" s="359"/>
      <c r="P2021" s="359"/>
      <c r="Q2021" s="359"/>
      <c r="R2021" s="359"/>
      <c r="S2021" s="359"/>
      <c r="T2021" s="359"/>
      <c r="U2021" s="359"/>
    </row>
    <row r="2022" ht="15.75" customHeight="1">
      <c r="A2022" s="226"/>
      <c r="B2022" s="359"/>
      <c r="C2022" s="359"/>
      <c r="D2022" s="359"/>
      <c r="E2022" s="359"/>
      <c r="F2022" s="360"/>
      <c r="G2022" s="360"/>
      <c r="H2022" s="359"/>
      <c r="I2022" s="359"/>
      <c r="J2022" s="359"/>
      <c r="K2022" s="359"/>
      <c r="L2022" s="361"/>
      <c r="M2022" s="359"/>
      <c r="N2022" s="359"/>
      <c r="O2022" s="359"/>
      <c r="P2022" s="359"/>
      <c r="Q2022" s="359"/>
      <c r="R2022" s="359"/>
      <c r="S2022" s="359"/>
      <c r="T2022" s="359"/>
      <c r="U2022" s="359"/>
    </row>
    <row r="2023" ht="15.75" customHeight="1">
      <c r="A2023" s="226"/>
      <c r="B2023" s="359"/>
      <c r="C2023" s="359"/>
      <c r="D2023" s="359"/>
      <c r="E2023" s="359"/>
      <c r="F2023" s="360"/>
      <c r="G2023" s="360"/>
      <c r="H2023" s="359"/>
      <c r="I2023" s="359"/>
      <c r="J2023" s="359"/>
      <c r="K2023" s="359"/>
      <c r="L2023" s="361"/>
      <c r="M2023" s="359"/>
      <c r="N2023" s="359"/>
      <c r="O2023" s="359"/>
      <c r="P2023" s="359"/>
      <c r="Q2023" s="359"/>
      <c r="R2023" s="359"/>
      <c r="S2023" s="359"/>
      <c r="T2023" s="359"/>
      <c r="U2023" s="359"/>
    </row>
    <row r="2024" ht="15.75" customHeight="1">
      <c r="A2024" s="226"/>
      <c r="B2024" s="359"/>
      <c r="C2024" s="359"/>
      <c r="D2024" s="359"/>
      <c r="E2024" s="359"/>
      <c r="F2024" s="360"/>
      <c r="G2024" s="360"/>
      <c r="H2024" s="359"/>
      <c r="I2024" s="359"/>
      <c r="J2024" s="359"/>
      <c r="K2024" s="359"/>
      <c r="L2024" s="361"/>
      <c r="M2024" s="359"/>
      <c r="N2024" s="359"/>
      <c r="O2024" s="359"/>
      <c r="P2024" s="359"/>
      <c r="Q2024" s="359"/>
      <c r="R2024" s="359"/>
      <c r="S2024" s="359"/>
      <c r="T2024" s="359"/>
      <c r="U2024" s="359"/>
    </row>
    <row r="2025" ht="15.75" customHeight="1">
      <c r="A2025" s="226"/>
      <c r="B2025" s="359"/>
      <c r="C2025" s="359"/>
      <c r="D2025" s="359"/>
      <c r="E2025" s="359"/>
      <c r="F2025" s="360"/>
      <c r="G2025" s="360"/>
      <c r="H2025" s="359"/>
      <c r="I2025" s="359"/>
      <c r="J2025" s="359"/>
      <c r="K2025" s="359"/>
      <c r="L2025" s="361"/>
      <c r="M2025" s="359"/>
      <c r="N2025" s="359"/>
      <c r="O2025" s="359"/>
      <c r="P2025" s="359"/>
      <c r="Q2025" s="359"/>
      <c r="R2025" s="359"/>
      <c r="S2025" s="359"/>
      <c r="T2025" s="359"/>
      <c r="U2025" s="359"/>
    </row>
    <row r="2026" ht="15.75" customHeight="1">
      <c r="A2026" s="226"/>
      <c r="B2026" s="359"/>
      <c r="C2026" s="359"/>
      <c r="D2026" s="359"/>
      <c r="E2026" s="359"/>
      <c r="F2026" s="360"/>
      <c r="G2026" s="360"/>
      <c r="H2026" s="359"/>
      <c r="I2026" s="359"/>
      <c r="J2026" s="359"/>
      <c r="K2026" s="359"/>
      <c r="L2026" s="361"/>
      <c r="M2026" s="359"/>
      <c r="N2026" s="359"/>
      <c r="O2026" s="359"/>
      <c r="P2026" s="359"/>
      <c r="Q2026" s="359"/>
      <c r="R2026" s="359"/>
      <c r="S2026" s="359"/>
      <c r="T2026" s="359"/>
      <c r="U2026" s="359"/>
    </row>
    <row r="2027" ht="15.75" customHeight="1">
      <c r="A2027" s="226"/>
      <c r="B2027" s="359"/>
      <c r="C2027" s="359"/>
      <c r="D2027" s="359"/>
      <c r="E2027" s="359"/>
      <c r="F2027" s="360"/>
      <c r="G2027" s="360"/>
      <c r="H2027" s="359"/>
      <c r="I2027" s="359"/>
      <c r="J2027" s="359"/>
      <c r="K2027" s="359"/>
      <c r="L2027" s="361"/>
      <c r="M2027" s="359"/>
      <c r="N2027" s="359"/>
      <c r="O2027" s="359"/>
      <c r="P2027" s="359"/>
      <c r="Q2027" s="359"/>
      <c r="R2027" s="359"/>
      <c r="S2027" s="359"/>
      <c r="T2027" s="359"/>
      <c r="U2027" s="359"/>
    </row>
    <row r="2028" ht="15.75" customHeight="1">
      <c r="A2028" s="226"/>
      <c r="B2028" s="359"/>
      <c r="C2028" s="359"/>
      <c r="D2028" s="359"/>
      <c r="E2028" s="359"/>
      <c r="F2028" s="360"/>
      <c r="G2028" s="360"/>
      <c r="H2028" s="359"/>
      <c r="I2028" s="359"/>
      <c r="J2028" s="359"/>
      <c r="K2028" s="359"/>
      <c r="L2028" s="361"/>
      <c r="M2028" s="359"/>
      <c r="N2028" s="359"/>
      <c r="O2028" s="359"/>
      <c r="P2028" s="359"/>
      <c r="Q2028" s="359"/>
      <c r="R2028" s="359"/>
      <c r="S2028" s="359"/>
      <c r="T2028" s="359"/>
      <c r="U2028" s="359"/>
    </row>
    <row r="2029" ht="15.75" customHeight="1">
      <c r="A2029" s="226"/>
      <c r="B2029" s="359"/>
      <c r="C2029" s="359"/>
      <c r="D2029" s="359"/>
      <c r="E2029" s="359"/>
      <c r="F2029" s="360"/>
      <c r="G2029" s="360"/>
      <c r="H2029" s="359"/>
      <c r="I2029" s="359"/>
      <c r="J2029" s="359"/>
      <c r="K2029" s="359"/>
      <c r="L2029" s="361"/>
      <c r="M2029" s="359"/>
      <c r="N2029" s="359"/>
      <c r="O2029" s="359"/>
      <c r="P2029" s="359"/>
      <c r="Q2029" s="359"/>
      <c r="R2029" s="359"/>
      <c r="S2029" s="359"/>
      <c r="T2029" s="359"/>
      <c r="U2029" s="359"/>
    </row>
    <row r="2030" ht="15.75" customHeight="1">
      <c r="A2030" s="226"/>
      <c r="B2030" s="359"/>
      <c r="C2030" s="359"/>
      <c r="D2030" s="359"/>
      <c r="E2030" s="359"/>
      <c r="F2030" s="360"/>
      <c r="G2030" s="360"/>
      <c r="H2030" s="359"/>
      <c r="I2030" s="359"/>
      <c r="J2030" s="359"/>
      <c r="K2030" s="359"/>
      <c r="L2030" s="361"/>
      <c r="M2030" s="359"/>
      <c r="N2030" s="359"/>
      <c r="O2030" s="359"/>
      <c r="P2030" s="359"/>
      <c r="Q2030" s="359"/>
      <c r="R2030" s="359"/>
      <c r="S2030" s="359"/>
      <c r="T2030" s="359"/>
      <c r="U2030" s="359"/>
    </row>
    <row r="2031" ht="15.75" customHeight="1">
      <c r="A2031" s="226"/>
      <c r="B2031" s="359"/>
      <c r="C2031" s="359"/>
      <c r="D2031" s="359"/>
      <c r="E2031" s="359"/>
      <c r="F2031" s="360"/>
      <c r="G2031" s="360"/>
      <c r="H2031" s="359"/>
      <c r="I2031" s="359"/>
      <c r="J2031" s="359"/>
      <c r="K2031" s="359"/>
      <c r="L2031" s="361"/>
      <c r="M2031" s="359"/>
      <c r="N2031" s="359"/>
      <c r="O2031" s="359"/>
      <c r="P2031" s="359"/>
      <c r="Q2031" s="359"/>
      <c r="R2031" s="359"/>
      <c r="S2031" s="359"/>
      <c r="T2031" s="359"/>
      <c r="U2031" s="359"/>
    </row>
    <row r="2032" ht="15.75" customHeight="1">
      <c r="A2032" s="226"/>
      <c r="B2032" s="359"/>
      <c r="C2032" s="359"/>
      <c r="D2032" s="359"/>
      <c r="E2032" s="359"/>
      <c r="F2032" s="360"/>
      <c r="G2032" s="360"/>
      <c r="H2032" s="359"/>
      <c r="I2032" s="359"/>
      <c r="J2032" s="359"/>
      <c r="K2032" s="359"/>
      <c r="L2032" s="361"/>
      <c r="M2032" s="359"/>
      <c r="N2032" s="359"/>
      <c r="O2032" s="359"/>
      <c r="P2032" s="359"/>
      <c r="Q2032" s="359"/>
      <c r="R2032" s="359"/>
      <c r="S2032" s="359"/>
      <c r="T2032" s="359"/>
      <c r="U2032" s="359"/>
    </row>
    <row r="2033" ht="15.75" customHeight="1">
      <c r="A2033" s="226"/>
      <c r="B2033" s="359"/>
      <c r="C2033" s="359"/>
      <c r="D2033" s="359"/>
      <c r="E2033" s="359"/>
      <c r="F2033" s="360"/>
      <c r="G2033" s="360"/>
      <c r="H2033" s="359"/>
      <c r="I2033" s="359"/>
      <c r="J2033" s="359"/>
      <c r="K2033" s="359"/>
      <c r="L2033" s="361"/>
      <c r="M2033" s="359"/>
      <c r="N2033" s="359"/>
      <c r="O2033" s="359"/>
      <c r="P2033" s="359"/>
      <c r="Q2033" s="359"/>
      <c r="R2033" s="359"/>
      <c r="S2033" s="359"/>
      <c r="T2033" s="359"/>
      <c r="U2033" s="359"/>
    </row>
    <row r="2034" ht="15.75" customHeight="1">
      <c r="A2034" s="226"/>
      <c r="B2034" s="359"/>
      <c r="C2034" s="359"/>
      <c r="D2034" s="359"/>
      <c r="E2034" s="359"/>
      <c r="F2034" s="360"/>
      <c r="G2034" s="360"/>
      <c r="H2034" s="359"/>
      <c r="I2034" s="359"/>
      <c r="J2034" s="359"/>
      <c r="K2034" s="359"/>
      <c r="L2034" s="361"/>
      <c r="M2034" s="359"/>
      <c r="N2034" s="359"/>
      <c r="O2034" s="359"/>
      <c r="P2034" s="359"/>
      <c r="Q2034" s="359"/>
      <c r="R2034" s="359"/>
      <c r="S2034" s="359"/>
      <c r="T2034" s="359"/>
      <c r="U2034" s="359"/>
    </row>
    <row r="2035" ht="15.75" customHeight="1">
      <c r="A2035" s="226"/>
      <c r="B2035" s="359"/>
      <c r="C2035" s="359"/>
      <c r="D2035" s="359"/>
      <c r="E2035" s="359"/>
      <c r="F2035" s="360"/>
      <c r="G2035" s="360"/>
      <c r="H2035" s="359"/>
      <c r="I2035" s="359"/>
      <c r="J2035" s="359"/>
      <c r="K2035" s="359"/>
      <c r="L2035" s="361"/>
      <c r="M2035" s="359"/>
      <c r="N2035" s="359"/>
      <c r="O2035" s="359"/>
      <c r="P2035" s="359"/>
      <c r="Q2035" s="359"/>
      <c r="R2035" s="359"/>
      <c r="S2035" s="359"/>
      <c r="T2035" s="359"/>
      <c r="U2035" s="359"/>
    </row>
    <row r="2036" ht="15.75" customHeight="1">
      <c r="A2036" s="226"/>
      <c r="B2036" s="359"/>
      <c r="C2036" s="359"/>
      <c r="D2036" s="359"/>
      <c r="E2036" s="359"/>
      <c r="F2036" s="360"/>
      <c r="G2036" s="360"/>
      <c r="H2036" s="359"/>
      <c r="I2036" s="359"/>
      <c r="J2036" s="359"/>
      <c r="K2036" s="359"/>
      <c r="L2036" s="361"/>
      <c r="M2036" s="359"/>
      <c r="N2036" s="359"/>
      <c r="O2036" s="359"/>
      <c r="P2036" s="359"/>
      <c r="Q2036" s="359"/>
      <c r="R2036" s="359"/>
      <c r="S2036" s="359"/>
      <c r="T2036" s="359"/>
      <c r="U2036" s="359"/>
    </row>
    <row r="2037" ht="15.75" customHeight="1">
      <c r="A2037" s="226"/>
      <c r="B2037" s="359"/>
      <c r="C2037" s="359"/>
      <c r="D2037" s="359"/>
      <c r="E2037" s="359"/>
      <c r="F2037" s="360"/>
      <c r="G2037" s="360"/>
      <c r="H2037" s="359"/>
      <c r="I2037" s="359"/>
      <c r="J2037" s="359"/>
      <c r="K2037" s="359"/>
      <c r="L2037" s="361"/>
      <c r="M2037" s="359"/>
      <c r="N2037" s="359"/>
      <c r="O2037" s="359"/>
      <c r="P2037" s="359"/>
      <c r="Q2037" s="359"/>
      <c r="R2037" s="359"/>
      <c r="S2037" s="359"/>
      <c r="T2037" s="359"/>
      <c r="U2037" s="359"/>
    </row>
    <row r="2038" ht="15.75" customHeight="1">
      <c r="A2038" s="226"/>
      <c r="B2038" s="359"/>
      <c r="C2038" s="359"/>
      <c r="D2038" s="359"/>
      <c r="E2038" s="359"/>
      <c r="F2038" s="360"/>
      <c r="G2038" s="360"/>
      <c r="H2038" s="359"/>
      <c r="I2038" s="359"/>
      <c r="J2038" s="359"/>
      <c r="K2038" s="359"/>
      <c r="L2038" s="361"/>
      <c r="M2038" s="359"/>
      <c r="N2038" s="359"/>
      <c r="O2038" s="359"/>
      <c r="P2038" s="359"/>
      <c r="Q2038" s="359"/>
      <c r="R2038" s="359"/>
      <c r="S2038" s="359"/>
      <c r="T2038" s="359"/>
      <c r="U2038" s="359"/>
    </row>
    <row r="2039" ht="15.75" customHeight="1">
      <c r="A2039" s="226"/>
      <c r="B2039" s="359"/>
      <c r="C2039" s="359"/>
      <c r="D2039" s="359"/>
      <c r="E2039" s="359"/>
      <c r="F2039" s="360"/>
      <c r="G2039" s="360"/>
      <c r="H2039" s="359"/>
      <c r="I2039" s="359"/>
      <c r="J2039" s="359"/>
      <c r="K2039" s="359"/>
      <c r="L2039" s="361"/>
      <c r="M2039" s="359"/>
      <c r="N2039" s="359"/>
      <c r="O2039" s="359"/>
      <c r="P2039" s="359"/>
      <c r="Q2039" s="359"/>
      <c r="R2039" s="359"/>
      <c r="S2039" s="359"/>
      <c r="T2039" s="359"/>
      <c r="U2039" s="359"/>
    </row>
    <row r="2040" ht="15.75" customHeight="1">
      <c r="A2040" s="226"/>
      <c r="B2040" s="359"/>
      <c r="C2040" s="359"/>
      <c r="D2040" s="359"/>
      <c r="E2040" s="359"/>
      <c r="F2040" s="360"/>
      <c r="G2040" s="360"/>
      <c r="H2040" s="359"/>
      <c r="I2040" s="359"/>
      <c r="J2040" s="359"/>
      <c r="K2040" s="359"/>
      <c r="L2040" s="361"/>
      <c r="M2040" s="359"/>
      <c r="N2040" s="359"/>
      <c r="O2040" s="359"/>
      <c r="P2040" s="359"/>
      <c r="Q2040" s="359"/>
      <c r="R2040" s="359"/>
      <c r="S2040" s="359"/>
      <c r="T2040" s="359"/>
      <c r="U2040" s="359"/>
    </row>
    <row r="2041" ht="15.75" customHeight="1">
      <c r="A2041" s="226"/>
      <c r="B2041" s="359"/>
      <c r="C2041" s="359"/>
      <c r="D2041" s="359"/>
      <c r="E2041" s="359"/>
      <c r="F2041" s="360"/>
      <c r="G2041" s="360"/>
      <c r="H2041" s="359"/>
      <c r="I2041" s="359"/>
      <c r="J2041" s="359"/>
      <c r="K2041" s="359"/>
      <c r="L2041" s="361"/>
      <c r="M2041" s="359"/>
      <c r="N2041" s="359"/>
      <c r="O2041" s="359"/>
      <c r="P2041" s="359"/>
      <c r="Q2041" s="359"/>
      <c r="R2041" s="359"/>
      <c r="S2041" s="359"/>
      <c r="T2041" s="359"/>
      <c r="U2041" s="359"/>
    </row>
    <row r="2042" ht="15.75" customHeight="1">
      <c r="A2042" s="226"/>
      <c r="B2042" s="359"/>
      <c r="C2042" s="359"/>
      <c r="D2042" s="359"/>
      <c r="E2042" s="359"/>
      <c r="F2042" s="360"/>
      <c r="G2042" s="360"/>
      <c r="H2042" s="359"/>
      <c r="I2042" s="359"/>
      <c r="J2042" s="359"/>
      <c r="K2042" s="359"/>
      <c r="L2042" s="361"/>
      <c r="M2042" s="359"/>
      <c r="N2042" s="359"/>
      <c r="O2042" s="359"/>
      <c r="P2042" s="359"/>
      <c r="Q2042" s="359"/>
      <c r="R2042" s="359"/>
      <c r="S2042" s="359"/>
      <c r="T2042" s="359"/>
      <c r="U2042" s="359"/>
    </row>
    <row r="2043" ht="15.75" customHeight="1">
      <c r="A2043" s="226"/>
      <c r="B2043" s="359"/>
      <c r="C2043" s="359"/>
      <c r="D2043" s="359"/>
      <c r="E2043" s="359"/>
      <c r="F2043" s="360"/>
      <c r="G2043" s="360"/>
      <c r="H2043" s="359"/>
      <c r="I2043" s="359"/>
      <c r="J2043" s="359"/>
      <c r="K2043" s="359"/>
      <c r="L2043" s="361"/>
      <c r="M2043" s="359"/>
      <c r="N2043" s="359"/>
      <c r="O2043" s="359"/>
      <c r="P2043" s="359"/>
      <c r="Q2043" s="359"/>
      <c r="R2043" s="359"/>
      <c r="S2043" s="359"/>
      <c r="T2043" s="359"/>
      <c r="U2043" s="359"/>
    </row>
    <row r="2044" ht="15.75" customHeight="1">
      <c r="A2044" s="226"/>
      <c r="B2044" s="359"/>
      <c r="C2044" s="359"/>
      <c r="D2044" s="359"/>
      <c r="E2044" s="359"/>
      <c r="F2044" s="360"/>
      <c r="G2044" s="360"/>
      <c r="H2044" s="359"/>
      <c r="I2044" s="359"/>
      <c r="J2044" s="359"/>
      <c r="K2044" s="359"/>
      <c r="L2044" s="361"/>
      <c r="M2044" s="359"/>
      <c r="N2044" s="359"/>
      <c r="O2044" s="359"/>
      <c r="P2044" s="359"/>
      <c r="Q2044" s="359"/>
      <c r="R2044" s="359"/>
      <c r="S2044" s="359"/>
      <c r="T2044" s="359"/>
      <c r="U2044" s="359"/>
    </row>
    <row r="2045" ht="15.75" customHeight="1">
      <c r="A2045" s="226"/>
      <c r="B2045" s="359"/>
      <c r="C2045" s="359"/>
      <c r="D2045" s="359"/>
      <c r="E2045" s="359"/>
      <c r="F2045" s="360"/>
      <c r="G2045" s="360"/>
      <c r="H2045" s="359"/>
      <c r="I2045" s="359"/>
      <c r="J2045" s="359"/>
      <c r="K2045" s="359"/>
      <c r="L2045" s="361"/>
      <c r="M2045" s="359"/>
      <c r="N2045" s="359"/>
      <c r="O2045" s="359"/>
      <c r="P2045" s="359"/>
      <c r="Q2045" s="359"/>
      <c r="R2045" s="359"/>
      <c r="S2045" s="359"/>
      <c r="T2045" s="359"/>
      <c r="U2045" s="359"/>
    </row>
    <row r="2046" ht="15.75" customHeight="1">
      <c r="A2046" s="226"/>
      <c r="B2046" s="359"/>
      <c r="C2046" s="359"/>
      <c r="D2046" s="359"/>
      <c r="E2046" s="359"/>
      <c r="F2046" s="360"/>
      <c r="G2046" s="360"/>
      <c r="H2046" s="359"/>
      <c r="I2046" s="359"/>
      <c r="J2046" s="359"/>
      <c r="K2046" s="359"/>
      <c r="L2046" s="361"/>
      <c r="M2046" s="359"/>
      <c r="N2046" s="359"/>
      <c r="O2046" s="359"/>
      <c r="P2046" s="359"/>
      <c r="Q2046" s="359"/>
      <c r="R2046" s="359"/>
      <c r="S2046" s="359"/>
      <c r="T2046" s="359"/>
      <c r="U2046" s="359"/>
    </row>
    <row r="2047" ht="15.75" customHeight="1">
      <c r="A2047" s="226"/>
      <c r="B2047" s="359"/>
      <c r="C2047" s="359"/>
      <c r="D2047" s="359"/>
      <c r="E2047" s="359"/>
      <c r="F2047" s="360"/>
      <c r="G2047" s="360"/>
      <c r="H2047" s="359"/>
      <c r="I2047" s="359"/>
      <c r="J2047" s="359"/>
      <c r="K2047" s="359"/>
      <c r="L2047" s="361"/>
      <c r="M2047" s="359"/>
      <c r="N2047" s="359"/>
      <c r="O2047" s="359"/>
      <c r="P2047" s="359"/>
      <c r="Q2047" s="359"/>
      <c r="R2047" s="359"/>
      <c r="S2047" s="359"/>
      <c r="T2047" s="359"/>
      <c r="U2047" s="359"/>
    </row>
    <row r="2048" ht="15.75" customHeight="1">
      <c r="A2048" s="226"/>
      <c r="B2048" s="359"/>
      <c r="C2048" s="359"/>
      <c r="D2048" s="359"/>
      <c r="E2048" s="359"/>
      <c r="F2048" s="360"/>
      <c r="G2048" s="360"/>
      <c r="H2048" s="359"/>
      <c r="I2048" s="359"/>
      <c r="J2048" s="359"/>
      <c r="K2048" s="359"/>
      <c r="L2048" s="361"/>
      <c r="M2048" s="359"/>
      <c r="N2048" s="359"/>
      <c r="O2048" s="359"/>
      <c r="P2048" s="359"/>
      <c r="Q2048" s="359"/>
      <c r="R2048" s="359"/>
      <c r="S2048" s="359"/>
      <c r="T2048" s="359"/>
      <c r="U2048" s="359"/>
    </row>
    <row r="2049" ht="15.75" customHeight="1">
      <c r="A2049" s="226"/>
      <c r="B2049" s="359"/>
      <c r="C2049" s="359"/>
      <c r="D2049" s="359"/>
      <c r="E2049" s="359"/>
      <c r="F2049" s="360"/>
      <c r="G2049" s="360"/>
      <c r="H2049" s="359"/>
      <c r="I2049" s="359"/>
      <c r="J2049" s="359"/>
      <c r="K2049" s="359"/>
      <c r="L2049" s="361"/>
      <c r="M2049" s="359"/>
      <c r="N2049" s="359"/>
      <c r="O2049" s="359"/>
      <c r="P2049" s="359"/>
      <c r="Q2049" s="359"/>
      <c r="R2049" s="359"/>
      <c r="S2049" s="359"/>
      <c r="T2049" s="359"/>
      <c r="U2049" s="359"/>
    </row>
    <row r="2050" ht="15.75" customHeight="1">
      <c r="A2050" s="226"/>
      <c r="B2050" s="359"/>
      <c r="C2050" s="359"/>
      <c r="D2050" s="359"/>
      <c r="E2050" s="359"/>
      <c r="F2050" s="360"/>
      <c r="G2050" s="360"/>
      <c r="H2050" s="359"/>
      <c r="I2050" s="359"/>
      <c r="J2050" s="359"/>
      <c r="K2050" s="359"/>
      <c r="L2050" s="361"/>
      <c r="M2050" s="359"/>
      <c r="N2050" s="359"/>
      <c r="O2050" s="359"/>
      <c r="P2050" s="359"/>
      <c r="Q2050" s="359"/>
      <c r="R2050" s="359"/>
      <c r="S2050" s="359"/>
      <c r="T2050" s="359"/>
      <c r="U2050" s="359"/>
    </row>
    <row r="2051" ht="15.75" customHeight="1">
      <c r="A2051" s="226"/>
      <c r="B2051" s="359"/>
      <c r="C2051" s="359"/>
      <c r="D2051" s="359"/>
      <c r="E2051" s="359"/>
      <c r="F2051" s="360"/>
      <c r="G2051" s="360"/>
      <c r="H2051" s="359"/>
      <c r="I2051" s="359"/>
      <c r="J2051" s="359"/>
      <c r="K2051" s="359"/>
      <c r="L2051" s="361"/>
      <c r="M2051" s="359"/>
      <c r="N2051" s="359"/>
      <c r="O2051" s="359"/>
      <c r="P2051" s="359"/>
      <c r="Q2051" s="359"/>
      <c r="R2051" s="359"/>
      <c r="S2051" s="359"/>
      <c r="T2051" s="359"/>
      <c r="U2051" s="359"/>
    </row>
    <row r="2052" ht="15.75" customHeight="1">
      <c r="A2052" s="226"/>
      <c r="B2052" s="359"/>
      <c r="C2052" s="359"/>
      <c r="D2052" s="359"/>
      <c r="E2052" s="359"/>
      <c r="F2052" s="360"/>
      <c r="G2052" s="360"/>
      <c r="H2052" s="359"/>
      <c r="I2052" s="359"/>
      <c r="J2052" s="359"/>
      <c r="K2052" s="359"/>
      <c r="L2052" s="361"/>
      <c r="M2052" s="359"/>
      <c r="N2052" s="359"/>
      <c r="O2052" s="359"/>
      <c r="P2052" s="359"/>
      <c r="Q2052" s="359"/>
      <c r="R2052" s="359"/>
      <c r="S2052" s="359"/>
      <c r="T2052" s="359"/>
      <c r="U2052" s="359"/>
    </row>
    <row r="2053" ht="15.75" customHeight="1">
      <c r="A2053" s="226"/>
      <c r="B2053" s="359"/>
      <c r="C2053" s="359"/>
      <c r="D2053" s="359"/>
      <c r="E2053" s="359"/>
      <c r="F2053" s="360"/>
      <c r="G2053" s="360"/>
      <c r="H2053" s="359"/>
      <c r="I2053" s="359"/>
      <c r="J2053" s="359"/>
      <c r="K2053" s="359"/>
      <c r="L2053" s="361"/>
      <c r="M2053" s="359"/>
      <c r="N2053" s="359"/>
      <c r="O2053" s="359"/>
      <c r="P2053" s="359"/>
      <c r="Q2053" s="359"/>
      <c r="R2053" s="359"/>
      <c r="S2053" s="359"/>
      <c r="T2053" s="359"/>
      <c r="U2053" s="359"/>
    </row>
    <row r="2054" ht="15.75" customHeight="1">
      <c r="A2054" s="226"/>
      <c r="B2054" s="359"/>
      <c r="C2054" s="359"/>
      <c r="D2054" s="359"/>
      <c r="E2054" s="359"/>
      <c r="F2054" s="360"/>
      <c r="G2054" s="360"/>
      <c r="H2054" s="359"/>
      <c r="I2054" s="359"/>
      <c r="J2054" s="359"/>
      <c r="K2054" s="359"/>
      <c r="L2054" s="361"/>
      <c r="M2054" s="359"/>
      <c r="N2054" s="359"/>
      <c r="O2054" s="359"/>
      <c r="P2054" s="359"/>
      <c r="Q2054" s="359"/>
      <c r="R2054" s="359"/>
      <c r="S2054" s="359"/>
      <c r="T2054" s="359"/>
      <c r="U2054" s="359"/>
    </row>
    <row r="2055" ht="15.75" customHeight="1">
      <c r="A2055" s="226"/>
      <c r="B2055" s="359"/>
      <c r="C2055" s="359"/>
      <c r="D2055" s="359"/>
      <c r="E2055" s="359"/>
      <c r="F2055" s="360"/>
      <c r="G2055" s="360"/>
      <c r="H2055" s="359"/>
      <c r="I2055" s="359"/>
      <c r="J2055" s="359"/>
      <c r="K2055" s="359"/>
      <c r="L2055" s="361"/>
      <c r="M2055" s="359"/>
      <c r="N2055" s="359"/>
      <c r="O2055" s="359"/>
      <c r="P2055" s="359"/>
      <c r="Q2055" s="359"/>
      <c r="R2055" s="359"/>
      <c r="S2055" s="359"/>
      <c r="T2055" s="359"/>
      <c r="U2055" s="359"/>
    </row>
    <row r="2056" ht="15.75" customHeight="1">
      <c r="A2056" s="226"/>
      <c r="B2056" s="359"/>
      <c r="C2056" s="359"/>
      <c r="D2056" s="359"/>
      <c r="E2056" s="359"/>
      <c r="F2056" s="360"/>
      <c r="G2056" s="360"/>
      <c r="H2056" s="359"/>
      <c r="I2056" s="359"/>
      <c r="J2056" s="359"/>
      <c r="K2056" s="359"/>
      <c r="L2056" s="361"/>
      <c r="M2056" s="359"/>
      <c r="N2056" s="359"/>
      <c r="O2056" s="359"/>
      <c r="P2056" s="359"/>
      <c r="Q2056" s="359"/>
      <c r="R2056" s="359"/>
      <c r="S2056" s="359"/>
      <c r="T2056" s="359"/>
      <c r="U2056" s="359"/>
    </row>
    <row r="2057" ht="15.75" customHeight="1">
      <c r="A2057" s="226"/>
      <c r="B2057" s="359"/>
      <c r="C2057" s="359"/>
      <c r="D2057" s="359"/>
      <c r="E2057" s="359"/>
      <c r="F2057" s="360"/>
      <c r="G2057" s="360"/>
      <c r="H2057" s="359"/>
      <c r="I2057" s="359"/>
      <c r="J2057" s="359"/>
      <c r="K2057" s="359"/>
      <c r="L2057" s="361"/>
      <c r="M2057" s="359"/>
      <c r="N2057" s="359"/>
      <c r="O2057" s="359"/>
      <c r="P2057" s="359"/>
      <c r="Q2057" s="359"/>
      <c r="R2057" s="359"/>
      <c r="S2057" s="359"/>
      <c r="T2057" s="359"/>
      <c r="U2057" s="359"/>
    </row>
    <row r="2058" ht="15.75" customHeight="1">
      <c r="A2058" s="226"/>
      <c r="B2058" s="359"/>
      <c r="C2058" s="359"/>
      <c r="D2058" s="359"/>
      <c r="E2058" s="359"/>
      <c r="F2058" s="360"/>
      <c r="G2058" s="360"/>
      <c r="H2058" s="359"/>
      <c r="I2058" s="359"/>
      <c r="J2058" s="359"/>
      <c r="K2058" s="359"/>
      <c r="L2058" s="361"/>
      <c r="M2058" s="359"/>
      <c r="N2058" s="359"/>
      <c r="O2058" s="359"/>
      <c r="P2058" s="359"/>
      <c r="Q2058" s="359"/>
      <c r="R2058" s="359"/>
      <c r="S2058" s="359"/>
      <c r="T2058" s="359"/>
      <c r="U2058" s="359"/>
    </row>
    <row r="2059" ht="15.75" customHeight="1">
      <c r="A2059" s="226"/>
      <c r="B2059" s="359"/>
      <c r="C2059" s="359"/>
      <c r="D2059" s="359"/>
      <c r="E2059" s="359"/>
      <c r="F2059" s="360"/>
      <c r="G2059" s="360"/>
      <c r="H2059" s="359"/>
      <c r="I2059" s="359"/>
      <c r="J2059" s="359"/>
      <c r="K2059" s="359"/>
      <c r="L2059" s="361"/>
      <c r="M2059" s="359"/>
      <c r="N2059" s="359"/>
      <c r="O2059" s="359"/>
      <c r="P2059" s="359"/>
      <c r="Q2059" s="359"/>
      <c r="R2059" s="359"/>
      <c r="S2059" s="359"/>
      <c r="T2059" s="359"/>
      <c r="U2059" s="359"/>
    </row>
    <row r="2060" ht="15.75" customHeight="1">
      <c r="A2060" s="226"/>
      <c r="B2060" s="359"/>
      <c r="C2060" s="359"/>
      <c r="D2060" s="359"/>
      <c r="E2060" s="359"/>
      <c r="F2060" s="360"/>
      <c r="G2060" s="360"/>
      <c r="H2060" s="359"/>
      <c r="I2060" s="359"/>
      <c r="J2060" s="359"/>
      <c r="K2060" s="359"/>
      <c r="L2060" s="361"/>
      <c r="M2060" s="359"/>
      <c r="N2060" s="359"/>
      <c r="O2060" s="359"/>
      <c r="P2060" s="359"/>
      <c r="Q2060" s="359"/>
      <c r="R2060" s="359"/>
      <c r="S2060" s="359"/>
      <c r="T2060" s="359"/>
      <c r="U2060" s="359"/>
    </row>
    <row r="2061" ht="15.75" customHeight="1">
      <c r="A2061" s="226"/>
      <c r="B2061" s="359"/>
      <c r="C2061" s="359"/>
      <c r="D2061" s="359"/>
      <c r="E2061" s="359"/>
      <c r="F2061" s="360"/>
      <c r="G2061" s="360"/>
      <c r="H2061" s="359"/>
      <c r="I2061" s="359"/>
      <c r="J2061" s="359"/>
      <c r="K2061" s="359"/>
      <c r="L2061" s="361"/>
      <c r="M2061" s="359"/>
      <c r="N2061" s="359"/>
      <c r="O2061" s="359"/>
      <c r="P2061" s="359"/>
      <c r="Q2061" s="359"/>
      <c r="R2061" s="359"/>
      <c r="S2061" s="359"/>
      <c r="T2061" s="359"/>
      <c r="U2061" s="359"/>
    </row>
    <row r="2062" ht="15.75" customHeight="1">
      <c r="A2062" s="226"/>
      <c r="B2062" s="359"/>
      <c r="C2062" s="359"/>
      <c r="D2062" s="359"/>
      <c r="E2062" s="359"/>
      <c r="F2062" s="360"/>
      <c r="G2062" s="360"/>
      <c r="H2062" s="359"/>
      <c r="I2062" s="359"/>
      <c r="J2062" s="359"/>
      <c r="K2062" s="359"/>
      <c r="L2062" s="361"/>
      <c r="M2062" s="359"/>
      <c r="N2062" s="359"/>
      <c r="O2062" s="359"/>
      <c r="P2062" s="359"/>
      <c r="Q2062" s="359"/>
      <c r="R2062" s="359"/>
      <c r="S2062" s="359"/>
      <c r="T2062" s="359"/>
      <c r="U2062" s="359"/>
    </row>
    <row r="2063" ht="15.75" customHeight="1">
      <c r="A2063" s="226"/>
      <c r="B2063" s="359"/>
      <c r="C2063" s="359"/>
      <c r="D2063" s="359"/>
      <c r="E2063" s="359"/>
      <c r="F2063" s="360"/>
      <c r="G2063" s="360"/>
      <c r="H2063" s="359"/>
      <c r="I2063" s="359"/>
      <c r="J2063" s="359"/>
      <c r="K2063" s="359"/>
      <c r="L2063" s="361"/>
      <c r="M2063" s="359"/>
      <c r="N2063" s="359"/>
      <c r="O2063" s="359"/>
      <c r="P2063" s="359"/>
      <c r="Q2063" s="359"/>
      <c r="R2063" s="359"/>
      <c r="S2063" s="359"/>
      <c r="T2063" s="359"/>
      <c r="U2063" s="359"/>
    </row>
    <row r="2064" ht="15.75" customHeight="1">
      <c r="A2064" s="226"/>
      <c r="B2064" s="359"/>
      <c r="C2064" s="359"/>
      <c r="D2064" s="359"/>
      <c r="E2064" s="359"/>
      <c r="F2064" s="360"/>
      <c r="G2064" s="360"/>
      <c r="H2064" s="359"/>
      <c r="I2064" s="359"/>
      <c r="J2064" s="359"/>
      <c r="K2064" s="359"/>
      <c r="L2064" s="361"/>
      <c r="M2064" s="359"/>
      <c r="N2064" s="359"/>
      <c r="O2064" s="359"/>
      <c r="P2064" s="359"/>
      <c r="Q2064" s="359"/>
      <c r="R2064" s="359"/>
      <c r="S2064" s="359"/>
      <c r="T2064" s="359"/>
      <c r="U2064" s="359"/>
    </row>
    <row r="2065" ht="15.75" customHeight="1">
      <c r="A2065" s="226"/>
      <c r="B2065" s="359"/>
      <c r="C2065" s="359"/>
      <c r="D2065" s="359"/>
      <c r="E2065" s="359"/>
      <c r="F2065" s="360"/>
      <c r="G2065" s="360"/>
      <c r="H2065" s="359"/>
      <c r="I2065" s="359"/>
      <c r="J2065" s="359"/>
      <c r="K2065" s="359"/>
      <c r="L2065" s="361"/>
      <c r="M2065" s="359"/>
      <c r="N2065" s="359"/>
      <c r="O2065" s="359"/>
      <c r="P2065" s="359"/>
      <c r="Q2065" s="359"/>
      <c r="R2065" s="359"/>
      <c r="S2065" s="359"/>
      <c r="T2065" s="359"/>
      <c r="U2065" s="359"/>
    </row>
    <row r="2066" ht="15.75" customHeight="1">
      <c r="A2066" s="226"/>
      <c r="B2066" s="359"/>
      <c r="C2066" s="359"/>
      <c r="D2066" s="359"/>
      <c r="E2066" s="359"/>
      <c r="F2066" s="360"/>
      <c r="G2066" s="360"/>
      <c r="H2066" s="359"/>
      <c r="I2066" s="359"/>
      <c r="J2066" s="359"/>
      <c r="K2066" s="359"/>
      <c r="L2066" s="361"/>
      <c r="M2066" s="359"/>
      <c r="N2066" s="359"/>
      <c r="O2066" s="359"/>
      <c r="P2066" s="359"/>
      <c r="Q2066" s="359"/>
      <c r="R2066" s="359"/>
      <c r="S2066" s="359"/>
      <c r="T2066" s="359"/>
      <c r="U2066" s="359"/>
    </row>
    <row r="2067" ht="15.75" customHeight="1">
      <c r="A2067" s="226"/>
      <c r="B2067" s="359"/>
      <c r="C2067" s="359"/>
      <c r="D2067" s="359"/>
      <c r="E2067" s="359"/>
      <c r="F2067" s="360"/>
      <c r="G2067" s="360"/>
      <c r="H2067" s="359"/>
      <c r="I2067" s="359"/>
      <c r="J2067" s="359"/>
      <c r="K2067" s="359"/>
      <c r="L2067" s="361"/>
      <c r="M2067" s="359"/>
      <c r="N2067" s="359"/>
      <c r="O2067" s="359"/>
      <c r="P2067" s="359"/>
      <c r="Q2067" s="359"/>
      <c r="R2067" s="359"/>
      <c r="S2067" s="359"/>
      <c r="T2067" s="359"/>
      <c r="U2067" s="359"/>
    </row>
    <row r="2068" ht="15.75" customHeight="1">
      <c r="A2068" s="226"/>
      <c r="B2068" s="359"/>
      <c r="C2068" s="359"/>
      <c r="D2068" s="359"/>
      <c r="E2068" s="359"/>
      <c r="F2068" s="360"/>
      <c r="G2068" s="360"/>
      <c r="H2068" s="359"/>
      <c r="I2068" s="359"/>
      <c r="J2068" s="359"/>
      <c r="K2068" s="359"/>
      <c r="L2068" s="361"/>
      <c r="M2068" s="359"/>
      <c r="N2068" s="359"/>
      <c r="O2068" s="359"/>
      <c r="P2068" s="359"/>
      <c r="Q2068" s="359"/>
      <c r="R2068" s="359"/>
      <c r="S2068" s="359"/>
      <c r="T2068" s="359"/>
      <c r="U2068" s="359"/>
    </row>
    <row r="2069" ht="15.75" customHeight="1">
      <c r="A2069" s="226"/>
      <c r="B2069" s="359"/>
      <c r="C2069" s="359"/>
      <c r="D2069" s="359"/>
      <c r="E2069" s="359"/>
      <c r="F2069" s="360"/>
      <c r="G2069" s="360"/>
      <c r="H2069" s="359"/>
      <c r="I2069" s="359"/>
      <c r="J2069" s="359"/>
      <c r="K2069" s="359"/>
      <c r="L2069" s="361"/>
      <c r="M2069" s="359"/>
      <c r="N2069" s="359"/>
      <c r="O2069" s="359"/>
      <c r="P2069" s="359"/>
      <c r="Q2069" s="359"/>
      <c r="R2069" s="359"/>
      <c r="S2069" s="359"/>
      <c r="T2069" s="359"/>
      <c r="U2069" s="359"/>
    </row>
    <row r="2070" ht="15.75" customHeight="1">
      <c r="A2070" s="226"/>
      <c r="B2070" s="359"/>
      <c r="C2070" s="359"/>
      <c r="D2070" s="359"/>
      <c r="E2070" s="359"/>
      <c r="F2070" s="360"/>
      <c r="G2070" s="360"/>
      <c r="H2070" s="359"/>
      <c r="I2070" s="359"/>
      <c r="J2070" s="359"/>
      <c r="K2070" s="359"/>
      <c r="L2070" s="361"/>
      <c r="M2070" s="359"/>
      <c r="N2070" s="359"/>
      <c r="O2070" s="359"/>
      <c r="P2070" s="359"/>
      <c r="Q2070" s="359"/>
      <c r="R2070" s="359"/>
      <c r="S2070" s="359"/>
      <c r="T2070" s="359"/>
      <c r="U2070" s="359"/>
    </row>
    <row r="2071" ht="15.75" customHeight="1">
      <c r="A2071" s="226"/>
      <c r="B2071" s="359"/>
      <c r="C2071" s="359"/>
      <c r="D2071" s="359"/>
      <c r="E2071" s="359"/>
      <c r="F2071" s="360"/>
      <c r="G2071" s="360"/>
      <c r="H2071" s="359"/>
      <c r="I2071" s="359"/>
      <c r="J2071" s="359"/>
      <c r="K2071" s="359"/>
      <c r="L2071" s="361"/>
      <c r="M2071" s="359"/>
      <c r="N2071" s="359"/>
      <c r="O2071" s="359"/>
      <c r="P2071" s="359"/>
      <c r="Q2071" s="359"/>
      <c r="R2071" s="359"/>
      <c r="S2071" s="359"/>
      <c r="T2071" s="359"/>
      <c r="U2071" s="359"/>
    </row>
    <row r="2072" ht="15.75" customHeight="1">
      <c r="A2072" s="226"/>
      <c r="B2072" s="359"/>
      <c r="C2072" s="359"/>
      <c r="D2072" s="359"/>
      <c r="E2072" s="359"/>
      <c r="F2072" s="360"/>
      <c r="G2072" s="360"/>
      <c r="H2072" s="359"/>
      <c r="I2072" s="359"/>
      <c r="J2072" s="359"/>
      <c r="K2072" s="359"/>
      <c r="L2072" s="361"/>
      <c r="M2072" s="359"/>
      <c r="N2072" s="359"/>
      <c r="O2072" s="359"/>
      <c r="P2072" s="359"/>
      <c r="Q2072" s="359"/>
      <c r="R2072" s="359"/>
      <c r="S2072" s="359"/>
      <c r="T2072" s="359"/>
      <c r="U2072" s="359"/>
    </row>
    <row r="2073" ht="15.75" customHeight="1">
      <c r="A2073" s="226"/>
      <c r="B2073" s="359"/>
      <c r="C2073" s="359"/>
      <c r="D2073" s="359"/>
      <c r="E2073" s="359"/>
      <c r="F2073" s="360"/>
      <c r="G2073" s="360"/>
      <c r="H2073" s="359"/>
      <c r="I2073" s="359"/>
      <c r="J2073" s="359"/>
      <c r="K2073" s="359"/>
      <c r="L2073" s="361"/>
      <c r="M2073" s="359"/>
      <c r="N2073" s="359"/>
      <c r="O2073" s="359"/>
      <c r="P2073" s="359"/>
      <c r="Q2073" s="359"/>
      <c r="R2073" s="359"/>
      <c r="S2073" s="359"/>
      <c r="T2073" s="359"/>
      <c r="U2073" s="359"/>
    </row>
    <row r="2074" ht="15.75" customHeight="1">
      <c r="A2074" s="226"/>
      <c r="B2074" s="359"/>
      <c r="C2074" s="359"/>
      <c r="D2074" s="359"/>
      <c r="E2074" s="359"/>
      <c r="F2074" s="360"/>
      <c r="G2074" s="360"/>
      <c r="H2074" s="359"/>
      <c r="I2074" s="359"/>
      <c r="J2074" s="359"/>
      <c r="K2074" s="359"/>
      <c r="L2074" s="361"/>
      <c r="M2074" s="359"/>
      <c r="N2074" s="359"/>
      <c r="O2074" s="359"/>
      <c r="P2074" s="359"/>
      <c r="Q2074" s="359"/>
      <c r="R2074" s="359"/>
      <c r="S2074" s="359"/>
      <c r="T2074" s="359"/>
      <c r="U2074" s="359"/>
    </row>
    <row r="2075" ht="15.75" customHeight="1">
      <c r="A2075" s="226"/>
      <c r="B2075" s="359"/>
      <c r="C2075" s="359"/>
      <c r="D2075" s="359"/>
      <c r="E2075" s="359"/>
      <c r="F2075" s="360"/>
      <c r="G2075" s="360"/>
      <c r="H2075" s="359"/>
      <c r="I2075" s="359"/>
      <c r="J2075" s="359"/>
      <c r="K2075" s="359"/>
      <c r="L2075" s="361"/>
      <c r="M2075" s="359"/>
      <c r="N2075" s="359"/>
      <c r="O2075" s="359"/>
      <c r="P2075" s="359"/>
      <c r="Q2075" s="359"/>
      <c r="R2075" s="359"/>
      <c r="S2075" s="359"/>
      <c r="T2075" s="359"/>
      <c r="U2075" s="359"/>
    </row>
    <row r="2076" ht="15.75" customHeight="1">
      <c r="A2076" s="226"/>
      <c r="B2076" s="359"/>
      <c r="C2076" s="359"/>
      <c r="D2076" s="359"/>
      <c r="E2076" s="359"/>
      <c r="F2076" s="360"/>
      <c r="G2076" s="360"/>
      <c r="H2076" s="359"/>
      <c r="I2076" s="359"/>
      <c r="J2076" s="359"/>
      <c r="K2076" s="359"/>
      <c r="L2076" s="361"/>
      <c r="M2076" s="359"/>
      <c r="N2076" s="359"/>
      <c r="O2076" s="359"/>
      <c r="P2076" s="359"/>
      <c r="Q2076" s="359"/>
      <c r="R2076" s="359"/>
      <c r="S2076" s="359"/>
      <c r="T2076" s="359"/>
      <c r="U2076" s="359"/>
    </row>
    <row r="2077" ht="15.75" customHeight="1">
      <c r="A2077" s="226"/>
      <c r="B2077" s="359"/>
      <c r="C2077" s="359"/>
      <c r="D2077" s="359"/>
      <c r="E2077" s="359"/>
      <c r="F2077" s="360"/>
      <c r="G2077" s="360"/>
      <c r="H2077" s="359"/>
      <c r="I2077" s="359"/>
      <c r="J2077" s="359"/>
      <c r="K2077" s="359"/>
      <c r="L2077" s="361"/>
      <c r="M2077" s="359"/>
      <c r="N2077" s="359"/>
      <c r="O2077" s="359"/>
      <c r="P2077" s="359"/>
      <c r="Q2077" s="359"/>
      <c r="R2077" s="359"/>
      <c r="S2077" s="359"/>
      <c r="T2077" s="359"/>
      <c r="U2077" s="359"/>
    </row>
    <row r="2078" ht="15.75" customHeight="1">
      <c r="A2078" s="226"/>
      <c r="B2078" s="359"/>
      <c r="C2078" s="359"/>
      <c r="D2078" s="359"/>
      <c r="E2078" s="359"/>
      <c r="F2078" s="360"/>
      <c r="G2078" s="360"/>
      <c r="H2078" s="359"/>
      <c r="I2078" s="359"/>
      <c r="J2078" s="359"/>
      <c r="K2078" s="359"/>
      <c r="L2078" s="361"/>
      <c r="M2078" s="359"/>
      <c r="N2078" s="359"/>
      <c r="O2078" s="359"/>
      <c r="P2078" s="359"/>
      <c r="Q2078" s="359"/>
      <c r="R2078" s="359"/>
      <c r="S2078" s="359"/>
      <c r="T2078" s="359"/>
      <c r="U2078" s="359"/>
    </row>
    <row r="2079" ht="15.75" customHeight="1">
      <c r="A2079" s="226"/>
      <c r="B2079" s="359"/>
      <c r="C2079" s="359"/>
      <c r="D2079" s="359"/>
      <c r="E2079" s="359"/>
      <c r="F2079" s="360"/>
      <c r="G2079" s="360"/>
      <c r="H2079" s="359"/>
      <c r="I2079" s="359"/>
      <c r="J2079" s="359"/>
      <c r="K2079" s="359"/>
      <c r="L2079" s="361"/>
      <c r="M2079" s="359"/>
      <c r="N2079" s="359"/>
      <c r="O2079" s="359"/>
      <c r="P2079" s="359"/>
      <c r="Q2079" s="359"/>
      <c r="R2079" s="359"/>
      <c r="S2079" s="359"/>
      <c r="T2079" s="359"/>
      <c r="U2079" s="359"/>
    </row>
    <row r="2080" ht="15.75" customHeight="1">
      <c r="A2080" s="226"/>
      <c r="B2080" s="359"/>
      <c r="C2080" s="359"/>
      <c r="D2080" s="359"/>
      <c r="E2080" s="359"/>
      <c r="F2080" s="360"/>
      <c r="G2080" s="360"/>
      <c r="H2080" s="359"/>
      <c r="I2080" s="359"/>
      <c r="J2080" s="359"/>
      <c r="K2080" s="359"/>
      <c r="L2080" s="361"/>
      <c r="M2080" s="359"/>
      <c r="N2080" s="359"/>
      <c r="O2080" s="359"/>
      <c r="P2080" s="359"/>
      <c r="Q2080" s="359"/>
      <c r="R2080" s="359"/>
      <c r="S2080" s="359"/>
      <c r="T2080" s="359"/>
      <c r="U2080" s="359"/>
    </row>
    <row r="2081" ht="15.75" customHeight="1">
      <c r="A2081" s="226"/>
      <c r="B2081" s="359"/>
      <c r="C2081" s="359"/>
      <c r="D2081" s="359"/>
      <c r="E2081" s="359"/>
      <c r="F2081" s="360"/>
      <c r="G2081" s="360"/>
      <c r="H2081" s="359"/>
      <c r="I2081" s="359"/>
      <c r="J2081" s="359"/>
      <c r="K2081" s="359"/>
      <c r="L2081" s="361"/>
      <c r="M2081" s="359"/>
      <c r="N2081" s="359"/>
      <c r="O2081" s="359"/>
      <c r="P2081" s="359"/>
      <c r="Q2081" s="359"/>
      <c r="R2081" s="359"/>
      <c r="S2081" s="359"/>
      <c r="T2081" s="359"/>
      <c r="U2081" s="359"/>
    </row>
    <row r="2082" ht="15.75" customHeight="1">
      <c r="A2082" s="226"/>
      <c r="B2082" s="359"/>
      <c r="C2082" s="359"/>
      <c r="D2082" s="359"/>
      <c r="E2082" s="359"/>
      <c r="F2082" s="360"/>
      <c r="G2082" s="360"/>
      <c r="H2082" s="359"/>
      <c r="I2082" s="359"/>
      <c r="J2082" s="359"/>
      <c r="K2082" s="359"/>
      <c r="L2082" s="361"/>
      <c r="M2082" s="359"/>
      <c r="N2082" s="359"/>
      <c r="O2082" s="359"/>
      <c r="P2082" s="359"/>
      <c r="Q2082" s="359"/>
      <c r="R2082" s="359"/>
      <c r="S2082" s="359"/>
      <c r="T2082" s="359"/>
      <c r="U2082" s="359"/>
    </row>
    <row r="2083" ht="15.75" customHeight="1">
      <c r="A2083" s="226"/>
      <c r="B2083" s="359"/>
      <c r="C2083" s="359"/>
      <c r="D2083" s="359"/>
      <c r="E2083" s="359"/>
      <c r="F2083" s="360"/>
      <c r="G2083" s="360"/>
      <c r="H2083" s="359"/>
      <c r="I2083" s="359"/>
      <c r="J2083" s="359"/>
      <c r="K2083" s="359"/>
      <c r="L2083" s="361"/>
      <c r="M2083" s="359"/>
      <c r="N2083" s="359"/>
      <c r="O2083" s="359"/>
      <c r="P2083" s="359"/>
      <c r="Q2083" s="359"/>
      <c r="R2083" s="359"/>
      <c r="S2083" s="359"/>
      <c r="T2083" s="359"/>
      <c r="U2083" s="359"/>
    </row>
    <row r="2084" ht="15.75" customHeight="1">
      <c r="A2084" s="226"/>
      <c r="B2084" s="359"/>
      <c r="C2084" s="359"/>
      <c r="D2084" s="359"/>
      <c r="E2084" s="359"/>
      <c r="F2084" s="360"/>
      <c r="G2084" s="360"/>
      <c r="H2084" s="359"/>
      <c r="I2084" s="359"/>
      <c r="J2084" s="359"/>
      <c r="K2084" s="359"/>
      <c r="L2084" s="361"/>
      <c r="M2084" s="359"/>
      <c r="N2084" s="359"/>
      <c r="O2084" s="359"/>
      <c r="P2084" s="359"/>
      <c r="Q2084" s="359"/>
      <c r="R2084" s="359"/>
      <c r="S2084" s="359"/>
      <c r="T2084" s="359"/>
      <c r="U2084" s="359"/>
    </row>
    <row r="2085" ht="15.75" customHeight="1">
      <c r="A2085" s="226"/>
      <c r="B2085" s="359"/>
      <c r="C2085" s="359"/>
      <c r="D2085" s="359"/>
      <c r="E2085" s="359"/>
      <c r="F2085" s="360"/>
      <c r="G2085" s="360"/>
      <c r="H2085" s="359"/>
      <c r="I2085" s="359"/>
      <c r="J2085" s="359"/>
      <c r="K2085" s="359"/>
      <c r="L2085" s="361"/>
      <c r="M2085" s="359"/>
      <c r="N2085" s="359"/>
      <c r="O2085" s="359"/>
      <c r="P2085" s="359"/>
      <c r="Q2085" s="359"/>
      <c r="R2085" s="359"/>
      <c r="S2085" s="359"/>
      <c r="T2085" s="359"/>
      <c r="U2085" s="359"/>
    </row>
    <row r="2086" ht="15.75" customHeight="1">
      <c r="A2086" s="226"/>
      <c r="B2086" s="359"/>
      <c r="C2086" s="359"/>
      <c r="D2086" s="359"/>
      <c r="E2086" s="359"/>
      <c r="F2086" s="360"/>
      <c r="G2086" s="360"/>
      <c r="H2086" s="359"/>
      <c r="I2086" s="359"/>
      <c r="J2086" s="359"/>
      <c r="K2086" s="359"/>
      <c r="L2086" s="361"/>
      <c r="M2086" s="359"/>
      <c r="N2086" s="359"/>
      <c r="O2086" s="359"/>
      <c r="P2086" s="359"/>
      <c r="Q2086" s="359"/>
      <c r="R2086" s="359"/>
      <c r="S2086" s="359"/>
      <c r="T2086" s="359"/>
      <c r="U2086" s="359"/>
    </row>
    <row r="2087" ht="15.75" customHeight="1">
      <c r="A2087" s="226"/>
      <c r="B2087" s="359"/>
      <c r="C2087" s="359"/>
      <c r="D2087" s="359"/>
      <c r="E2087" s="359"/>
      <c r="F2087" s="360"/>
      <c r="G2087" s="360"/>
      <c r="H2087" s="359"/>
      <c r="I2087" s="359"/>
      <c r="J2087" s="359"/>
      <c r="K2087" s="359"/>
      <c r="L2087" s="361"/>
      <c r="M2087" s="359"/>
      <c r="N2087" s="359"/>
      <c r="O2087" s="359"/>
      <c r="P2087" s="359"/>
      <c r="Q2087" s="359"/>
      <c r="R2087" s="359"/>
      <c r="S2087" s="359"/>
      <c r="T2087" s="359"/>
      <c r="U2087" s="359"/>
    </row>
    <row r="2088" ht="15.75" customHeight="1">
      <c r="A2088" s="226"/>
      <c r="B2088" s="359"/>
      <c r="C2088" s="359"/>
      <c r="D2088" s="359"/>
      <c r="E2088" s="359"/>
      <c r="F2088" s="360"/>
      <c r="G2088" s="360"/>
      <c r="H2088" s="359"/>
      <c r="I2088" s="359"/>
      <c r="J2088" s="359"/>
      <c r="K2088" s="359"/>
      <c r="L2088" s="361"/>
      <c r="M2088" s="359"/>
      <c r="N2088" s="359"/>
      <c r="O2088" s="359"/>
      <c r="P2088" s="359"/>
      <c r="Q2088" s="359"/>
      <c r="R2088" s="359"/>
      <c r="S2088" s="359"/>
      <c r="T2088" s="359"/>
      <c r="U2088" s="359"/>
    </row>
    <row r="2089" ht="15.75" customHeight="1">
      <c r="A2089" s="226"/>
      <c r="B2089" s="359"/>
      <c r="C2089" s="359"/>
      <c r="D2089" s="359"/>
      <c r="E2089" s="359"/>
      <c r="F2089" s="360"/>
      <c r="G2089" s="360"/>
      <c r="H2089" s="359"/>
      <c r="I2089" s="359"/>
      <c r="J2089" s="359"/>
      <c r="K2089" s="359"/>
      <c r="L2089" s="361"/>
      <c r="M2089" s="359"/>
      <c r="N2089" s="359"/>
      <c r="O2089" s="359"/>
      <c r="P2089" s="359"/>
      <c r="Q2089" s="359"/>
      <c r="R2089" s="359"/>
      <c r="S2089" s="359"/>
      <c r="T2089" s="359"/>
      <c r="U2089" s="359"/>
    </row>
    <row r="2090" ht="15.75" customHeight="1">
      <c r="A2090" s="226"/>
      <c r="B2090" s="359"/>
      <c r="C2090" s="359"/>
      <c r="D2090" s="359"/>
      <c r="E2090" s="359"/>
      <c r="F2090" s="360"/>
      <c r="G2090" s="360"/>
      <c r="H2090" s="359"/>
      <c r="I2090" s="359"/>
      <c r="J2090" s="359"/>
      <c r="K2090" s="359"/>
      <c r="L2090" s="361"/>
      <c r="M2090" s="359"/>
      <c r="N2090" s="359"/>
      <c r="O2090" s="359"/>
      <c r="P2090" s="359"/>
      <c r="Q2090" s="359"/>
      <c r="R2090" s="359"/>
      <c r="S2090" s="359"/>
      <c r="T2090" s="359"/>
      <c r="U2090" s="359"/>
    </row>
    <row r="2091" ht="15.75" customHeight="1">
      <c r="A2091" s="226"/>
      <c r="B2091" s="359"/>
      <c r="C2091" s="359"/>
      <c r="D2091" s="359"/>
      <c r="E2091" s="359"/>
      <c r="F2091" s="360"/>
      <c r="G2091" s="360"/>
      <c r="H2091" s="359"/>
      <c r="I2091" s="359"/>
      <c r="J2091" s="359"/>
      <c r="K2091" s="359"/>
      <c r="L2091" s="361"/>
      <c r="M2091" s="359"/>
      <c r="N2091" s="359"/>
      <c r="O2091" s="359"/>
      <c r="P2091" s="359"/>
      <c r="Q2091" s="359"/>
      <c r="R2091" s="359"/>
      <c r="S2091" s="359"/>
      <c r="T2091" s="359"/>
      <c r="U2091" s="359"/>
    </row>
    <row r="2092" ht="15.75" customHeight="1">
      <c r="A2092" s="226"/>
      <c r="B2092" s="359"/>
      <c r="C2092" s="359"/>
      <c r="D2092" s="359"/>
      <c r="E2092" s="359"/>
      <c r="F2092" s="360"/>
      <c r="G2092" s="360"/>
      <c r="H2092" s="359"/>
      <c r="I2092" s="359"/>
      <c r="J2092" s="359"/>
      <c r="K2092" s="359"/>
      <c r="L2092" s="361"/>
      <c r="M2092" s="359"/>
      <c r="N2092" s="359"/>
      <c r="O2092" s="359"/>
      <c r="P2092" s="359"/>
      <c r="Q2092" s="359"/>
      <c r="R2092" s="359"/>
      <c r="S2092" s="359"/>
      <c r="T2092" s="359"/>
      <c r="U2092" s="359"/>
    </row>
    <row r="2093" ht="15.75" customHeight="1">
      <c r="A2093" s="226"/>
      <c r="B2093" s="359"/>
      <c r="C2093" s="359"/>
      <c r="D2093" s="359"/>
      <c r="E2093" s="359"/>
      <c r="F2093" s="360"/>
      <c r="G2093" s="360"/>
      <c r="H2093" s="359"/>
      <c r="I2093" s="359"/>
      <c r="J2093" s="359"/>
      <c r="K2093" s="359"/>
      <c r="L2093" s="361"/>
      <c r="M2093" s="359"/>
      <c r="N2093" s="359"/>
      <c r="O2093" s="359"/>
      <c r="P2093" s="359"/>
      <c r="Q2093" s="359"/>
      <c r="R2093" s="359"/>
      <c r="S2093" s="359"/>
      <c r="T2093" s="359"/>
      <c r="U2093" s="359"/>
    </row>
    <row r="2094" ht="15.75" customHeight="1">
      <c r="A2094" s="226"/>
      <c r="B2094" s="359"/>
      <c r="C2094" s="359"/>
      <c r="D2094" s="359"/>
      <c r="E2094" s="359"/>
      <c r="F2094" s="360"/>
      <c r="G2094" s="360"/>
      <c r="H2094" s="359"/>
      <c r="I2094" s="359"/>
      <c r="J2094" s="359"/>
      <c r="K2094" s="359"/>
      <c r="L2094" s="361"/>
      <c r="M2094" s="359"/>
      <c r="N2094" s="359"/>
      <c r="O2094" s="359"/>
      <c r="P2094" s="359"/>
      <c r="Q2094" s="359"/>
      <c r="R2094" s="359"/>
      <c r="S2094" s="359"/>
      <c r="T2094" s="359"/>
      <c r="U2094" s="359"/>
    </row>
    <row r="2095" ht="15.75" customHeight="1">
      <c r="A2095" s="226"/>
      <c r="B2095" s="359"/>
      <c r="C2095" s="359"/>
      <c r="D2095" s="359"/>
      <c r="E2095" s="359"/>
      <c r="F2095" s="360"/>
      <c r="G2095" s="360"/>
      <c r="H2095" s="359"/>
      <c r="I2095" s="359"/>
      <c r="J2095" s="359"/>
      <c r="K2095" s="359"/>
      <c r="L2095" s="361"/>
      <c r="M2095" s="359"/>
      <c r="N2095" s="359"/>
      <c r="O2095" s="359"/>
      <c r="P2095" s="359"/>
      <c r="Q2095" s="359"/>
      <c r="R2095" s="359"/>
      <c r="S2095" s="359"/>
      <c r="T2095" s="359"/>
      <c r="U2095" s="359"/>
    </row>
    <row r="2096" ht="15.75" customHeight="1">
      <c r="A2096" s="226"/>
      <c r="B2096" s="359"/>
      <c r="C2096" s="359"/>
      <c r="D2096" s="359"/>
      <c r="E2096" s="359"/>
      <c r="F2096" s="360"/>
      <c r="G2096" s="360"/>
      <c r="H2096" s="359"/>
      <c r="I2096" s="359"/>
      <c r="J2096" s="359"/>
      <c r="K2096" s="359"/>
      <c r="L2096" s="361"/>
      <c r="M2096" s="359"/>
      <c r="N2096" s="359"/>
      <c r="O2096" s="359"/>
      <c r="P2096" s="359"/>
      <c r="Q2096" s="359"/>
      <c r="R2096" s="359"/>
      <c r="S2096" s="359"/>
      <c r="T2096" s="359"/>
      <c r="U2096" s="359"/>
    </row>
    <row r="2097" ht="15.75" customHeight="1">
      <c r="A2097" s="226"/>
      <c r="B2097" s="359"/>
      <c r="C2097" s="359"/>
      <c r="D2097" s="359"/>
      <c r="E2097" s="359"/>
      <c r="F2097" s="360"/>
      <c r="G2097" s="360"/>
      <c r="H2097" s="359"/>
      <c r="I2097" s="359"/>
      <c r="J2097" s="359"/>
      <c r="K2097" s="359"/>
      <c r="L2097" s="361"/>
      <c r="M2097" s="359"/>
      <c r="N2097" s="359"/>
      <c r="O2097" s="359"/>
      <c r="P2097" s="359"/>
      <c r="Q2097" s="359"/>
      <c r="R2097" s="359"/>
      <c r="S2097" s="359"/>
      <c r="T2097" s="359"/>
      <c r="U2097" s="359"/>
    </row>
    <row r="2098" ht="15.75" customHeight="1">
      <c r="A2098" s="226"/>
      <c r="B2098" s="359"/>
      <c r="C2098" s="359"/>
      <c r="D2098" s="359"/>
      <c r="E2098" s="359"/>
      <c r="F2098" s="360"/>
      <c r="G2098" s="360"/>
      <c r="H2098" s="359"/>
      <c r="I2098" s="359"/>
      <c r="J2098" s="359"/>
      <c r="K2098" s="359"/>
      <c r="L2098" s="361"/>
      <c r="M2098" s="359"/>
      <c r="N2098" s="359"/>
      <c r="O2098" s="359"/>
      <c r="P2098" s="359"/>
      <c r="Q2098" s="359"/>
      <c r="R2098" s="359"/>
      <c r="S2098" s="359"/>
      <c r="T2098" s="359"/>
      <c r="U2098" s="359"/>
    </row>
    <row r="2099" ht="15.75" customHeight="1">
      <c r="A2099" s="226"/>
      <c r="B2099" s="359"/>
      <c r="C2099" s="359"/>
      <c r="D2099" s="359"/>
      <c r="E2099" s="359"/>
      <c r="F2099" s="360"/>
      <c r="G2099" s="360"/>
      <c r="H2099" s="359"/>
      <c r="I2099" s="359"/>
      <c r="J2099" s="359"/>
      <c r="K2099" s="359"/>
      <c r="L2099" s="361"/>
      <c r="M2099" s="359"/>
      <c r="N2099" s="359"/>
      <c r="O2099" s="359"/>
      <c r="P2099" s="359"/>
      <c r="Q2099" s="359"/>
      <c r="R2099" s="359"/>
      <c r="S2099" s="359"/>
      <c r="T2099" s="359"/>
      <c r="U2099" s="359"/>
    </row>
    <row r="2100" ht="15.75" customHeight="1">
      <c r="A2100" s="226"/>
      <c r="B2100" s="359"/>
      <c r="C2100" s="359"/>
      <c r="D2100" s="359"/>
      <c r="E2100" s="359"/>
      <c r="F2100" s="360"/>
      <c r="G2100" s="360"/>
      <c r="H2100" s="359"/>
      <c r="I2100" s="359"/>
      <c r="J2100" s="359"/>
      <c r="K2100" s="359"/>
      <c r="L2100" s="361"/>
      <c r="M2100" s="359"/>
      <c r="N2100" s="359"/>
      <c r="O2100" s="359"/>
      <c r="P2100" s="359"/>
      <c r="Q2100" s="359"/>
      <c r="R2100" s="359"/>
      <c r="S2100" s="359"/>
      <c r="T2100" s="359"/>
      <c r="U2100" s="359"/>
    </row>
    <row r="2101" ht="15.75" customHeight="1">
      <c r="A2101" s="226"/>
      <c r="B2101" s="359"/>
      <c r="C2101" s="359"/>
      <c r="D2101" s="359"/>
      <c r="E2101" s="359"/>
      <c r="F2101" s="360"/>
      <c r="G2101" s="360"/>
      <c r="H2101" s="359"/>
      <c r="I2101" s="359"/>
      <c r="J2101" s="359"/>
      <c r="K2101" s="359"/>
      <c r="L2101" s="361"/>
      <c r="M2101" s="359"/>
      <c r="N2101" s="359"/>
      <c r="O2101" s="359"/>
      <c r="P2101" s="359"/>
      <c r="Q2101" s="359"/>
      <c r="R2101" s="359"/>
      <c r="S2101" s="359"/>
      <c r="T2101" s="359"/>
      <c r="U2101" s="359"/>
    </row>
    <row r="2102" ht="15.75" customHeight="1">
      <c r="A2102" s="226"/>
      <c r="B2102" s="359"/>
      <c r="C2102" s="359"/>
      <c r="D2102" s="359"/>
      <c r="E2102" s="359"/>
      <c r="F2102" s="360"/>
      <c r="G2102" s="360"/>
      <c r="H2102" s="359"/>
      <c r="I2102" s="359"/>
      <c r="J2102" s="359"/>
      <c r="K2102" s="359"/>
      <c r="L2102" s="361"/>
      <c r="M2102" s="359"/>
      <c r="N2102" s="359"/>
      <c r="O2102" s="359"/>
      <c r="P2102" s="359"/>
      <c r="Q2102" s="359"/>
      <c r="R2102" s="359"/>
      <c r="S2102" s="359"/>
      <c r="T2102" s="359"/>
      <c r="U2102" s="359"/>
    </row>
    <row r="2103" ht="15.75" customHeight="1">
      <c r="A2103" s="226"/>
      <c r="B2103" s="359"/>
      <c r="C2103" s="359"/>
      <c r="D2103" s="359"/>
      <c r="E2103" s="359"/>
      <c r="F2103" s="360"/>
      <c r="G2103" s="360"/>
      <c r="H2103" s="359"/>
      <c r="I2103" s="359"/>
      <c r="J2103" s="359"/>
      <c r="K2103" s="359"/>
      <c r="L2103" s="361"/>
      <c r="M2103" s="359"/>
      <c r="N2103" s="359"/>
      <c r="O2103" s="359"/>
      <c r="P2103" s="359"/>
      <c r="Q2103" s="359"/>
      <c r="R2103" s="359"/>
      <c r="S2103" s="359"/>
      <c r="T2103" s="359"/>
      <c r="U2103" s="359"/>
    </row>
    <row r="2104" ht="15.75" customHeight="1">
      <c r="A2104" s="226"/>
      <c r="B2104" s="359"/>
      <c r="C2104" s="359"/>
      <c r="D2104" s="359"/>
      <c r="E2104" s="359"/>
      <c r="F2104" s="360"/>
      <c r="G2104" s="360"/>
      <c r="H2104" s="359"/>
      <c r="I2104" s="359"/>
      <c r="J2104" s="359"/>
      <c r="K2104" s="359"/>
      <c r="L2104" s="361"/>
      <c r="M2104" s="359"/>
      <c r="N2104" s="359"/>
      <c r="O2104" s="359"/>
      <c r="P2104" s="359"/>
      <c r="Q2104" s="359"/>
      <c r="R2104" s="359"/>
      <c r="S2104" s="359"/>
      <c r="T2104" s="359"/>
      <c r="U2104" s="359"/>
    </row>
    <row r="2105" ht="15.75" customHeight="1">
      <c r="A2105" s="226"/>
      <c r="B2105" s="359"/>
      <c r="C2105" s="359"/>
      <c r="D2105" s="359"/>
      <c r="E2105" s="359"/>
      <c r="F2105" s="360"/>
      <c r="G2105" s="360"/>
      <c r="H2105" s="359"/>
      <c r="I2105" s="359"/>
      <c r="J2105" s="359"/>
      <c r="K2105" s="359"/>
      <c r="L2105" s="361"/>
      <c r="M2105" s="359"/>
      <c r="N2105" s="359"/>
      <c r="O2105" s="359"/>
      <c r="P2105" s="359"/>
      <c r="Q2105" s="359"/>
      <c r="R2105" s="359"/>
      <c r="S2105" s="359"/>
      <c r="T2105" s="359"/>
      <c r="U2105" s="359"/>
    </row>
    <row r="2106" ht="15.75" customHeight="1">
      <c r="A2106" s="226"/>
      <c r="B2106" s="359"/>
      <c r="C2106" s="359"/>
      <c r="D2106" s="359"/>
      <c r="E2106" s="359"/>
      <c r="F2106" s="360"/>
      <c r="G2106" s="360"/>
      <c r="H2106" s="359"/>
      <c r="I2106" s="359"/>
      <c r="J2106" s="359"/>
      <c r="K2106" s="359"/>
      <c r="L2106" s="361"/>
      <c r="M2106" s="359"/>
      <c r="N2106" s="359"/>
      <c r="O2106" s="359"/>
      <c r="P2106" s="359"/>
      <c r="Q2106" s="359"/>
      <c r="R2106" s="359"/>
      <c r="S2106" s="359"/>
      <c r="T2106" s="359"/>
      <c r="U2106" s="359"/>
    </row>
    <row r="2107" ht="15.75" customHeight="1">
      <c r="A2107" s="226"/>
      <c r="B2107" s="359"/>
      <c r="C2107" s="359"/>
      <c r="D2107" s="359"/>
      <c r="E2107" s="359"/>
      <c r="F2107" s="360"/>
      <c r="G2107" s="360"/>
      <c r="H2107" s="359"/>
      <c r="I2107" s="359"/>
      <c r="J2107" s="359"/>
      <c r="K2107" s="359"/>
      <c r="L2107" s="361"/>
      <c r="M2107" s="359"/>
      <c r="N2107" s="359"/>
      <c r="O2107" s="359"/>
      <c r="P2107" s="359"/>
      <c r="Q2107" s="359"/>
      <c r="R2107" s="359"/>
      <c r="S2107" s="359"/>
      <c r="T2107" s="359"/>
      <c r="U2107" s="359"/>
    </row>
    <row r="2108" ht="15.75" customHeight="1">
      <c r="A2108" s="226"/>
      <c r="B2108" s="359"/>
      <c r="C2108" s="359"/>
      <c r="D2108" s="359"/>
      <c r="E2108" s="359"/>
      <c r="F2108" s="360"/>
      <c r="G2108" s="360"/>
      <c r="H2108" s="359"/>
      <c r="I2108" s="359"/>
      <c r="J2108" s="359"/>
      <c r="K2108" s="359"/>
      <c r="L2108" s="361"/>
      <c r="M2108" s="359"/>
      <c r="N2108" s="359"/>
      <c r="O2108" s="359"/>
      <c r="P2108" s="359"/>
      <c r="Q2108" s="359"/>
      <c r="R2108" s="359"/>
      <c r="S2108" s="359"/>
      <c r="T2108" s="359"/>
      <c r="U2108" s="359"/>
    </row>
    <row r="2109" ht="15.75" customHeight="1">
      <c r="A2109" s="226"/>
      <c r="B2109" s="359"/>
      <c r="C2109" s="359"/>
      <c r="D2109" s="359"/>
      <c r="E2109" s="359"/>
      <c r="F2109" s="360"/>
      <c r="G2109" s="360"/>
      <c r="H2109" s="359"/>
      <c r="I2109" s="359"/>
      <c r="J2109" s="359"/>
      <c r="K2109" s="359"/>
      <c r="L2109" s="361"/>
      <c r="M2109" s="359"/>
      <c r="N2109" s="359"/>
      <c r="O2109" s="359"/>
      <c r="P2109" s="359"/>
      <c r="Q2109" s="359"/>
      <c r="R2109" s="359"/>
      <c r="S2109" s="359"/>
      <c r="T2109" s="359"/>
      <c r="U2109" s="359"/>
    </row>
    <row r="2110" ht="15.75" customHeight="1">
      <c r="A2110" s="226"/>
      <c r="B2110" s="359"/>
      <c r="C2110" s="359"/>
      <c r="D2110" s="359"/>
      <c r="E2110" s="359"/>
      <c r="F2110" s="360"/>
      <c r="G2110" s="360"/>
      <c r="H2110" s="359"/>
      <c r="I2110" s="359"/>
      <c r="J2110" s="359"/>
      <c r="K2110" s="359"/>
      <c r="L2110" s="361"/>
      <c r="M2110" s="359"/>
      <c r="N2110" s="359"/>
      <c r="O2110" s="359"/>
      <c r="P2110" s="359"/>
      <c r="Q2110" s="359"/>
      <c r="R2110" s="359"/>
      <c r="S2110" s="359"/>
      <c r="T2110" s="359"/>
      <c r="U2110" s="359"/>
    </row>
    <row r="2111" ht="15.75" customHeight="1">
      <c r="A2111" s="226"/>
      <c r="B2111" s="359"/>
      <c r="C2111" s="359"/>
      <c r="D2111" s="359"/>
      <c r="E2111" s="359"/>
      <c r="F2111" s="360"/>
      <c r="G2111" s="360"/>
      <c r="H2111" s="359"/>
      <c r="I2111" s="359"/>
      <c r="J2111" s="359"/>
      <c r="K2111" s="359"/>
      <c r="L2111" s="361"/>
      <c r="M2111" s="359"/>
      <c r="N2111" s="359"/>
      <c r="O2111" s="359"/>
      <c r="P2111" s="359"/>
      <c r="Q2111" s="359"/>
      <c r="R2111" s="359"/>
      <c r="S2111" s="359"/>
      <c r="T2111" s="359"/>
      <c r="U2111" s="359"/>
    </row>
    <row r="2112" ht="15.75" customHeight="1">
      <c r="A2112" s="226"/>
      <c r="B2112" s="359"/>
      <c r="C2112" s="359"/>
      <c r="D2112" s="359"/>
      <c r="E2112" s="359"/>
      <c r="F2112" s="360"/>
      <c r="G2112" s="360"/>
      <c r="H2112" s="359"/>
      <c r="I2112" s="359"/>
      <c r="J2112" s="359"/>
      <c r="K2112" s="359"/>
      <c r="L2112" s="361"/>
      <c r="M2112" s="359"/>
      <c r="N2112" s="359"/>
      <c r="O2112" s="359"/>
      <c r="P2112" s="359"/>
      <c r="Q2112" s="359"/>
      <c r="R2112" s="359"/>
      <c r="S2112" s="359"/>
      <c r="T2112" s="359"/>
      <c r="U2112" s="359"/>
    </row>
    <row r="2113" ht="15.75" customHeight="1">
      <c r="A2113" s="226"/>
      <c r="B2113" s="359"/>
      <c r="C2113" s="359"/>
      <c r="D2113" s="359"/>
      <c r="E2113" s="359"/>
      <c r="F2113" s="360"/>
      <c r="G2113" s="360"/>
      <c r="H2113" s="359"/>
      <c r="I2113" s="359"/>
      <c r="J2113" s="359"/>
      <c r="K2113" s="359"/>
      <c r="L2113" s="361"/>
      <c r="M2113" s="359"/>
      <c r="N2113" s="359"/>
      <c r="O2113" s="359"/>
      <c r="P2113" s="359"/>
      <c r="Q2113" s="359"/>
      <c r="R2113" s="359"/>
      <c r="S2113" s="359"/>
      <c r="T2113" s="359"/>
      <c r="U2113" s="359"/>
    </row>
    <row r="2114" ht="15.75" customHeight="1">
      <c r="A2114" s="226"/>
      <c r="B2114" s="359"/>
      <c r="C2114" s="359"/>
      <c r="D2114" s="359"/>
      <c r="E2114" s="359"/>
      <c r="F2114" s="360"/>
      <c r="G2114" s="360"/>
      <c r="H2114" s="359"/>
      <c r="I2114" s="359"/>
      <c r="J2114" s="359"/>
      <c r="K2114" s="359"/>
      <c r="L2114" s="361"/>
      <c r="M2114" s="359"/>
      <c r="N2114" s="359"/>
      <c r="O2114" s="359"/>
      <c r="P2114" s="359"/>
      <c r="Q2114" s="359"/>
      <c r="R2114" s="359"/>
      <c r="S2114" s="359"/>
      <c r="T2114" s="359"/>
      <c r="U2114" s="359"/>
    </row>
    <row r="2115" ht="15.75" customHeight="1">
      <c r="A2115" s="226"/>
      <c r="B2115" s="359"/>
      <c r="C2115" s="359"/>
      <c r="D2115" s="359"/>
      <c r="E2115" s="359"/>
      <c r="F2115" s="360"/>
      <c r="G2115" s="360"/>
      <c r="H2115" s="359"/>
      <c r="I2115" s="359"/>
      <c r="J2115" s="359"/>
      <c r="K2115" s="359"/>
      <c r="L2115" s="361"/>
      <c r="M2115" s="359"/>
      <c r="N2115" s="359"/>
      <c r="O2115" s="359"/>
      <c r="P2115" s="359"/>
      <c r="Q2115" s="359"/>
      <c r="R2115" s="359"/>
      <c r="S2115" s="359"/>
      <c r="T2115" s="359"/>
      <c r="U2115" s="359"/>
    </row>
    <row r="2116" ht="15.75" customHeight="1">
      <c r="A2116" s="226"/>
      <c r="B2116" s="359"/>
      <c r="C2116" s="359"/>
      <c r="D2116" s="359"/>
      <c r="E2116" s="359"/>
      <c r="F2116" s="360"/>
      <c r="G2116" s="360"/>
      <c r="H2116" s="359"/>
      <c r="I2116" s="359"/>
      <c r="J2116" s="359"/>
      <c r="K2116" s="359"/>
      <c r="L2116" s="361"/>
      <c r="M2116" s="359"/>
      <c r="N2116" s="359"/>
      <c r="O2116" s="359"/>
      <c r="P2116" s="359"/>
      <c r="Q2116" s="359"/>
      <c r="R2116" s="359"/>
      <c r="S2116" s="359"/>
      <c r="T2116" s="359"/>
      <c r="U2116" s="359"/>
    </row>
    <row r="2117" ht="15.75" customHeight="1">
      <c r="A2117" s="226"/>
      <c r="B2117" s="359"/>
      <c r="C2117" s="359"/>
      <c r="D2117" s="359"/>
      <c r="E2117" s="359"/>
      <c r="F2117" s="360"/>
      <c r="G2117" s="360"/>
      <c r="H2117" s="359"/>
      <c r="I2117" s="359"/>
      <c r="J2117" s="359"/>
      <c r="K2117" s="359"/>
      <c r="L2117" s="361"/>
      <c r="M2117" s="359"/>
      <c r="N2117" s="359"/>
      <c r="O2117" s="359"/>
      <c r="P2117" s="359"/>
      <c r="Q2117" s="359"/>
      <c r="R2117" s="359"/>
      <c r="S2117" s="359"/>
      <c r="T2117" s="359"/>
      <c r="U2117" s="359"/>
    </row>
    <row r="2118" ht="15.75" customHeight="1">
      <c r="A2118" s="226"/>
      <c r="B2118" s="359"/>
      <c r="C2118" s="359"/>
      <c r="D2118" s="359"/>
      <c r="E2118" s="359"/>
      <c r="F2118" s="360"/>
      <c r="G2118" s="360"/>
      <c r="H2118" s="359"/>
      <c r="I2118" s="359"/>
      <c r="J2118" s="359"/>
      <c r="K2118" s="359"/>
      <c r="L2118" s="361"/>
      <c r="M2118" s="359"/>
      <c r="N2118" s="359"/>
      <c r="O2118" s="359"/>
      <c r="P2118" s="359"/>
      <c r="Q2118" s="359"/>
      <c r="R2118" s="359"/>
      <c r="S2118" s="359"/>
      <c r="T2118" s="359"/>
      <c r="U2118" s="359"/>
    </row>
    <row r="2119" ht="15.75" customHeight="1">
      <c r="A2119" s="226"/>
      <c r="B2119" s="359"/>
      <c r="C2119" s="359"/>
      <c r="D2119" s="359"/>
      <c r="E2119" s="359"/>
      <c r="F2119" s="360"/>
      <c r="G2119" s="360"/>
      <c r="H2119" s="359"/>
      <c r="I2119" s="359"/>
      <c r="J2119" s="359"/>
      <c r="K2119" s="359"/>
      <c r="L2119" s="361"/>
      <c r="M2119" s="359"/>
      <c r="N2119" s="359"/>
      <c r="O2119" s="359"/>
      <c r="P2119" s="359"/>
      <c r="Q2119" s="359"/>
      <c r="R2119" s="359"/>
      <c r="S2119" s="359"/>
      <c r="T2119" s="359"/>
      <c r="U2119" s="359"/>
    </row>
    <row r="2120" ht="15.75" customHeight="1">
      <c r="A2120" s="226"/>
      <c r="B2120" s="359"/>
      <c r="C2120" s="359"/>
      <c r="D2120" s="359"/>
      <c r="E2120" s="359"/>
      <c r="F2120" s="360"/>
      <c r="G2120" s="360"/>
      <c r="H2120" s="359"/>
      <c r="I2120" s="359"/>
      <c r="J2120" s="359"/>
      <c r="K2120" s="359"/>
      <c r="L2120" s="361"/>
      <c r="M2120" s="359"/>
      <c r="N2120" s="359"/>
      <c r="O2120" s="359"/>
      <c r="P2120" s="359"/>
      <c r="Q2120" s="359"/>
      <c r="R2120" s="359"/>
      <c r="S2120" s="359"/>
      <c r="T2120" s="359"/>
      <c r="U2120" s="359"/>
    </row>
    <row r="2121" ht="15.75" customHeight="1">
      <c r="A2121" s="226"/>
      <c r="B2121" s="359"/>
      <c r="C2121" s="359"/>
      <c r="D2121" s="359"/>
      <c r="E2121" s="359"/>
      <c r="F2121" s="360"/>
      <c r="G2121" s="360"/>
      <c r="H2121" s="359"/>
      <c r="I2121" s="359"/>
      <c r="J2121" s="359"/>
      <c r="K2121" s="359"/>
      <c r="L2121" s="361"/>
      <c r="M2121" s="359"/>
      <c r="N2121" s="359"/>
      <c r="O2121" s="359"/>
      <c r="P2121" s="359"/>
      <c r="Q2121" s="359"/>
      <c r="R2121" s="359"/>
      <c r="S2121" s="359"/>
      <c r="T2121" s="359"/>
      <c r="U2121" s="359"/>
    </row>
    <row r="2122" ht="15.75" customHeight="1">
      <c r="A2122" s="226"/>
      <c r="B2122" s="359"/>
      <c r="C2122" s="359"/>
      <c r="D2122" s="359"/>
      <c r="E2122" s="359"/>
      <c r="F2122" s="360"/>
      <c r="G2122" s="360"/>
      <c r="H2122" s="359"/>
      <c r="I2122" s="359"/>
      <c r="J2122" s="359"/>
      <c r="K2122" s="359"/>
      <c r="L2122" s="361"/>
      <c r="M2122" s="359"/>
      <c r="N2122" s="359"/>
      <c r="O2122" s="359"/>
      <c r="P2122" s="359"/>
      <c r="Q2122" s="359"/>
      <c r="R2122" s="359"/>
      <c r="S2122" s="359"/>
      <c r="T2122" s="359"/>
      <c r="U2122" s="359"/>
    </row>
    <row r="2123" ht="15.75" customHeight="1">
      <c r="A2123" s="226"/>
      <c r="B2123" s="359"/>
      <c r="C2123" s="359"/>
      <c r="D2123" s="359"/>
      <c r="E2123" s="359"/>
      <c r="F2123" s="360"/>
      <c r="G2123" s="360"/>
      <c r="H2123" s="359"/>
      <c r="I2123" s="359"/>
      <c r="J2123" s="359"/>
      <c r="K2123" s="359"/>
      <c r="L2123" s="361"/>
      <c r="M2123" s="359"/>
      <c r="N2123" s="359"/>
      <c r="O2123" s="359"/>
      <c r="P2123" s="359"/>
      <c r="Q2123" s="359"/>
      <c r="R2123" s="359"/>
      <c r="S2123" s="359"/>
      <c r="T2123" s="359"/>
      <c r="U2123" s="359"/>
    </row>
    <row r="2124" ht="15.75" customHeight="1">
      <c r="A2124" s="226"/>
      <c r="B2124" s="359"/>
      <c r="C2124" s="359"/>
      <c r="D2124" s="359"/>
      <c r="E2124" s="359"/>
      <c r="F2124" s="360"/>
      <c r="G2124" s="360"/>
      <c r="H2124" s="359"/>
      <c r="I2124" s="359"/>
      <c r="J2124" s="359"/>
      <c r="K2124" s="359"/>
      <c r="L2124" s="361"/>
      <c r="M2124" s="359"/>
      <c r="N2124" s="359"/>
      <c r="O2124" s="359"/>
      <c r="P2124" s="359"/>
      <c r="Q2124" s="359"/>
      <c r="R2124" s="359"/>
      <c r="S2124" s="359"/>
      <c r="T2124" s="359"/>
      <c r="U2124" s="359"/>
    </row>
    <row r="2125" ht="15.75" customHeight="1">
      <c r="A2125" s="226"/>
      <c r="B2125" s="359"/>
      <c r="C2125" s="359"/>
      <c r="D2125" s="359"/>
      <c r="E2125" s="359"/>
      <c r="F2125" s="360"/>
      <c r="G2125" s="360"/>
      <c r="H2125" s="359"/>
      <c r="I2125" s="359"/>
      <c r="J2125" s="359"/>
      <c r="K2125" s="359"/>
      <c r="L2125" s="361"/>
      <c r="M2125" s="359"/>
      <c r="N2125" s="359"/>
      <c r="O2125" s="359"/>
      <c r="P2125" s="359"/>
      <c r="Q2125" s="359"/>
      <c r="R2125" s="359"/>
      <c r="S2125" s="359"/>
      <c r="T2125" s="359"/>
      <c r="U2125" s="359"/>
    </row>
    <row r="2126" ht="15.75" customHeight="1">
      <c r="A2126" s="226"/>
      <c r="B2126" s="359"/>
      <c r="C2126" s="359"/>
      <c r="D2126" s="359"/>
      <c r="E2126" s="359"/>
      <c r="F2126" s="360"/>
      <c r="G2126" s="360"/>
      <c r="H2126" s="359"/>
      <c r="I2126" s="359"/>
      <c r="J2126" s="359"/>
      <c r="K2126" s="359"/>
      <c r="L2126" s="361"/>
      <c r="M2126" s="359"/>
      <c r="N2126" s="359"/>
      <c r="O2126" s="359"/>
      <c r="P2126" s="359"/>
      <c r="Q2126" s="359"/>
      <c r="R2126" s="359"/>
      <c r="S2126" s="359"/>
      <c r="T2126" s="359"/>
      <c r="U2126" s="359"/>
    </row>
    <row r="2127" ht="15.75" customHeight="1">
      <c r="A2127" s="226"/>
      <c r="B2127" s="359"/>
      <c r="C2127" s="359"/>
      <c r="D2127" s="359"/>
      <c r="E2127" s="359"/>
      <c r="F2127" s="360"/>
      <c r="G2127" s="360"/>
      <c r="H2127" s="359"/>
      <c r="I2127" s="359"/>
      <c r="J2127" s="359"/>
      <c r="K2127" s="359"/>
      <c r="L2127" s="361"/>
      <c r="M2127" s="359"/>
      <c r="N2127" s="359"/>
      <c r="O2127" s="359"/>
      <c r="P2127" s="359"/>
      <c r="Q2127" s="359"/>
      <c r="R2127" s="359"/>
      <c r="S2127" s="359"/>
      <c r="T2127" s="359"/>
      <c r="U2127" s="359"/>
    </row>
    <row r="2128" ht="15.75" customHeight="1">
      <c r="A2128" s="226"/>
      <c r="B2128" s="359"/>
      <c r="C2128" s="359"/>
      <c r="D2128" s="359"/>
      <c r="E2128" s="359"/>
      <c r="F2128" s="360"/>
      <c r="G2128" s="360"/>
      <c r="H2128" s="359"/>
      <c r="I2128" s="359"/>
      <c r="J2128" s="359"/>
      <c r="K2128" s="359"/>
      <c r="L2128" s="361"/>
      <c r="M2128" s="359"/>
      <c r="N2128" s="359"/>
      <c r="O2128" s="359"/>
      <c r="P2128" s="359"/>
      <c r="Q2128" s="359"/>
      <c r="R2128" s="359"/>
      <c r="S2128" s="359"/>
      <c r="T2128" s="359"/>
      <c r="U2128" s="359"/>
    </row>
    <row r="2129" ht="15.75" customHeight="1">
      <c r="A2129" s="226"/>
      <c r="B2129" s="359"/>
      <c r="C2129" s="359"/>
      <c r="D2129" s="359"/>
      <c r="E2129" s="359"/>
      <c r="F2129" s="360"/>
      <c r="G2129" s="360"/>
      <c r="H2129" s="359"/>
      <c r="I2129" s="359"/>
      <c r="J2129" s="359"/>
      <c r="K2129" s="359"/>
      <c r="L2129" s="361"/>
      <c r="M2129" s="359"/>
      <c r="N2129" s="359"/>
      <c r="O2129" s="359"/>
      <c r="P2129" s="359"/>
      <c r="Q2129" s="359"/>
      <c r="R2129" s="359"/>
      <c r="S2129" s="359"/>
      <c r="T2129" s="359"/>
      <c r="U2129" s="359"/>
    </row>
    <row r="2130" ht="15.75" customHeight="1">
      <c r="A2130" s="226"/>
      <c r="B2130" s="359"/>
      <c r="C2130" s="359"/>
      <c r="D2130" s="359"/>
      <c r="E2130" s="359"/>
      <c r="F2130" s="360"/>
      <c r="G2130" s="360"/>
      <c r="H2130" s="359"/>
      <c r="I2130" s="359"/>
      <c r="J2130" s="359"/>
      <c r="K2130" s="359"/>
      <c r="L2130" s="361"/>
      <c r="M2130" s="359"/>
      <c r="N2130" s="359"/>
      <c r="O2130" s="359"/>
      <c r="P2130" s="359"/>
      <c r="Q2130" s="359"/>
      <c r="R2130" s="359"/>
      <c r="S2130" s="359"/>
      <c r="T2130" s="359"/>
      <c r="U2130" s="359"/>
    </row>
    <row r="2131" ht="15.75" customHeight="1">
      <c r="A2131" s="226"/>
      <c r="B2131" s="359"/>
      <c r="C2131" s="359"/>
      <c r="D2131" s="359"/>
      <c r="E2131" s="359"/>
      <c r="F2131" s="360"/>
      <c r="G2131" s="360"/>
      <c r="H2131" s="359"/>
      <c r="I2131" s="359"/>
      <c r="J2131" s="359"/>
      <c r="K2131" s="359"/>
      <c r="L2131" s="361"/>
      <c r="M2131" s="359"/>
      <c r="N2131" s="359"/>
      <c r="O2131" s="359"/>
      <c r="P2131" s="359"/>
      <c r="Q2131" s="359"/>
      <c r="R2131" s="359"/>
      <c r="S2131" s="359"/>
      <c r="T2131" s="359"/>
      <c r="U2131" s="359"/>
    </row>
    <row r="2132" ht="15.75" customHeight="1">
      <c r="A2132" s="226"/>
      <c r="B2132" s="359"/>
      <c r="C2132" s="359"/>
      <c r="D2132" s="359"/>
      <c r="E2132" s="359"/>
      <c r="F2132" s="360"/>
      <c r="G2132" s="360"/>
      <c r="H2132" s="359"/>
      <c r="I2132" s="359"/>
      <c r="J2132" s="359"/>
      <c r="K2132" s="359"/>
      <c r="L2132" s="361"/>
      <c r="M2132" s="359"/>
      <c r="N2132" s="359"/>
      <c r="O2132" s="359"/>
      <c r="P2132" s="359"/>
      <c r="Q2132" s="359"/>
      <c r="R2132" s="359"/>
      <c r="S2132" s="359"/>
      <c r="T2132" s="359"/>
      <c r="U2132" s="359"/>
    </row>
    <row r="2133" ht="15.75" customHeight="1">
      <c r="A2133" s="226"/>
      <c r="B2133" s="359"/>
      <c r="C2133" s="359"/>
      <c r="D2133" s="359"/>
      <c r="E2133" s="359"/>
      <c r="F2133" s="360"/>
      <c r="G2133" s="360"/>
      <c r="H2133" s="359"/>
      <c r="I2133" s="359"/>
      <c r="J2133" s="359"/>
      <c r="K2133" s="359"/>
      <c r="L2133" s="361"/>
      <c r="M2133" s="359"/>
      <c r="N2133" s="359"/>
      <c r="O2133" s="359"/>
      <c r="P2133" s="359"/>
      <c r="Q2133" s="359"/>
      <c r="R2133" s="359"/>
      <c r="S2133" s="359"/>
      <c r="T2133" s="359"/>
      <c r="U2133" s="359"/>
    </row>
    <row r="2134" ht="15.75" customHeight="1">
      <c r="A2134" s="226"/>
      <c r="B2134" s="359"/>
      <c r="C2134" s="359"/>
      <c r="D2134" s="359"/>
      <c r="E2134" s="359"/>
      <c r="F2134" s="360"/>
      <c r="G2134" s="360"/>
      <c r="H2134" s="359"/>
      <c r="I2134" s="359"/>
      <c r="J2134" s="359"/>
      <c r="K2134" s="359"/>
      <c r="L2134" s="361"/>
      <c r="M2134" s="359"/>
      <c r="N2134" s="359"/>
      <c r="O2134" s="359"/>
      <c r="P2134" s="359"/>
      <c r="Q2134" s="359"/>
      <c r="R2134" s="359"/>
      <c r="S2134" s="359"/>
      <c r="T2134" s="359"/>
      <c r="U2134" s="359"/>
    </row>
    <row r="2135" ht="15.75" customHeight="1">
      <c r="A2135" s="226"/>
      <c r="B2135" s="359"/>
      <c r="C2135" s="359"/>
      <c r="D2135" s="359"/>
      <c r="E2135" s="359"/>
      <c r="F2135" s="360"/>
      <c r="G2135" s="360"/>
      <c r="H2135" s="359"/>
      <c r="I2135" s="359"/>
      <c r="J2135" s="359"/>
      <c r="K2135" s="359"/>
      <c r="L2135" s="361"/>
      <c r="M2135" s="359"/>
      <c r="N2135" s="359"/>
      <c r="O2135" s="359"/>
      <c r="P2135" s="359"/>
      <c r="Q2135" s="359"/>
      <c r="R2135" s="359"/>
      <c r="S2135" s="359"/>
      <c r="T2135" s="359"/>
      <c r="U2135" s="359"/>
    </row>
    <row r="2136" ht="15.75" customHeight="1">
      <c r="A2136" s="226"/>
      <c r="B2136" s="359"/>
      <c r="C2136" s="359"/>
      <c r="D2136" s="359"/>
      <c r="E2136" s="359"/>
      <c r="F2136" s="360"/>
      <c r="G2136" s="360"/>
      <c r="H2136" s="359"/>
      <c r="I2136" s="359"/>
      <c r="J2136" s="359"/>
      <c r="K2136" s="359"/>
      <c r="L2136" s="361"/>
      <c r="M2136" s="359"/>
      <c r="N2136" s="359"/>
      <c r="O2136" s="359"/>
      <c r="P2136" s="359"/>
      <c r="Q2136" s="359"/>
      <c r="R2136" s="359"/>
      <c r="S2136" s="359"/>
      <c r="T2136" s="359"/>
      <c r="U2136" s="359"/>
    </row>
    <row r="2137" ht="15.75" customHeight="1">
      <c r="A2137" s="226"/>
      <c r="B2137" s="359"/>
      <c r="C2137" s="359"/>
      <c r="D2137" s="359"/>
      <c r="E2137" s="359"/>
      <c r="F2137" s="360"/>
      <c r="G2137" s="360"/>
      <c r="H2137" s="359"/>
      <c r="I2137" s="359"/>
      <c r="J2137" s="359"/>
      <c r="K2137" s="359"/>
      <c r="L2137" s="361"/>
      <c r="M2137" s="359"/>
      <c r="N2137" s="359"/>
      <c r="O2137" s="359"/>
      <c r="P2137" s="359"/>
      <c r="Q2137" s="359"/>
      <c r="R2137" s="359"/>
      <c r="S2137" s="359"/>
      <c r="T2137" s="359"/>
      <c r="U2137" s="359"/>
    </row>
    <row r="2138" ht="15.75" customHeight="1">
      <c r="A2138" s="226"/>
      <c r="B2138" s="359"/>
      <c r="C2138" s="359"/>
      <c r="D2138" s="359"/>
      <c r="E2138" s="359"/>
      <c r="F2138" s="360"/>
      <c r="G2138" s="360"/>
      <c r="H2138" s="359"/>
      <c r="I2138" s="359"/>
      <c r="J2138" s="359"/>
      <c r="K2138" s="359"/>
      <c r="L2138" s="361"/>
      <c r="M2138" s="359"/>
      <c r="N2138" s="359"/>
      <c r="O2138" s="359"/>
      <c r="P2138" s="359"/>
      <c r="Q2138" s="359"/>
      <c r="R2138" s="359"/>
      <c r="S2138" s="359"/>
      <c r="T2138" s="359"/>
      <c r="U2138" s="359"/>
    </row>
    <row r="2139" ht="15.75" customHeight="1">
      <c r="A2139" s="226"/>
      <c r="B2139" s="359"/>
      <c r="C2139" s="359"/>
      <c r="D2139" s="359"/>
      <c r="E2139" s="359"/>
      <c r="F2139" s="360"/>
      <c r="G2139" s="360"/>
      <c r="H2139" s="359"/>
      <c r="I2139" s="359"/>
      <c r="J2139" s="359"/>
      <c r="K2139" s="359"/>
      <c r="L2139" s="361"/>
      <c r="M2139" s="359"/>
      <c r="N2139" s="359"/>
      <c r="O2139" s="359"/>
      <c r="P2139" s="359"/>
      <c r="Q2139" s="359"/>
      <c r="R2139" s="359"/>
      <c r="S2139" s="359"/>
      <c r="T2139" s="359"/>
      <c r="U2139" s="359"/>
    </row>
    <row r="2140" ht="15.75" customHeight="1">
      <c r="A2140" s="226"/>
      <c r="B2140" s="359"/>
      <c r="C2140" s="359"/>
      <c r="D2140" s="359"/>
      <c r="E2140" s="359"/>
      <c r="F2140" s="360"/>
      <c r="G2140" s="360"/>
      <c r="H2140" s="359"/>
      <c r="I2140" s="359"/>
      <c r="J2140" s="359"/>
      <c r="K2140" s="359"/>
      <c r="L2140" s="361"/>
      <c r="M2140" s="359"/>
      <c r="N2140" s="359"/>
      <c r="O2140" s="359"/>
      <c r="P2140" s="359"/>
      <c r="Q2140" s="359"/>
      <c r="R2140" s="359"/>
      <c r="S2140" s="359"/>
      <c r="T2140" s="359"/>
      <c r="U2140" s="359"/>
    </row>
    <row r="2141" ht="15.75" customHeight="1">
      <c r="A2141" s="226"/>
      <c r="B2141" s="359"/>
      <c r="C2141" s="359"/>
      <c r="D2141" s="359"/>
      <c r="E2141" s="359"/>
      <c r="F2141" s="360"/>
      <c r="G2141" s="360"/>
      <c r="H2141" s="359"/>
      <c r="I2141" s="359"/>
      <c r="J2141" s="359"/>
      <c r="K2141" s="359"/>
      <c r="L2141" s="361"/>
      <c r="M2141" s="359"/>
      <c r="N2141" s="359"/>
      <c r="O2141" s="359"/>
      <c r="P2141" s="359"/>
      <c r="Q2141" s="359"/>
      <c r="R2141" s="359"/>
      <c r="S2141" s="359"/>
      <c r="T2141" s="359"/>
      <c r="U2141" s="359"/>
    </row>
    <row r="2142" ht="15.75" customHeight="1">
      <c r="A2142" s="226"/>
      <c r="B2142" s="359"/>
      <c r="C2142" s="359"/>
      <c r="D2142" s="359"/>
      <c r="E2142" s="359"/>
      <c r="F2142" s="360"/>
      <c r="G2142" s="360"/>
      <c r="H2142" s="359"/>
      <c r="I2142" s="359"/>
      <c r="J2142" s="359"/>
      <c r="K2142" s="359"/>
      <c r="L2142" s="361"/>
      <c r="M2142" s="359"/>
      <c r="N2142" s="359"/>
      <c r="O2142" s="359"/>
      <c r="P2142" s="359"/>
      <c r="Q2142" s="359"/>
      <c r="R2142" s="359"/>
      <c r="S2142" s="359"/>
      <c r="T2142" s="359"/>
      <c r="U2142" s="359"/>
    </row>
    <row r="2143" ht="15.75" customHeight="1">
      <c r="A2143" s="226"/>
      <c r="B2143" s="359"/>
      <c r="C2143" s="359"/>
      <c r="D2143" s="359"/>
      <c r="E2143" s="359"/>
      <c r="F2143" s="360"/>
      <c r="G2143" s="360"/>
      <c r="H2143" s="359"/>
      <c r="I2143" s="359"/>
      <c r="J2143" s="359"/>
      <c r="K2143" s="359"/>
      <c r="L2143" s="361"/>
      <c r="M2143" s="359"/>
      <c r="N2143" s="359"/>
      <c r="O2143" s="359"/>
      <c r="P2143" s="359"/>
      <c r="Q2143" s="359"/>
      <c r="R2143" s="359"/>
      <c r="S2143" s="359"/>
      <c r="T2143" s="359"/>
      <c r="U2143" s="359"/>
    </row>
    <row r="2144" ht="15.75" customHeight="1">
      <c r="A2144" s="226"/>
      <c r="B2144" s="359"/>
      <c r="C2144" s="359"/>
      <c r="D2144" s="359"/>
      <c r="E2144" s="359"/>
      <c r="F2144" s="360"/>
      <c r="G2144" s="360"/>
      <c r="H2144" s="359"/>
      <c r="I2144" s="359"/>
      <c r="J2144" s="359"/>
      <c r="K2144" s="359"/>
      <c r="L2144" s="361"/>
      <c r="M2144" s="359"/>
      <c r="N2144" s="359"/>
      <c r="O2144" s="359"/>
      <c r="P2144" s="359"/>
      <c r="Q2144" s="359"/>
      <c r="R2144" s="359"/>
      <c r="S2144" s="359"/>
      <c r="T2144" s="359"/>
      <c r="U2144" s="359"/>
    </row>
    <row r="2145" ht="15.75" customHeight="1">
      <c r="A2145" s="226"/>
      <c r="B2145" s="359"/>
      <c r="C2145" s="359"/>
      <c r="D2145" s="359"/>
      <c r="E2145" s="359"/>
      <c r="F2145" s="360"/>
      <c r="G2145" s="360"/>
      <c r="H2145" s="359"/>
      <c r="I2145" s="359"/>
      <c r="J2145" s="359"/>
      <c r="K2145" s="359"/>
      <c r="L2145" s="361"/>
      <c r="M2145" s="359"/>
      <c r="N2145" s="359"/>
      <c r="O2145" s="359"/>
      <c r="P2145" s="359"/>
      <c r="Q2145" s="359"/>
      <c r="R2145" s="359"/>
      <c r="S2145" s="359"/>
      <c r="T2145" s="359"/>
      <c r="U2145" s="359"/>
    </row>
    <row r="2146" ht="15.75" customHeight="1">
      <c r="A2146" s="226"/>
      <c r="B2146" s="359"/>
      <c r="C2146" s="359"/>
      <c r="D2146" s="359"/>
      <c r="E2146" s="359"/>
      <c r="F2146" s="360"/>
      <c r="G2146" s="360"/>
      <c r="H2146" s="359"/>
      <c r="I2146" s="359"/>
      <c r="J2146" s="359"/>
      <c r="K2146" s="359"/>
      <c r="L2146" s="361"/>
      <c r="M2146" s="359"/>
      <c r="N2146" s="359"/>
      <c r="O2146" s="359"/>
      <c r="P2146" s="359"/>
      <c r="Q2146" s="359"/>
      <c r="R2146" s="359"/>
      <c r="S2146" s="359"/>
      <c r="T2146" s="359"/>
      <c r="U2146" s="359"/>
    </row>
    <row r="2147" ht="15.75" customHeight="1">
      <c r="A2147" s="226"/>
      <c r="B2147" s="359"/>
      <c r="C2147" s="359"/>
      <c r="D2147" s="359"/>
      <c r="E2147" s="359"/>
      <c r="F2147" s="360"/>
      <c r="G2147" s="360"/>
      <c r="H2147" s="359"/>
      <c r="I2147" s="359"/>
      <c r="J2147" s="359"/>
      <c r="K2147" s="359"/>
      <c r="L2147" s="361"/>
      <c r="M2147" s="359"/>
      <c r="N2147" s="359"/>
      <c r="O2147" s="359"/>
      <c r="P2147" s="359"/>
      <c r="Q2147" s="359"/>
      <c r="R2147" s="359"/>
      <c r="S2147" s="359"/>
      <c r="T2147" s="359"/>
      <c r="U2147" s="359"/>
    </row>
    <row r="2148" ht="15.75" customHeight="1">
      <c r="A2148" s="226"/>
      <c r="B2148" s="359"/>
      <c r="C2148" s="359"/>
      <c r="D2148" s="359"/>
      <c r="E2148" s="359"/>
      <c r="F2148" s="360"/>
      <c r="G2148" s="360"/>
      <c r="H2148" s="359"/>
      <c r="I2148" s="359"/>
      <c r="J2148" s="359"/>
      <c r="K2148" s="359"/>
      <c r="L2148" s="361"/>
      <c r="M2148" s="359"/>
      <c r="N2148" s="359"/>
      <c r="O2148" s="359"/>
      <c r="P2148" s="359"/>
      <c r="Q2148" s="359"/>
      <c r="R2148" s="359"/>
      <c r="S2148" s="359"/>
      <c r="T2148" s="359"/>
      <c r="U2148" s="359"/>
    </row>
    <row r="2149" ht="15.75" customHeight="1">
      <c r="A2149" s="226"/>
      <c r="B2149" s="359"/>
      <c r="C2149" s="359"/>
      <c r="D2149" s="359"/>
      <c r="E2149" s="359"/>
      <c r="F2149" s="360"/>
      <c r="G2149" s="360"/>
      <c r="H2149" s="359"/>
      <c r="I2149" s="359"/>
      <c r="J2149" s="359"/>
      <c r="K2149" s="359"/>
      <c r="L2149" s="361"/>
      <c r="M2149" s="359"/>
      <c r="N2149" s="359"/>
      <c r="O2149" s="359"/>
      <c r="P2149" s="359"/>
      <c r="Q2149" s="359"/>
      <c r="R2149" s="359"/>
      <c r="S2149" s="359"/>
      <c r="T2149" s="359"/>
      <c r="U2149" s="359"/>
    </row>
    <row r="2150" ht="15.75" customHeight="1">
      <c r="A2150" s="226"/>
      <c r="B2150" s="359"/>
      <c r="C2150" s="359"/>
      <c r="D2150" s="359"/>
      <c r="E2150" s="359"/>
      <c r="F2150" s="360"/>
      <c r="G2150" s="360"/>
      <c r="H2150" s="359"/>
      <c r="I2150" s="359"/>
      <c r="J2150" s="359"/>
      <c r="K2150" s="359"/>
      <c r="L2150" s="361"/>
      <c r="M2150" s="359"/>
      <c r="N2150" s="359"/>
      <c r="O2150" s="359"/>
      <c r="P2150" s="359"/>
      <c r="Q2150" s="359"/>
      <c r="R2150" s="359"/>
      <c r="S2150" s="359"/>
      <c r="T2150" s="359"/>
      <c r="U2150" s="359"/>
    </row>
    <row r="2151" ht="15.75" customHeight="1">
      <c r="A2151" s="226"/>
      <c r="B2151" s="359"/>
      <c r="C2151" s="359"/>
      <c r="D2151" s="359"/>
      <c r="E2151" s="359"/>
      <c r="F2151" s="360"/>
      <c r="G2151" s="360"/>
      <c r="H2151" s="359"/>
      <c r="I2151" s="359"/>
      <c r="J2151" s="359"/>
      <c r="K2151" s="359"/>
      <c r="L2151" s="361"/>
      <c r="M2151" s="359"/>
      <c r="N2151" s="359"/>
      <c r="O2151" s="359"/>
      <c r="P2151" s="359"/>
      <c r="Q2151" s="359"/>
      <c r="R2151" s="359"/>
      <c r="S2151" s="359"/>
      <c r="T2151" s="359"/>
      <c r="U2151" s="359"/>
    </row>
    <row r="2152" ht="15.75" customHeight="1">
      <c r="A2152" s="226"/>
      <c r="B2152" s="359"/>
      <c r="C2152" s="359"/>
      <c r="D2152" s="359"/>
      <c r="E2152" s="359"/>
      <c r="F2152" s="360"/>
      <c r="G2152" s="360"/>
      <c r="H2152" s="359"/>
      <c r="I2152" s="359"/>
      <c r="J2152" s="359"/>
      <c r="K2152" s="359"/>
      <c r="L2152" s="361"/>
      <c r="M2152" s="359"/>
      <c r="N2152" s="359"/>
      <c r="O2152" s="359"/>
      <c r="P2152" s="359"/>
      <c r="Q2152" s="359"/>
      <c r="R2152" s="359"/>
      <c r="S2152" s="359"/>
      <c r="T2152" s="359"/>
      <c r="U2152" s="359"/>
    </row>
    <row r="2153" ht="15.75" customHeight="1">
      <c r="A2153" s="226"/>
      <c r="B2153" s="359"/>
      <c r="C2153" s="359"/>
      <c r="D2153" s="359"/>
      <c r="E2153" s="359"/>
      <c r="F2153" s="360"/>
      <c r="G2153" s="360"/>
      <c r="H2153" s="359"/>
      <c r="I2153" s="359"/>
      <c r="J2153" s="359"/>
      <c r="K2153" s="359"/>
      <c r="L2153" s="361"/>
      <c r="M2153" s="359"/>
      <c r="N2153" s="359"/>
      <c r="O2153" s="359"/>
      <c r="P2153" s="359"/>
      <c r="Q2153" s="359"/>
      <c r="R2153" s="359"/>
      <c r="S2153" s="359"/>
      <c r="T2153" s="359"/>
      <c r="U2153" s="359"/>
    </row>
    <row r="2154" ht="15.75" customHeight="1">
      <c r="A2154" s="226"/>
      <c r="B2154" s="359"/>
      <c r="C2154" s="359"/>
      <c r="D2154" s="359"/>
      <c r="E2154" s="359"/>
      <c r="F2154" s="360"/>
      <c r="G2154" s="360"/>
      <c r="H2154" s="359"/>
      <c r="I2154" s="359"/>
      <c r="J2154" s="359"/>
      <c r="K2154" s="359"/>
      <c r="L2154" s="361"/>
      <c r="M2154" s="359"/>
      <c r="N2154" s="359"/>
      <c r="O2154" s="359"/>
      <c r="P2154" s="359"/>
      <c r="Q2154" s="359"/>
      <c r="R2154" s="359"/>
      <c r="S2154" s="359"/>
      <c r="T2154" s="359"/>
      <c r="U2154" s="359"/>
    </row>
    <row r="2155" ht="15.75" customHeight="1">
      <c r="A2155" s="226"/>
      <c r="B2155" s="359"/>
      <c r="C2155" s="359"/>
      <c r="D2155" s="359"/>
      <c r="E2155" s="359"/>
      <c r="F2155" s="360"/>
      <c r="G2155" s="360"/>
      <c r="H2155" s="359"/>
      <c r="I2155" s="359"/>
      <c r="J2155" s="359"/>
      <c r="K2155" s="359"/>
      <c r="L2155" s="361"/>
      <c r="M2155" s="359"/>
      <c r="N2155" s="359"/>
      <c r="O2155" s="359"/>
      <c r="P2155" s="359"/>
      <c r="Q2155" s="359"/>
      <c r="R2155" s="359"/>
      <c r="S2155" s="359"/>
      <c r="T2155" s="359"/>
      <c r="U2155" s="359"/>
    </row>
    <row r="2156" ht="15.75" customHeight="1">
      <c r="A2156" s="226"/>
      <c r="B2156" s="359"/>
      <c r="C2156" s="359"/>
      <c r="D2156" s="359"/>
      <c r="E2156" s="359"/>
      <c r="F2156" s="360"/>
      <c r="G2156" s="360"/>
      <c r="H2156" s="359"/>
      <c r="I2156" s="359"/>
      <c r="J2156" s="359"/>
      <c r="K2156" s="359"/>
      <c r="L2156" s="361"/>
      <c r="M2156" s="359"/>
      <c r="N2156" s="359"/>
      <c r="O2156" s="359"/>
      <c r="P2156" s="359"/>
      <c r="Q2156" s="359"/>
      <c r="R2156" s="359"/>
      <c r="S2156" s="359"/>
      <c r="T2156" s="359"/>
      <c r="U2156" s="359"/>
    </row>
    <row r="2157" ht="15.75" customHeight="1">
      <c r="A2157" s="226"/>
      <c r="B2157" s="359"/>
      <c r="C2157" s="359"/>
      <c r="D2157" s="359"/>
      <c r="E2157" s="359"/>
      <c r="F2157" s="360"/>
      <c r="G2157" s="360"/>
      <c r="H2157" s="359"/>
      <c r="I2157" s="359"/>
      <c r="J2157" s="359"/>
      <c r="K2157" s="359"/>
      <c r="L2157" s="361"/>
      <c r="M2157" s="359"/>
      <c r="N2157" s="359"/>
      <c r="O2157" s="359"/>
      <c r="P2157" s="359"/>
      <c r="Q2157" s="359"/>
      <c r="R2157" s="359"/>
      <c r="S2157" s="359"/>
      <c r="T2157" s="359"/>
      <c r="U2157" s="359"/>
    </row>
    <row r="2158" ht="15.75" customHeight="1">
      <c r="A2158" s="226"/>
      <c r="B2158" s="359"/>
      <c r="C2158" s="359"/>
      <c r="D2158" s="359"/>
      <c r="E2158" s="359"/>
      <c r="F2158" s="360"/>
      <c r="G2158" s="360"/>
      <c r="H2158" s="359"/>
      <c r="I2158" s="359"/>
      <c r="J2158" s="359"/>
      <c r="K2158" s="359"/>
      <c r="L2158" s="361"/>
      <c r="M2158" s="359"/>
      <c r="N2158" s="359"/>
      <c r="O2158" s="359"/>
      <c r="P2158" s="359"/>
      <c r="Q2158" s="359"/>
      <c r="R2158" s="359"/>
      <c r="S2158" s="359"/>
      <c r="T2158" s="359"/>
      <c r="U2158" s="359"/>
    </row>
    <row r="2159" ht="15.75" customHeight="1">
      <c r="A2159" s="226"/>
      <c r="B2159" s="359"/>
      <c r="C2159" s="359"/>
      <c r="D2159" s="359"/>
      <c r="E2159" s="359"/>
      <c r="F2159" s="360"/>
      <c r="G2159" s="360"/>
      <c r="H2159" s="359"/>
      <c r="I2159" s="359"/>
      <c r="J2159" s="359"/>
      <c r="K2159" s="359"/>
      <c r="L2159" s="361"/>
      <c r="M2159" s="359"/>
      <c r="N2159" s="359"/>
      <c r="O2159" s="359"/>
      <c r="P2159" s="359"/>
      <c r="Q2159" s="359"/>
      <c r="R2159" s="359"/>
      <c r="S2159" s="359"/>
      <c r="T2159" s="359"/>
      <c r="U2159" s="359"/>
    </row>
    <row r="2160" ht="15.75" customHeight="1">
      <c r="A2160" s="226"/>
      <c r="B2160" s="359"/>
      <c r="C2160" s="359"/>
      <c r="D2160" s="359"/>
      <c r="E2160" s="359"/>
      <c r="F2160" s="360"/>
      <c r="G2160" s="360"/>
      <c r="H2160" s="359"/>
      <c r="I2160" s="359"/>
      <c r="J2160" s="359"/>
      <c r="K2160" s="359"/>
      <c r="L2160" s="361"/>
      <c r="M2160" s="359"/>
      <c r="N2160" s="359"/>
      <c r="O2160" s="359"/>
      <c r="P2160" s="359"/>
      <c r="Q2160" s="359"/>
      <c r="R2160" s="359"/>
      <c r="S2160" s="359"/>
      <c r="T2160" s="359"/>
      <c r="U2160" s="359"/>
    </row>
    <row r="2161" ht="15.75" customHeight="1">
      <c r="A2161" s="226"/>
      <c r="B2161" s="359"/>
      <c r="C2161" s="359"/>
      <c r="D2161" s="359"/>
      <c r="E2161" s="359"/>
      <c r="F2161" s="360"/>
      <c r="G2161" s="360"/>
      <c r="H2161" s="359"/>
      <c r="I2161" s="359"/>
      <c r="J2161" s="359"/>
      <c r="K2161" s="359"/>
      <c r="L2161" s="361"/>
      <c r="M2161" s="359"/>
      <c r="N2161" s="359"/>
      <c r="O2161" s="359"/>
      <c r="P2161" s="359"/>
      <c r="Q2161" s="359"/>
      <c r="R2161" s="359"/>
      <c r="S2161" s="359"/>
      <c r="T2161" s="359"/>
      <c r="U2161" s="359"/>
    </row>
    <row r="2162" ht="15.75" customHeight="1">
      <c r="A2162" s="226"/>
      <c r="B2162" s="359"/>
      <c r="C2162" s="359"/>
      <c r="D2162" s="359"/>
      <c r="E2162" s="359"/>
      <c r="F2162" s="360"/>
      <c r="G2162" s="360"/>
      <c r="H2162" s="359"/>
      <c r="I2162" s="359"/>
      <c r="J2162" s="359"/>
      <c r="K2162" s="359"/>
      <c r="L2162" s="361"/>
      <c r="M2162" s="359"/>
      <c r="N2162" s="359"/>
      <c r="O2162" s="359"/>
      <c r="P2162" s="359"/>
      <c r="Q2162" s="359"/>
      <c r="R2162" s="359"/>
      <c r="S2162" s="359"/>
      <c r="T2162" s="359"/>
      <c r="U2162" s="359"/>
    </row>
    <row r="2163" ht="15.75" customHeight="1">
      <c r="A2163" s="226"/>
      <c r="B2163" s="359"/>
      <c r="C2163" s="359"/>
      <c r="D2163" s="359"/>
      <c r="E2163" s="359"/>
      <c r="F2163" s="360"/>
      <c r="G2163" s="360"/>
      <c r="H2163" s="359"/>
      <c r="I2163" s="359"/>
      <c r="J2163" s="359"/>
      <c r="K2163" s="359"/>
      <c r="L2163" s="361"/>
      <c r="M2163" s="359"/>
      <c r="N2163" s="359"/>
      <c r="O2163" s="359"/>
      <c r="P2163" s="359"/>
      <c r="Q2163" s="359"/>
      <c r="R2163" s="359"/>
      <c r="S2163" s="359"/>
      <c r="T2163" s="359"/>
      <c r="U2163" s="359"/>
    </row>
    <row r="2164" ht="15.75" customHeight="1">
      <c r="A2164" s="226"/>
      <c r="B2164" s="359"/>
      <c r="C2164" s="359"/>
      <c r="D2164" s="359"/>
      <c r="E2164" s="359"/>
      <c r="F2164" s="360"/>
      <c r="G2164" s="360"/>
      <c r="H2164" s="359"/>
      <c r="I2164" s="359"/>
      <c r="J2164" s="359"/>
      <c r="K2164" s="359"/>
      <c r="L2164" s="361"/>
      <c r="M2164" s="359"/>
      <c r="N2164" s="359"/>
      <c r="O2164" s="359"/>
      <c r="P2164" s="359"/>
      <c r="Q2164" s="359"/>
      <c r="R2164" s="359"/>
      <c r="S2164" s="359"/>
      <c r="T2164" s="359"/>
      <c r="U2164" s="359"/>
    </row>
    <row r="2165" ht="15.75" customHeight="1">
      <c r="A2165" s="226"/>
      <c r="B2165" s="359"/>
      <c r="C2165" s="359"/>
      <c r="D2165" s="359"/>
      <c r="E2165" s="359"/>
      <c r="F2165" s="360"/>
      <c r="G2165" s="360"/>
      <c r="H2165" s="359"/>
      <c r="I2165" s="359"/>
      <c r="J2165" s="359"/>
      <c r="K2165" s="359"/>
      <c r="L2165" s="361"/>
      <c r="M2165" s="359"/>
      <c r="N2165" s="359"/>
      <c r="O2165" s="359"/>
      <c r="P2165" s="359"/>
      <c r="Q2165" s="359"/>
      <c r="R2165" s="359"/>
      <c r="S2165" s="359"/>
      <c r="T2165" s="359"/>
      <c r="U2165" s="359"/>
    </row>
    <row r="2166" ht="15.75" customHeight="1">
      <c r="A2166" s="226"/>
      <c r="B2166" s="359"/>
      <c r="C2166" s="359"/>
      <c r="D2166" s="359"/>
      <c r="E2166" s="359"/>
      <c r="F2166" s="360"/>
      <c r="G2166" s="360"/>
      <c r="H2166" s="359"/>
      <c r="I2166" s="359"/>
      <c r="J2166" s="359"/>
      <c r="K2166" s="359"/>
      <c r="L2166" s="361"/>
      <c r="M2166" s="359"/>
      <c r="N2166" s="359"/>
      <c r="O2166" s="359"/>
      <c r="P2166" s="359"/>
      <c r="Q2166" s="359"/>
      <c r="R2166" s="359"/>
      <c r="S2166" s="359"/>
      <c r="T2166" s="359"/>
      <c r="U2166" s="359"/>
    </row>
    <row r="2167" ht="15.75" customHeight="1">
      <c r="A2167" s="226"/>
      <c r="B2167" s="359"/>
      <c r="C2167" s="359"/>
      <c r="D2167" s="359"/>
      <c r="E2167" s="359"/>
      <c r="F2167" s="360"/>
      <c r="G2167" s="360"/>
      <c r="H2167" s="359"/>
      <c r="I2167" s="359"/>
      <c r="J2167" s="359"/>
      <c r="K2167" s="359"/>
      <c r="L2167" s="361"/>
      <c r="M2167" s="359"/>
      <c r="N2167" s="359"/>
      <c r="O2167" s="359"/>
      <c r="P2167" s="359"/>
      <c r="Q2167" s="359"/>
      <c r="R2167" s="359"/>
      <c r="S2167" s="359"/>
      <c r="T2167" s="359"/>
      <c r="U2167" s="359"/>
    </row>
    <row r="2168" ht="15.75" customHeight="1">
      <c r="A2168" s="226"/>
      <c r="B2168" s="359"/>
      <c r="C2168" s="359"/>
      <c r="D2168" s="359"/>
      <c r="E2168" s="359"/>
      <c r="F2168" s="360"/>
      <c r="G2168" s="360"/>
      <c r="H2168" s="359"/>
      <c r="I2168" s="359"/>
      <c r="J2168" s="359"/>
      <c r="K2168" s="359"/>
      <c r="L2168" s="361"/>
      <c r="M2168" s="359"/>
      <c r="N2168" s="359"/>
      <c r="O2168" s="359"/>
      <c r="P2168" s="359"/>
      <c r="Q2168" s="359"/>
      <c r="R2168" s="359"/>
      <c r="S2168" s="359"/>
      <c r="T2168" s="359"/>
      <c r="U2168" s="359"/>
    </row>
    <row r="2169" ht="15.75" customHeight="1">
      <c r="A2169" s="226"/>
      <c r="B2169" s="359"/>
      <c r="C2169" s="359"/>
      <c r="D2169" s="359"/>
      <c r="E2169" s="359"/>
      <c r="F2169" s="360"/>
      <c r="G2169" s="360"/>
      <c r="H2169" s="359"/>
      <c r="I2169" s="359"/>
      <c r="J2169" s="359"/>
      <c r="K2169" s="359"/>
      <c r="L2169" s="361"/>
      <c r="M2169" s="359"/>
      <c r="N2169" s="359"/>
      <c r="O2169" s="359"/>
      <c r="P2169" s="359"/>
      <c r="Q2169" s="359"/>
      <c r="R2169" s="359"/>
      <c r="S2169" s="359"/>
      <c r="T2169" s="359"/>
      <c r="U2169" s="359"/>
    </row>
    <row r="2170" ht="15.75" customHeight="1">
      <c r="A2170" s="226"/>
      <c r="B2170" s="359"/>
      <c r="C2170" s="359"/>
      <c r="D2170" s="359"/>
      <c r="E2170" s="359"/>
      <c r="F2170" s="360"/>
      <c r="G2170" s="360"/>
      <c r="H2170" s="359"/>
      <c r="I2170" s="359"/>
      <c r="J2170" s="359"/>
      <c r="K2170" s="359"/>
      <c r="L2170" s="361"/>
      <c r="M2170" s="359"/>
      <c r="N2170" s="359"/>
      <c r="O2170" s="359"/>
      <c r="P2170" s="359"/>
      <c r="Q2170" s="359"/>
      <c r="R2170" s="359"/>
      <c r="S2170" s="359"/>
      <c r="T2170" s="359"/>
      <c r="U2170" s="359"/>
    </row>
    <row r="2171" ht="15.75" customHeight="1">
      <c r="A2171" s="226"/>
      <c r="B2171" s="359"/>
      <c r="C2171" s="359"/>
      <c r="D2171" s="359"/>
      <c r="E2171" s="359"/>
      <c r="F2171" s="360"/>
      <c r="G2171" s="360"/>
      <c r="H2171" s="359"/>
      <c r="I2171" s="359"/>
      <c r="J2171" s="359"/>
      <c r="K2171" s="359"/>
      <c r="L2171" s="361"/>
      <c r="M2171" s="359"/>
      <c r="N2171" s="359"/>
      <c r="O2171" s="359"/>
      <c r="P2171" s="359"/>
      <c r="Q2171" s="359"/>
      <c r="R2171" s="359"/>
      <c r="S2171" s="359"/>
      <c r="T2171" s="359"/>
      <c r="U2171" s="359"/>
    </row>
    <row r="2172" ht="15.75" customHeight="1">
      <c r="A2172" s="226"/>
      <c r="B2172" s="359"/>
      <c r="C2172" s="359"/>
      <c r="D2172" s="359"/>
      <c r="E2172" s="359"/>
      <c r="F2172" s="360"/>
      <c r="G2172" s="360"/>
      <c r="H2172" s="359"/>
      <c r="I2172" s="359"/>
      <c r="J2172" s="359"/>
      <c r="K2172" s="359"/>
      <c r="L2172" s="361"/>
      <c r="M2172" s="359"/>
      <c r="N2172" s="359"/>
      <c r="O2172" s="359"/>
      <c r="P2172" s="359"/>
      <c r="Q2172" s="359"/>
      <c r="R2172" s="359"/>
      <c r="S2172" s="359"/>
      <c r="T2172" s="359"/>
      <c r="U2172" s="359"/>
    </row>
    <row r="2173" ht="15.75" customHeight="1">
      <c r="A2173" s="226"/>
      <c r="B2173" s="359"/>
      <c r="C2173" s="359"/>
      <c r="D2173" s="359"/>
      <c r="E2173" s="359"/>
      <c r="F2173" s="360"/>
      <c r="G2173" s="360"/>
      <c r="H2173" s="359"/>
      <c r="I2173" s="359"/>
      <c r="J2173" s="359"/>
      <c r="K2173" s="359"/>
      <c r="L2173" s="361"/>
      <c r="M2173" s="359"/>
      <c r="N2173" s="359"/>
      <c r="O2173" s="359"/>
      <c r="P2173" s="359"/>
      <c r="Q2173" s="359"/>
      <c r="R2173" s="359"/>
      <c r="S2173" s="359"/>
      <c r="T2173" s="359"/>
      <c r="U2173" s="359"/>
    </row>
    <row r="2174" ht="15.75" customHeight="1">
      <c r="A2174" s="226"/>
      <c r="B2174" s="359"/>
      <c r="C2174" s="359"/>
      <c r="D2174" s="359"/>
      <c r="E2174" s="359"/>
      <c r="F2174" s="360"/>
      <c r="G2174" s="360"/>
      <c r="H2174" s="359"/>
      <c r="I2174" s="359"/>
      <c r="J2174" s="359"/>
      <c r="K2174" s="359"/>
      <c r="L2174" s="361"/>
      <c r="M2174" s="359"/>
      <c r="N2174" s="359"/>
      <c r="O2174" s="359"/>
      <c r="P2174" s="359"/>
      <c r="Q2174" s="359"/>
      <c r="R2174" s="359"/>
      <c r="S2174" s="359"/>
      <c r="T2174" s="359"/>
      <c r="U2174" s="359"/>
    </row>
    <row r="2175" ht="15.75" customHeight="1">
      <c r="A2175" s="226"/>
      <c r="B2175" s="359"/>
      <c r="C2175" s="359"/>
      <c r="D2175" s="359"/>
      <c r="E2175" s="359"/>
      <c r="F2175" s="360"/>
      <c r="G2175" s="360"/>
      <c r="H2175" s="359"/>
      <c r="I2175" s="359"/>
      <c r="J2175" s="359"/>
      <c r="K2175" s="359"/>
      <c r="L2175" s="361"/>
      <c r="M2175" s="359"/>
      <c r="N2175" s="359"/>
      <c r="O2175" s="359"/>
      <c r="P2175" s="359"/>
      <c r="Q2175" s="359"/>
      <c r="R2175" s="359"/>
      <c r="S2175" s="359"/>
      <c r="T2175" s="359"/>
      <c r="U2175" s="359"/>
    </row>
    <row r="2176" ht="15.75" customHeight="1">
      <c r="A2176" s="226"/>
      <c r="B2176" s="359"/>
      <c r="C2176" s="359"/>
      <c r="D2176" s="359"/>
      <c r="E2176" s="359"/>
      <c r="F2176" s="360"/>
      <c r="G2176" s="360"/>
      <c r="H2176" s="359"/>
      <c r="I2176" s="359"/>
      <c r="J2176" s="359"/>
      <c r="K2176" s="359"/>
      <c r="L2176" s="361"/>
      <c r="M2176" s="359"/>
      <c r="N2176" s="359"/>
      <c r="O2176" s="359"/>
      <c r="P2176" s="359"/>
      <c r="Q2176" s="359"/>
      <c r="R2176" s="359"/>
      <c r="S2176" s="359"/>
      <c r="T2176" s="359"/>
      <c r="U2176" s="359"/>
    </row>
    <row r="2177" ht="15.75" customHeight="1">
      <c r="A2177" s="226"/>
      <c r="B2177" s="359"/>
      <c r="C2177" s="359"/>
      <c r="D2177" s="359"/>
      <c r="E2177" s="359"/>
      <c r="F2177" s="360"/>
      <c r="G2177" s="360"/>
      <c r="H2177" s="359"/>
      <c r="I2177" s="359"/>
      <c r="J2177" s="359"/>
      <c r="K2177" s="359"/>
      <c r="L2177" s="361"/>
      <c r="M2177" s="359"/>
      <c r="N2177" s="359"/>
      <c r="O2177" s="359"/>
      <c r="P2177" s="359"/>
      <c r="Q2177" s="359"/>
      <c r="R2177" s="359"/>
      <c r="S2177" s="359"/>
      <c r="T2177" s="359"/>
      <c r="U2177" s="359"/>
    </row>
    <row r="2178" ht="15.75" customHeight="1">
      <c r="A2178" s="226"/>
      <c r="B2178" s="359"/>
      <c r="C2178" s="359"/>
      <c r="D2178" s="359"/>
      <c r="E2178" s="359"/>
      <c r="F2178" s="360"/>
      <c r="G2178" s="360"/>
      <c r="H2178" s="359"/>
      <c r="I2178" s="359"/>
      <c r="J2178" s="359"/>
      <c r="K2178" s="359"/>
      <c r="L2178" s="361"/>
      <c r="M2178" s="359"/>
      <c r="N2178" s="359"/>
      <c r="O2178" s="359"/>
      <c r="P2178" s="359"/>
      <c r="Q2178" s="359"/>
      <c r="R2178" s="359"/>
      <c r="S2178" s="359"/>
      <c r="T2178" s="359"/>
      <c r="U2178" s="359"/>
    </row>
    <row r="2179" ht="15.75" customHeight="1">
      <c r="A2179" s="226"/>
      <c r="B2179" s="359"/>
      <c r="C2179" s="359"/>
      <c r="D2179" s="359"/>
      <c r="E2179" s="359"/>
      <c r="F2179" s="360"/>
      <c r="G2179" s="360"/>
      <c r="H2179" s="359"/>
      <c r="I2179" s="359"/>
      <c r="J2179" s="359"/>
      <c r="K2179" s="359"/>
      <c r="L2179" s="361"/>
      <c r="M2179" s="359"/>
      <c r="N2179" s="359"/>
      <c r="O2179" s="359"/>
      <c r="P2179" s="359"/>
      <c r="Q2179" s="359"/>
      <c r="R2179" s="359"/>
      <c r="S2179" s="359"/>
      <c r="T2179" s="359"/>
      <c r="U2179" s="359"/>
    </row>
    <row r="2180" ht="15.75" customHeight="1">
      <c r="A2180" s="226"/>
      <c r="B2180" s="359"/>
      <c r="C2180" s="359"/>
      <c r="D2180" s="359"/>
      <c r="E2180" s="359"/>
      <c r="F2180" s="360"/>
      <c r="G2180" s="360"/>
      <c r="H2180" s="359"/>
      <c r="I2180" s="359"/>
      <c r="J2180" s="359"/>
      <c r="K2180" s="359"/>
      <c r="L2180" s="361"/>
      <c r="M2180" s="359"/>
      <c r="N2180" s="359"/>
      <c r="O2180" s="359"/>
      <c r="P2180" s="359"/>
      <c r="Q2180" s="359"/>
      <c r="R2180" s="359"/>
      <c r="S2180" s="359"/>
      <c r="T2180" s="359"/>
      <c r="U2180" s="359"/>
    </row>
    <row r="2181" ht="15.75" customHeight="1">
      <c r="A2181" s="226"/>
      <c r="B2181" s="359"/>
      <c r="C2181" s="359"/>
      <c r="D2181" s="359"/>
      <c r="E2181" s="359"/>
      <c r="F2181" s="360"/>
      <c r="G2181" s="360"/>
      <c r="H2181" s="359"/>
      <c r="I2181" s="359"/>
      <c r="J2181" s="359"/>
      <c r="K2181" s="359"/>
      <c r="L2181" s="361"/>
      <c r="M2181" s="359"/>
      <c r="N2181" s="359"/>
      <c r="O2181" s="359"/>
      <c r="P2181" s="359"/>
      <c r="Q2181" s="359"/>
      <c r="R2181" s="359"/>
      <c r="S2181" s="359"/>
      <c r="T2181" s="359"/>
      <c r="U2181" s="359"/>
    </row>
    <row r="2182" ht="15.75" customHeight="1">
      <c r="A2182" s="226"/>
      <c r="B2182" s="359"/>
      <c r="C2182" s="359"/>
      <c r="D2182" s="359"/>
      <c r="E2182" s="359"/>
      <c r="F2182" s="360"/>
      <c r="G2182" s="360"/>
      <c r="H2182" s="359"/>
      <c r="I2182" s="359"/>
      <c r="J2182" s="359"/>
      <c r="K2182" s="359"/>
      <c r="L2182" s="361"/>
      <c r="M2182" s="359"/>
      <c r="N2182" s="359"/>
      <c r="O2182" s="359"/>
      <c r="P2182" s="359"/>
      <c r="Q2182" s="359"/>
      <c r="R2182" s="359"/>
      <c r="S2182" s="359"/>
      <c r="T2182" s="359"/>
      <c r="U2182" s="359"/>
    </row>
    <row r="2183" ht="15.75" customHeight="1">
      <c r="A2183" s="226"/>
      <c r="B2183" s="359"/>
      <c r="C2183" s="359"/>
      <c r="D2183" s="359"/>
      <c r="E2183" s="359"/>
      <c r="F2183" s="360"/>
      <c r="G2183" s="360"/>
      <c r="H2183" s="359"/>
      <c r="I2183" s="359"/>
      <c r="J2183" s="359"/>
      <c r="K2183" s="359"/>
      <c r="L2183" s="361"/>
      <c r="M2183" s="359"/>
      <c r="N2183" s="359"/>
      <c r="O2183" s="359"/>
      <c r="P2183" s="359"/>
      <c r="Q2183" s="359"/>
      <c r="R2183" s="359"/>
      <c r="S2183" s="359"/>
      <c r="T2183" s="359"/>
      <c r="U2183" s="359"/>
    </row>
    <row r="2184" ht="15.75" customHeight="1">
      <c r="A2184" s="226"/>
      <c r="B2184" s="359"/>
      <c r="C2184" s="359"/>
      <c r="D2184" s="359"/>
      <c r="E2184" s="359"/>
      <c r="F2184" s="360"/>
      <c r="G2184" s="360"/>
      <c r="H2184" s="359"/>
      <c r="I2184" s="359"/>
      <c r="J2184" s="359"/>
      <c r="K2184" s="359"/>
      <c r="L2184" s="361"/>
      <c r="M2184" s="359"/>
      <c r="N2184" s="359"/>
      <c r="O2184" s="359"/>
      <c r="P2184" s="359"/>
      <c r="Q2184" s="359"/>
      <c r="R2184" s="359"/>
      <c r="S2184" s="359"/>
      <c r="T2184" s="359"/>
      <c r="U2184" s="359"/>
    </row>
    <row r="2185" ht="15.75" customHeight="1">
      <c r="A2185" s="226"/>
      <c r="B2185" s="359"/>
      <c r="C2185" s="359"/>
      <c r="D2185" s="359"/>
      <c r="E2185" s="359"/>
      <c r="F2185" s="360"/>
      <c r="G2185" s="360"/>
      <c r="H2185" s="359"/>
      <c r="I2185" s="359"/>
      <c r="J2185" s="359"/>
      <c r="K2185" s="359"/>
      <c r="L2185" s="361"/>
      <c r="M2185" s="359"/>
      <c r="N2185" s="359"/>
      <c r="O2185" s="359"/>
      <c r="P2185" s="359"/>
      <c r="Q2185" s="359"/>
      <c r="R2185" s="359"/>
      <c r="S2185" s="359"/>
      <c r="T2185" s="359"/>
      <c r="U2185" s="359"/>
    </row>
    <row r="2186" ht="15.75" customHeight="1">
      <c r="A2186" s="226"/>
      <c r="B2186" s="359"/>
      <c r="C2186" s="359"/>
      <c r="D2186" s="359"/>
      <c r="E2186" s="359"/>
      <c r="F2186" s="360"/>
      <c r="G2186" s="360"/>
      <c r="H2186" s="359"/>
      <c r="I2186" s="359"/>
      <c r="J2186" s="359"/>
      <c r="K2186" s="359"/>
      <c r="L2186" s="361"/>
      <c r="M2186" s="359"/>
      <c r="N2186" s="359"/>
      <c r="O2186" s="359"/>
      <c r="P2186" s="359"/>
      <c r="Q2186" s="359"/>
      <c r="R2186" s="359"/>
      <c r="S2186" s="359"/>
      <c r="T2186" s="359"/>
      <c r="U2186" s="359"/>
    </row>
    <row r="2187" ht="15.75" customHeight="1">
      <c r="A2187" s="226"/>
      <c r="B2187" s="359"/>
      <c r="C2187" s="359"/>
      <c r="D2187" s="359"/>
      <c r="E2187" s="359"/>
      <c r="F2187" s="360"/>
      <c r="G2187" s="360"/>
      <c r="H2187" s="359"/>
      <c r="I2187" s="359"/>
      <c r="J2187" s="359"/>
      <c r="K2187" s="359"/>
      <c r="L2187" s="361"/>
      <c r="M2187" s="359"/>
      <c r="N2187" s="359"/>
      <c r="O2187" s="359"/>
      <c r="P2187" s="359"/>
      <c r="Q2187" s="359"/>
      <c r="R2187" s="359"/>
      <c r="S2187" s="359"/>
      <c r="T2187" s="359"/>
      <c r="U2187" s="359"/>
    </row>
    <row r="2188" ht="15.75" customHeight="1">
      <c r="A2188" s="226"/>
      <c r="B2188" s="359"/>
      <c r="C2188" s="359"/>
      <c r="D2188" s="359"/>
      <c r="E2188" s="359"/>
      <c r="F2188" s="360"/>
      <c r="G2188" s="360"/>
      <c r="H2188" s="359"/>
      <c r="I2188" s="359"/>
      <c r="J2188" s="359"/>
      <c r="K2188" s="359"/>
      <c r="L2188" s="361"/>
      <c r="M2188" s="359"/>
      <c r="N2188" s="359"/>
      <c r="O2188" s="359"/>
      <c r="P2188" s="359"/>
      <c r="Q2188" s="359"/>
      <c r="R2188" s="359"/>
      <c r="S2188" s="359"/>
      <c r="T2188" s="359"/>
      <c r="U2188" s="359"/>
    </row>
    <row r="2189" ht="15.75" customHeight="1">
      <c r="A2189" s="226"/>
      <c r="B2189" s="359"/>
      <c r="C2189" s="359"/>
      <c r="D2189" s="359"/>
      <c r="E2189" s="359"/>
      <c r="F2189" s="360"/>
      <c r="G2189" s="360"/>
      <c r="H2189" s="359"/>
      <c r="I2189" s="359"/>
      <c r="J2189" s="359"/>
      <c r="K2189" s="359"/>
      <c r="L2189" s="361"/>
      <c r="M2189" s="359"/>
      <c r="N2189" s="359"/>
      <c r="O2189" s="359"/>
      <c r="P2189" s="359"/>
      <c r="Q2189" s="359"/>
      <c r="R2189" s="359"/>
      <c r="S2189" s="359"/>
      <c r="T2189" s="359"/>
      <c r="U2189" s="359"/>
    </row>
    <row r="2190" ht="15.75" customHeight="1">
      <c r="A2190" s="226"/>
      <c r="B2190" s="359"/>
      <c r="C2190" s="359"/>
      <c r="D2190" s="359"/>
      <c r="E2190" s="359"/>
      <c r="F2190" s="360"/>
      <c r="G2190" s="360"/>
      <c r="H2190" s="359"/>
      <c r="I2190" s="359"/>
      <c r="J2190" s="359"/>
      <c r="K2190" s="359"/>
      <c r="L2190" s="361"/>
      <c r="M2190" s="359"/>
      <c r="N2190" s="359"/>
      <c r="O2190" s="359"/>
      <c r="P2190" s="359"/>
      <c r="Q2190" s="359"/>
      <c r="R2190" s="359"/>
      <c r="S2190" s="359"/>
      <c r="T2190" s="359"/>
      <c r="U2190" s="359"/>
    </row>
    <row r="2191" ht="15.75" customHeight="1">
      <c r="A2191" s="226"/>
      <c r="B2191" s="359"/>
      <c r="C2191" s="359"/>
      <c r="D2191" s="359"/>
      <c r="E2191" s="359"/>
      <c r="F2191" s="360"/>
      <c r="G2191" s="360"/>
      <c r="H2191" s="359"/>
      <c r="I2191" s="359"/>
      <c r="J2191" s="359"/>
      <c r="K2191" s="359"/>
      <c r="L2191" s="361"/>
      <c r="M2191" s="359"/>
      <c r="N2191" s="359"/>
      <c r="O2191" s="359"/>
      <c r="P2191" s="359"/>
      <c r="Q2191" s="359"/>
      <c r="R2191" s="359"/>
      <c r="S2191" s="359"/>
      <c r="T2191" s="359"/>
      <c r="U2191" s="359"/>
    </row>
    <row r="2192" ht="15.75" customHeight="1">
      <c r="A2192" s="226"/>
      <c r="B2192" s="359"/>
      <c r="C2192" s="359"/>
      <c r="D2192" s="359"/>
      <c r="E2192" s="359"/>
      <c r="F2192" s="360"/>
      <c r="G2192" s="360"/>
      <c r="H2192" s="359"/>
      <c r="I2192" s="359"/>
      <c r="J2192" s="359"/>
      <c r="K2192" s="359"/>
      <c r="L2192" s="361"/>
      <c r="M2192" s="359"/>
      <c r="N2192" s="359"/>
      <c r="O2192" s="359"/>
      <c r="P2192" s="359"/>
      <c r="Q2192" s="359"/>
      <c r="R2192" s="359"/>
      <c r="S2192" s="359"/>
      <c r="T2192" s="359"/>
      <c r="U2192" s="359"/>
    </row>
    <row r="2193" ht="15.75" customHeight="1">
      <c r="A2193" s="226"/>
      <c r="B2193" s="359"/>
      <c r="C2193" s="359"/>
      <c r="D2193" s="359"/>
      <c r="E2193" s="359"/>
      <c r="F2193" s="360"/>
      <c r="G2193" s="360"/>
      <c r="H2193" s="359"/>
      <c r="I2193" s="359"/>
      <c r="J2193" s="359"/>
      <c r="K2193" s="359"/>
      <c r="L2193" s="361"/>
      <c r="M2193" s="359"/>
      <c r="N2193" s="359"/>
      <c r="O2193" s="359"/>
      <c r="P2193" s="359"/>
      <c r="Q2193" s="359"/>
      <c r="R2193" s="359"/>
      <c r="S2193" s="359"/>
      <c r="T2193" s="359"/>
      <c r="U2193" s="359"/>
    </row>
    <row r="2194" ht="15.75" customHeight="1">
      <c r="A2194" s="226"/>
      <c r="B2194" s="359"/>
      <c r="C2194" s="359"/>
      <c r="D2194" s="359"/>
      <c r="E2194" s="359"/>
      <c r="F2194" s="360"/>
      <c r="G2194" s="360"/>
      <c r="H2194" s="359"/>
      <c r="I2194" s="359"/>
      <c r="J2194" s="359"/>
      <c r="K2194" s="359"/>
      <c r="L2194" s="361"/>
      <c r="M2194" s="359"/>
      <c r="N2194" s="359"/>
      <c r="O2194" s="359"/>
      <c r="P2194" s="359"/>
      <c r="Q2194" s="359"/>
      <c r="R2194" s="359"/>
      <c r="S2194" s="359"/>
      <c r="T2194" s="359"/>
      <c r="U2194" s="359"/>
    </row>
    <row r="2195" ht="15.75" customHeight="1">
      <c r="A2195" s="226"/>
      <c r="B2195" s="359"/>
      <c r="C2195" s="359"/>
      <c r="D2195" s="359"/>
      <c r="E2195" s="359"/>
      <c r="F2195" s="360"/>
      <c r="G2195" s="360"/>
      <c r="H2195" s="359"/>
      <c r="I2195" s="359"/>
      <c r="J2195" s="359"/>
      <c r="K2195" s="359"/>
      <c r="L2195" s="361"/>
      <c r="M2195" s="359"/>
      <c r="N2195" s="359"/>
      <c r="O2195" s="359"/>
      <c r="P2195" s="359"/>
      <c r="Q2195" s="359"/>
      <c r="R2195" s="359"/>
      <c r="S2195" s="359"/>
      <c r="T2195" s="359"/>
      <c r="U2195" s="359"/>
    </row>
    <row r="2196" ht="15.75" customHeight="1">
      <c r="A2196" s="226"/>
      <c r="B2196" s="359"/>
      <c r="C2196" s="359"/>
      <c r="D2196" s="359"/>
      <c r="E2196" s="359"/>
      <c r="F2196" s="360"/>
      <c r="G2196" s="360"/>
      <c r="H2196" s="359"/>
      <c r="I2196" s="359"/>
      <c r="J2196" s="359"/>
      <c r="K2196" s="359"/>
      <c r="L2196" s="361"/>
      <c r="M2196" s="359"/>
      <c r="N2196" s="359"/>
      <c r="O2196" s="359"/>
      <c r="P2196" s="359"/>
      <c r="Q2196" s="359"/>
      <c r="R2196" s="359"/>
      <c r="S2196" s="359"/>
      <c r="T2196" s="359"/>
      <c r="U2196" s="359"/>
    </row>
    <row r="2197" ht="15.75" customHeight="1">
      <c r="A2197" s="226"/>
      <c r="B2197" s="359"/>
      <c r="C2197" s="359"/>
      <c r="D2197" s="359"/>
      <c r="E2197" s="359"/>
      <c r="F2197" s="360"/>
      <c r="G2197" s="360"/>
      <c r="H2197" s="359"/>
      <c r="I2197" s="359"/>
      <c r="J2197" s="359"/>
      <c r="K2197" s="359"/>
      <c r="L2197" s="361"/>
      <c r="M2197" s="359"/>
      <c r="N2197" s="359"/>
      <c r="O2197" s="359"/>
      <c r="P2197" s="359"/>
      <c r="Q2197" s="359"/>
      <c r="R2197" s="359"/>
      <c r="S2197" s="359"/>
      <c r="T2197" s="359"/>
      <c r="U2197" s="359"/>
    </row>
    <row r="2198" ht="15.75" customHeight="1">
      <c r="A2198" s="226"/>
      <c r="B2198" s="359"/>
      <c r="C2198" s="359"/>
      <c r="D2198" s="359"/>
      <c r="E2198" s="359"/>
      <c r="F2198" s="360"/>
      <c r="G2198" s="360"/>
      <c r="H2198" s="359"/>
      <c r="I2198" s="359"/>
      <c r="J2198" s="359"/>
      <c r="K2198" s="359"/>
      <c r="L2198" s="361"/>
      <c r="M2198" s="359"/>
      <c r="N2198" s="359"/>
      <c r="O2198" s="359"/>
      <c r="P2198" s="359"/>
      <c r="Q2198" s="359"/>
      <c r="R2198" s="359"/>
      <c r="S2198" s="359"/>
      <c r="T2198" s="359"/>
      <c r="U2198" s="359"/>
    </row>
    <row r="2199" ht="15.75" customHeight="1">
      <c r="A2199" s="226"/>
      <c r="B2199" s="359"/>
      <c r="C2199" s="359"/>
      <c r="D2199" s="359"/>
      <c r="E2199" s="359"/>
      <c r="F2199" s="360"/>
      <c r="G2199" s="360"/>
      <c r="H2199" s="359"/>
      <c r="I2199" s="359"/>
      <c r="J2199" s="359"/>
      <c r="K2199" s="359"/>
      <c r="L2199" s="361"/>
      <c r="M2199" s="359"/>
      <c r="N2199" s="359"/>
      <c r="O2199" s="359"/>
      <c r="P2199" s="359"/>
      <c r="Q2199" s="359"/>
      <c r="R2199" s="359"/>
      <c r="S2199" s="359"/>
      <c r="T2199" s="359"/>
      <c r="U2199" s="359"/>
    </row>
    <row r="2200" ht="15.75" customHeight="1">
      <c r="A2200" s="226"/>
      <c r="B2200" s="359"/>
      <c r="C2200" s="359"/>
      <c r="D2200" s="359"/>
      <c r="E2200" s="359"/>
      <c r="F2200" s="360"/>
      <c r="G2200" s="360"/>
      <c r="H2200" s="359"/>
      <c r="I2200" s="359"/>
      <c r="J2200" s="359"/>
      <c r="K2200" s="359"/>
      <c r="L2200" s="361"/>
      <c r="M2200" s="359"/>
      <c r="N2200" s="359"/>
      <c r="O2200" s="359"/>
      <c r="P2200" s="359"/>
      <c r="Q2200" s="359"/>
      <c r="R2200" s="359"/>
      <c r="S2200" s="359"/>
      <c r="T2200" s="359"/>
      <c r="U2200" s="359"/>
    </row>
    <row r="2201" ht="15.75" customHeight="1">
      <c r="A2201" s="226"/>
      <c r="B2201" s="359"/>
      <c r="C2201" s="359"/>
      <c r="D2201" s="359"/>
      <c r="E2201" s="359"/>
      <c r="F2201" s="360"/>
      <c r="G2201" s="360"/>
      <c r="H2201" s="359"/>
      <c r="I2201" s="359"/>
      <c r="J2201" s="359"/>
      <c r="K2201" s="359"/>
      <c r="L2201" s="361"/>
      <c r="M2201" s="359"/>
      <c r="N2201" s="359"/>
      <c r="O2201" s="359"/>
      <c r="P2201" s="359"/>
      <c r="Q2201" s="359"/>
      <c r="R2201" s="359"/>
      <c r="S2201" s="359"/>
      <c r="T2201" s="359"/>
      <c r="U2201" s="359"/>
    </row>
    <row r="2202" ht="15.75" customHeight="1">
      <c r="A2202" s="226"/>
      <c r="B2202" s="359"/>
      <c r="C2202" s="359"/>
      <c r="D2202" s="359"/>
      <c r="E2202" s="359"/>
      <c r="F2202" s="360"/>
      <c r="G2202" s="360"/>
      <c r="H2202" s="359"/>
      <c r="I2202" s="359"/>
      <c r="J2202" s="359"/>
      <c r="K2202" s="359"/>
      <c r="L2202" s="361"/>
      <c r="M2202" s="359"/>
      <c r="N2202" s="359"/>
      <c r="O2202" s="359"/>
      <c r="P2202" s="359"/>
      <c r="Q2202" s="359"/>
      <c r="R2202" s="359"/>
      <c r="S2202" s="359"/>
      <c r="T2202" s="359"/>
      <c r="U2202" s="359"/>
    </row>
    <row r="2203" ht="15.75" customHeight="1">
      <c r="A2203" s="226"/>
      <c r="B2203" s="359"/>
      <c r="C2203" s="359"/>
      <c r="D2203" s="359"/>
      <c r="E2203" s="359"/>
      <c r="F2203" s="360"/>
      <c r="G2203" s="360"/>
      <c r="H2203" s="359"/>
      <c r="I2203" s="359"/>
      <c r="J2203" s="359"/>
      <c r="K2203" s="359"/>
      <c r="L2203" s="361"/>
      <c r="M2203" s="359"/>
      <c r="N2203" s="359"/>
      <c r="O2203" s="359"/>
      <c r="P2203" s="359"/>
      <c r="Q2203" s="359"/>
      <c r="R2203" s="359"/>
      <c r="S2203" s="359"/>
      <c r="T2203" s="359"/>
      <c r="U2203" s="359"/>
    </row>
    <row r="2204" ht="15.75" customHeight="1">
      <c r="A2204" s="226"/>
      <c r="B2204" s="359"/>
      <c r="C2204" s="359"/>
      <c r="D2204" s="359"/>
      <c r="E2204" s="359"/>
      <c r="F2204" s="360"/>
      <c r="G2204" s="360"/>
      <c r="H2204" s="359"/>
      <c r="I2204" s="359"/>
      <c r="J2204" s="359"/>
      <c r="K2204" s="359"/>
      <c r="L2204" s="361"/>
      <c r="M2204" s="359"/>
      <c r="N2204" s="359"/>
      <c r="O2204" s="359"/>
      <c r="P2204" s="359"/>
      <c r="Q2204" s="359"/>
      <c r="R2204" s="359"/>
      <c r="S2204" s="359"/>
      <c r="T2204" s="359"/>
      <c r="U2204" s="359"/>
    </row>
    <row r="2205" ht="15.75" customHeight="1">
      <c r="A2205" s="226"/>
      <c r="B2205" s="359"/>
      <c r="C2205" s="359"/>
      <c r="D2205" s="359"/>
      <c r="E2205" s="359"/>
      <c r="F2205" s="360"/>
      <c r="G2205" s="360"/>
      <c r="H2205" s="359"/>
      <c r="I2205" s="359"/>
      <c r="J2205" s="359"/>
      <c r="K2205" s="359"/>
      <c r="L2205" s="361"/>
      <c r="M2205" s="359"/>
      <c r="N2205" s="359"/>
      <c r="O2205" s="359"/>
      <c r="P2205" s="359"/>
      <c r="Q2205" s="359"/>
      <c r="R2205" s="359"/>
      <c r="S2205" s="359"/>
      <c r="T2205" s="359"/>
      <c r="U2205" s="359"/>
    </row>
    <row r="2206" ht="15.75" customHeight="1">
      <c r="A2206" s="226"/>
      <c r="B2206" s="359"/>
      <c r="C2206" s="359"/>
      <c r="D2206" s="359"/>
      <c r="E2206" s="359"/>
      <c r="F2206" s="360"/>
      <c r="G2206" s="360"/>
      <c r="H2206" s="359"/>
      <c r="I2206" s="359"/>
      <c r="J2206" s="359"/>
      <c r="K2206" s="359"/>
      <c r="L2206" s="361"/>
      <c r="M2206" s="359"/>
      <c r="N2206" s="359"/>
      <c r="O2206" s="359"/>
      <c r="P2206" s="359"/>
      <c r="Q2206" s="359"/>
      <c r="R2206" s="359"/>
      <c r="S2206" s="359"/>
      <c r="T2206" s="359"/>
      <c r="U2206" s="359"/>
    </row>
    <row r="2207" ht="15.75" customHeight="1">
      <c r="A2207" s="226"/>
      <c r="B2207" s="359"/>
      <c r="C2207" s="359"/>
      <c r="D2207" s="359"/>
      <c r="E2207" s="359"/>
      <c r="F2207" s="360"/>
      <c r="G2207" s="360"/>
      <c r="H2207" s="359"/>
      <c r="I2207" s="359"/>
      <c r="J2207" s="359"/>
      <c r="K2207" s="359"/>
      <c r="L2207" s="361"/>
      <c r="M2207" s="359"/>
      <c r="N2207" s="359"/>
      <c r="O2207" s="359"/>
      <c r="P2207" s="359"/>
      <c r="Q2207" s="359"/>
      <c r="R2207" s="359"/>
      <c r="S2207" s="359"/>
      <c r="T2207" s="359"/>
      <c r="U2207" s="359"/>
    </row>
    <row r="2208" ht="15.75" customHeight="1">
      <c r="A2208" s="226"/>
      <c r="B2208" s="359"/>
      <c r="C2208" s="359"/>
      <c r="D2208" s="359"/>
      <c r="E2208" s="359"/>
      <c r="F2208" s="360"/>
      <c r="G2208" s="360"/>
      <c r="H2208" s="359"/>
      <c r="I2208" s="359"/>
      <c r="J2208" s="359"/>
      <c r="K2208" s="359"/>
      <c r="L2208" s="361"/>
      <c r="M2208" s="359"/>
      <c r="N2208" s="359"/>
      <c r="O2208" s="359"/>
      <c r="P2208" s="359"/>
      <c r="Q2208" s="359"/>
      <c r="R2208" s="359"/>
      <c r="S2208" s="359"/>
      <c r="T2208" s="359"/>
      <c r="U2208" s="359"/>
    </row>
    <row r="2209" ht="15.75" customHeight="1">
      <c r="A2209" s="226"/>
      <c r="B2209" s="359"/>
      <c r="C2209" s="359"/>
      <c r="D2209" s="359"/>
      <c r="E2209" s="359"/>
      <c r="F2209" s="360"/>
      <c r="G2209" s="360"/>
      <c r="H2209" s="359"/>
      <c r="I2209" s="359"/>
      <c r="J2209" s="359"/>
      <c r="K2209" s="359"/>
      <c r="L2209" s="361"/>
      <c r="M2209" s="359"/>
      <c r="N2209" s="359"/>
      <c r="O2209" s="359"/>
      <c r="P2209" s="359"/>
      <c r="Q2209" s="359"/>
      <c r="R2209" s="359"/>
      <c r="S2209" s="359"/>
      <c r="T2209" s="359"/>
      <c r="U2209" s="359"/>
    </row>
    <row r="2210" ht="15.75" customHeight="1">
      <c r="A2210" s="226"/>
      <c r="B2210" s="359"/>
      <c r="C2210" s="359"/>
      <c r="D2210" s="359"/>
      <c r="E2210" s="359"/>
      <c r="F2210" s="360"/>
      <c r="G2210" s="360"/>
      <c r="H2210" s="359"/>
      <c r="I2210" s="359"/>
      <c r="J2210" s="359"/>
      <c r="K2210" s="359"/>
      <c r="L2210" s="361"/>
      <c r="M2210" s="359"/>
      <c r="N2210" s="359"/>
      <c r="O2210" s="359"/>
      <c r="P2210" s="359"/>
      <c r="Q2210" s="359"/>
      <c r="R2210" s="359"/>
      <c r="S2210" s="359"/>
      <c r="T2210" s="359"/>
      <c r="U2210" s="359"/>
    </row>
    <row r="2211" ht="15.75" customHeight="1">
      <c r="A2211" s="226"/>
      <c r="B2211" s="359"/>
      <c r="C2211" s="359"/>
      <c r="D2211" s="359"/>
      <c r="E2211" s="359"/>
      <c r="F2211" s="360"/>
      <c r="G2211" s="360"/>
      <c r="H2211" s="359"/>
      <c r="I2211" s="359"/>
      <c r="J2211" s="359"/>
      <c r="K2211" s="359"/>
      <c r="L2211" s="361"/>
      <c r="M2211" s="359"/>
      <c r="N2211" s="359"/>
      <c r="O2211" s="359"/>
      <c r="P2211" s="359"/>
      <c r="Q2211" s="359"/>
      <c r="R2211" s="359"/>
      <c r="S2211" s="359"/>
      <c r="T2211" s="359"/>
      <c r="U2211" s="359"/>
    </row>
    <row r="2212" ht="15.75" customHeight="1">
      <c r="A2212" s="226"/>
      <c r="B2212" s="359"/>
      <c r="C2212" s="359"/>
      <c r="D2212" s="359"/>
      <c r="E2212" s="359"/>
      <c r="F2212" s="360"/>
      <c r="G2212" s="360"/>
      <c r="H2212" s="359"/>
      <c r="I2212" s="359"/>
      <c r="J2212" s="359"/>
      <c r="K2212" s="359"/>
      <c r="L2212" s="361"/>
      <c r="M2212" s="359"/>
      <c r="N2212" s="359"/>
      <c r="O2212" s="359"/>
      <c r="P2212" s="359"/>
      <c r="Q2212" s="359"/>
      <c r="R2212" s="359"/>
      <c r="S2212" s="359"/>
      <c r="T2212" s="359"/>
      <c r="U2212" s="359"/>
    </row>
    <row r="2213" ht="15.75" customHeight="1">
      <c r="A2213" s="226"/>
      <c r="B2213" s="359"/>
      <c r="C2213" s="359"/>
      <c r="D2213" s="359"/>
      <c r="E2213" s="359"/>
      <c r="F2213" s="360"/>
      <c r="G2213" s="360"/>
      <c r="H2213" s="359"/>
      <c r="I2213" s="359"/>
      <c r="J2213" s="359"/>
      <c r="K2213" s="359"/>
      <c r="L2213" s="361"/>
      <c r="M2213" s="359"/>
      <c r="N2213" s="359"/>
      <c r="O2213" s="359"/>
      <c r="P2213" s="359"/>
      <c r="Q2213" s="359"/>
      <c r="R2213" s="359"/>
      <c r="S2213" s="359"/>
      <c r="T2213" s="359"/>
      <c r="U2213" s="359"/>
    </row>
    <row r="2214" ht="15.75" customHeight="1">
      <c r="A2214" s="226"/>
      <c r="B2214" s="359"/>
      <c r="C2214" s="359"/>
      <c r="D2214" s="359"/>
      <c r="E2214" s="359"/>
      <c r="F2214" s="360"/>
      <c r="G2214" s="360"/>
      <c r="H2214" s="359"/>
      <c r="I2214" s="359"/>
      <c r="J2214" s="359"/>
      <c r="K2214" s="359"/>
      <c r="L2214" s="361"/>
      <c r="M2214" s="359"/>
      <c r="N2214" s="359"/>
      <c r="O2214" s="359"/>
      <c r="P2214" s="359"/>
      <c r="Q2214" s="359"/>
      <c r="R2214" s="359"/>
      <c r="S2214" s="359"/>
      <c r="T2214" s="359"/>
      <c r="U2214" s="359"/>
    </row>
    <row r="2215" ht="15.75" customHeight="1">
      <c r="A2215" s="226"/>
      <c r="B2215" s="359"/>
      <c r="C2215" s="359"/>
      <c r="D2215" s="359"/>
      <c r="E2215" s="359"/>
      <c r="F2215" s="360"/>
      <c r="G2215" s="360"/>
      <c r="H2215" s="359"/>
      <c r="I2215" s="359"/>
      <c r="J2215" s="359"/>
      <c r="K2215" s="359"/>
      <c r="L2215" s="361"/>
      <c r="M2215" s="359"/>
      <c r="N2215" s="359"/>
      <c r="O2215" s="359"/>
      <c r="P2215" s="359"/>
      <c r="Q2215" s="359"/>
      <c r="R2215" s="359"/>
      <c r="S2215" s="359"/>
      <c r="T2215" s="359"/>
      <c r="U2215" s="359"/>
    </row>
    <row r="2216" ht="15.75" customHeight="1">
      <c r="A2216" s="226"/>
      <c r="B2216" s="359"/>
      <c r="C2216" s="359"/>
      <c r="D2216" s="359"/>
      <c r="E2216" s="359"/>
      <c r="F2216" s="360"/>
      <c r="G2216" s="360"/>
      <c r="H2216" s="359"/>
      <c r="I2216" s="359"/>
      <c r="J2216" s="359"/>
      <c r="K2216" s="359"/>
      <c r="L2216" s="361"/>
      <c r="M2216" s="359"/>
      <c r="N2216" s="359"/>
      <c r="O2216" s="359"/>
      <c r="P2216" s="359"/>
      <c r="Q2216" s="359"/>
      <c r="R2216" s="359"/>
      <c r="S2216" s="359"/>
      <c r="T2216" s="359"/>
      <c r="U2216" s="359"/>
    </row>
    <row r="2217" ht="15.75" customHeight="1">
      <c r="A2217" s="226"/>
      <c r="B2217" s="359"/>
      <c r="C2217" s="359"/>
      <c r="D2217" s="359"/>
      <c r="E2217" s="359"/>
      <c r="F2217" s="360"/>
      <c r="G2217" s="360"/>
      <c r="H2217" s="359"/>
      <c r="I2217" s="359"/>
      <c r="J2217" s="359"/>
      <c r="K2217" s="359"/>
      <c r="L2217" s="361"/>
      <c r="M2217" s="359"/>
      <c r="N2217" s="359"/>
      <c r="O2217" s="359"/>
      <c r="P2217" s="359"/>
      <c r="Q2217" s="359"/>
      <c r="R2217" s="359"/>
      <c r="S2217" s="359"/>
      <c r="T2217" s="359"/>
      <c r="U2217" s="359"/>
    </row>
    <row r="2218" ht="15.75" customHeight="1">
      <c r="A2218" s="226"/>
      <c r="B2218" s="359"/>
      <c r="C2218" s="359"/>
      <c r="D2218" s="359"/>
      <c r="E2218" s="359"/>
      <c r="F2218" s="360"/>
      <c r="G2218" s="360"/>
      <c r="H2218" s="359"/>
      <c r="I2218" s="359"/>
      <c r="J2218" s="359"/>
      <c r="K2218" s="359"/>
      <c r="L2218" s="361"/>
      <c r="M2218" s="359"/>
      <c r="N2218" s="359"/>
      <c r="O2218" s="359"/>
      <c r="P2218" s="359"/>
      <c r="Q2218" s="359"/>
      <c r="R2218" s="359"/>
      <c r="S2218" s="359"/>
      <c r="T2218" s="359"/>
      <c r="U2218" s="359"/>
    </row>
    <row r="2219" ht="15.75" customHeight="1">
      <c r="A2219" s="226"/>
      <c r="B2219" s="359"/>
      <c r="C2219" s="359"/>
      <c r="D2219" s="359"/>
      <c r="E2219" s="359"/>
      <c r="F2219" s="360"/>
      <c r="G2219" s="360"/>
      <c r="H2219" s="359"/>
      <c r="I2219" s="359"/>
      <c r="J2219" s="359"/>
      <c r="K2219" s="359"/>
      <c r="L2219" s="361"/>
      <c r="M2219" s="359"/>
      <c r="N2219" s="359"/>
      <c r="O2219" s="359"/>
      <c r="P2219" s="359"/>
      <c r="Q2219" s="359"/>
      <c r="R2219" s="359"/>
      <c r="S2219" s="359"/>
      <c r="T2219" s="359"/>
      <c r="U2219" s="359"/>
    </row>
    <row r="2220" ht="15.75" customHeight="1">
      <c r="A2220" s="226"/>
      <c r="B2220" s="359"/>
      <c r="C2220" s="359"/>
      <c r="D2220" s="359"/>
      <c r="E2220" s="359"/>
      <c r="F2220" s="360"/>
      <c r="G2220" s="360"/>
      <c r="H2220" s="359"/>
      <c r="I2220" s="359"/>
      <c r="J2220" s="359"/>
      <c r="K2220" s="359"/>
      <c r="L2220" s="361"/>
      <c r="M2220" s="359"/>
      <c r="N2220" s="359"/>
      <c r="O2220" s="359"/>
      <c r="P2220" s="359"/>
      <c r="Q2220" s="359"/>
      <c r="R2220" s="359"/>
      <c r="S2220" s="359"/>
      <c r="T2220" s="359"/>
      <c r="U2220" s="359"/>
    </row>
    <row r="2221" ht="15.75" customHeight="1">
      <c r="A2221" s="226"/>
      <c r="B2221" s="359"/>
      <c r="C2221" s="359"/>
      <c r="D2221" s="359"/>
      <c r="E2221" s="359"/>
      <c r="F2221" s="360"/>
      <c r="G2221" s="360"/>
      <c r="H2221" s="359"/>
      <c r="I2221" s="359"/>
      <c r="J2221" s="359"/>
      <c r="K2221" s="359"/>
      <c r="L2221" s="361"/>
      <c r="M2221" s="359"/>
      <c r="N2221" s="359"/>
      <c r="O2221" s="359"/>
      <c r="P2221" s="359"/>
      <c r="Q2221" s="359"/>
      <c r="R2221" s="359"/>
      <c r="S2221" s="359"/>
      <c r="T2221" s="359"/>
      <c r="U2221" s="359"/>
    </row>
    <row r="2222" ht="15.75" customHeight="1">
      <c r="A2222" s="226"/>
      <c r="B2222" s="359"/>
      <c r="C2222" s="359"/>
      <c r="D2222" s="359"/>
      <c r="E2222" s="359"/>
      <c r="F2222" s="360"/>
      <c r="G2222" s="360"/>
      <c r="H2222" s="359"/>
      <c r="I2222" s="359"/>
      <c r="J2222" s="359"/>
      <c r="K2222" s="359"/>
      <c r="L2222" s="361"/>
      <c r="M2222" s="359"/>
      <c r="N2222" s="359"/>
      <c r="O2222" s="359"/>
      <c r="P2222" s="359"/>
      <c r="Q2222" s="359"/>
      <c r="R2222" s="359"/>
      <c r="S2222" s="359"/>
      <c r="T2222" s="359"/>
      <c r="U2222" s="359"/>
    </row>
    <row r="2223" ht="15.75" customHeight="1">
      <c r="A2223" s="226"/>
      <c r="B2223" s="359"/>
      <c r="C2223" s="359"/>
      <c r="D2223" s="359"/>
      <c r="E2223" s="359"/>
      <c r="F2223" s="360"/>
      <c r="G2223" s="360"/>
      <c r="H2223" s="359"/>
      <c r="I2223" s="359"/>
      <c r="J2223" s="359"/>
      <c r="K2223" s="359"/>
      <c r="L2223" s="361"/>
      <c r="M2223" s="359"/>
      <c r="N2223" s="359"/>
      <c r="O2223" s="359"/>
      <c r="P2223" s="359"/>
      <c r="Q2223" s="359"/>
      <c r="R2223" s="359"/>
      <c r="S2223" s="359"/>
      <c r="T2223" s="359"/>
      <c r="U2223" s="359"/>
    </row>
    <row r="2224" ht="15.75" customHeight="1">
      <c r="A2224" s="226"/>
      <c r="B2224" s="359"/>
      <c r="C2224" s="359"/>
      <c r="D2224" s="359"/>
      <c r="E2224" s="359"/>
      <c r="F2224" s="360"/>
      <c r="G2224" s="360"/>
      <c r="H2224" s="359"/>
      <c r="I2224" s="359"/>
      <c r="J2224" s="359"/>
      <c r="K2224" s="359"/>
      <c r="L2224" s="361"/>
      <c r="M2224" s="359"/>
      <c r="N2224" s="359"/>
      <c r="O2224" s="359"/>
      <c r="P2224" s="359"/>
      <c r="Q2224" s="359"/>
      <c r="R2224" s="359"/>
      <c r="S2224" s="359"/>
      <c r="T2224" s="359"/>
      <c r="U2224" s="359"/>
    </row>
    <row r="2225" ht="15.75" customHeight="1">
      <c r="A2225" s="226"/>
      <c r="B2225" s="359"/>
      <c r="C2225" s="359"/>
      <c r="D2225" s="359"/>
      <c r="E2225" s="359"/>
      <c r="F2225" s="360"/>
      <c r="G2225" s="360"/>
      <c r="H2225" s="359"/>
      <c r="I2225" s="359"/>
      <c r="J2225" s="359"/>
      <c r="K2225" s="359"/>
      <c r="L2225" s="361"/>
      <c r="M2225" s="359"/>
      <c r="N2225" s="359"/>
      <c r="O2225" s="359"/>
      <c r="P2225" s="359"/>
      <c r="Q2225" s="359"/>
      <c r="R2225" s="359"/>
      <c r="S2225" s="359"/>
      <c r="T2225" s="359"/>
      <c r="U2225" s="359"/>
    </row>
    <row r="2226" ht="15.75" customHeight="1">
      <c r="A2226" s="226"/>
      <c r="B2226" s="359"/>
      <c r="C2226" s="359"/>
      <c r="D2226" s="359"/>
      <c r="E2226" s="359"/>
      <c r="F2226" s="360"/>
      <c r="G2226" s="360"/>
      <c r="H2226" s="359"/>
      <c r="I2226" s="359"/>
      <c r="J2226" s="359"/>
      <c r="K2226" s="359"/>
      <c r="L2226" s="361"/>
      <c r="M2226" s="359"/>
      <c r="N2226" s="359"/>
      <c r="O2226" s="359"/>
      <c r="P2226" s="359"/>
      <c r="Q2226" s="359"/>
      <c r="R2226" s="359"/>
      <c r="S2226" s="359"/>
      <c r="T2226" s="359"/>
      <c r="U2226" s="359"/>
    </row>
    <row r="2227" ht="15.75" customHeight="1">
      <c r="A2227" s="226"/>
      <c r="B2227" s="359"/>
      <c r="C2227" s="359"/>
      <c r="D2227" s="359"/>
      <c r="E2227" s="359"/>
      <c r="F2227" s="360"/>
      <c r="G2227" s="360"/>
      <c r="H2227" s="359"/>
      <c r="I2227" s="359"/>
      <c r="J2227" s="359"/>
      <c r="K2227" s="359"/>
      <c r="L2227" s="361"/>
      <c r="M2227" s="359"/>
      <c r="N2227" s="359"/>
      <c r="O2227" s="359"/>
      <c r="P2227" s="359"/>
      <c r="Q2227" s="359"/>
      <c r="R2227" s="359"/>
      <c r="S2227" s="359"/>
      <c r="T2227" s="359"/>
      <c r="U2227" s="359"/>
    </row>
    <row r="2228" ht="15.75" customHeight="1">
      <c r="A2228" s="226"/>
      <c r="B2228" s="359"/>
      <c r="C2228" s="359"/>
      <c r="D2228" s="359"/>
      <c r="E2228" s="359"/>
      <c r="F2228" s="360"/>
      <c r="G2228" s="360"/>
      <c r="H2228" s="359"/>
      <c r="I2228" s="359"/>
      <c r="J2228" s="359"/>
      <c r="K2228" s="359"/>
      <c r="L2228" s="361"/>
      <c r="M2228" s="359"/>
      <c r="N2228" s="359"/>
      <c r="O2228" s="359"/>
      <c r="P2228" s="359"/>
      <c r="Q2228" s="359"/>
      <c r="R2228" s="359"/>
      <c r="S2228" s="359"/>
      <c r="T2228" s="359"/>
      <c r="U2228" s="359"/>
    </row>
    <row r="2229" ht="15.75" customHeight="1">
      <c r="A2229" s="226"/>
      <c r="B2229" s="359"/>
      <c r="C2229" s="359"/>
      <c r="D2229" s="359"/>
      <c r="E2229" s="359"/>
      <c r="F2229" s="360"/>
      <c r="G2229" s="360"/>
      <c r="H2229" s="359"/>
      <c r="I2229" s="359"/>
      <c r="J2229" s="359"/>
      <c r="K2229" s="359"/>
      <c r="L2229" s="361"/>
      <c r="M2229" s="359"/>
      <c r="N2229" s="359"/>
      <c r="O2229" s="359"/>
      <c r="P2229" s="359"/>
      <c r="Q2229" s="359"/>
      <c r="R2229" s="359"/>
      <c r="S2229" s="359"/>
      <c r="T2229" s="359"/>
      <c r="U2229" s="359"/>
    </row>
    <row r="2230" ht="15.75" customHeight="1">
      <c r="A2230" s="226"/>
      <c r="B2230" s="359"/>
      <c r="C2230" s="359"/>
      <c r="D2230" s="359"/>
      <c r="E2230" s="359"/>
      <c r="F2230" s="360"/>
      <c r="G2230" s="360"/>
      <c r="H2230" s="359"/>
      <c r="I2230" s="359"/>
      <c r="J2230" s="359"/>
      <c r="K2230" s="359"/>
      <c r="L2230" s="361"/>
      <c r="M2230" s="359"/>
      <c r="N2230" s="359"/>
      <c r="O2230" s="359"/>
      <c r="P2230" s="359"/>
      <c r="Q2230" s="359"/>
      <c r="R2230" s="359"/>
      <c r="S2230" s="359"/>
      <c r="T2230" s="359"/>
      <c r="U2230" s="359"/>
    </row>
    <row r="2231" ht="15.75" customHeight="1">
      <c r="A2231" s="226"/>
      <c r="B2231" s="359"/>
      <c r="C2231" s="359"/>
      <c r="D2231" s="359"/>
      <c r="E2231" s="359"/>
      <c r="F2231" s="360"/>
      <c r="G2231" s="360"/>
      <c r="H2231" s="359"/>
      <c r="I2231" s="359"/>
      <c r="J2231" s="359"/>
      <c r="K2231" s="359"/>
      <c r="L2231" s="361"/>
      <c r="M2231" s="359"/>
      <c r="N2231" s="359"/>
      <c r="O2231" s="359"/>
      <c r="P2231" s="359"/>
      <c r="Q2231" s="359"/>
      <c r="R2231" s="359"/>
      <c r="S2231" s="359"/>
      <c r="T2231" s="359"/>
      <c r="U2231" s="359"/>
    </row>
    <row r="2232" ht="15.75" customHeight="1">
      <c r="A2232" s="226"/>
      <c r="B2232" s="359"/>
      <c r="C2232" s="359"/>
      <c r="D2232" s="359"/>
      <c r="E2232" s="359"/>
      <c r="F2232" s="360"/>
      <c r="G2232" s="360"/>
      <c r="H2232" s="359"/>
      <c r="I2232" s="359"/>
      <c r="J2232" s="359"/>
      <c r="K2232" s="359"/>
      <c r="L2232" s="361"/>
      <c r="M2232" s="359"/>
      <c r="N2232" s="359"/>
      <c r="O2232" s="359"/>
      <c r="P2232" s="359"/>
      <c r="Q2232" s="359"/>
      <c r="R2232" s="359"/>
      <c r="S2232" s="359"/>
      <c r="T2232" s="359"/>
      <c r="U2232" s="359"/>
    </row>
    <row r="2233" ht="15.75" customHeight="1">
      <c r="A2233" s="226"/>
      <c r="B2233" s="359"/>
      <c r="C2233" s="359"/>
      <c r="D2233" s="359"/>
      <c r="E2233" s="359"/>
      <c r="F2233" s="360"/>
      <c r="G2233" s="360"/>
      <c r="H2233" s="359"/>
      <c r="I2233" s="359"/>
      <c r="J2233" s="359"/>
      <c r="K2233" s="359"/>
      <c r="L2233" s="361"/>
      <c r="M2233" s="359"/>
      <c r="N2233" s="359"/>
      <c r="O2233" s="359"/>
      <c r="P2233" s="359"/>
      <c r="Q2233" s="359"/>
      <c r="R2233" s="359"/>
      <c r="S2233" s="359"/>
      <c r="T2233" s="359"/>
      <c r="U2233" s="359"/>
    </row>
    <row r="2234" ht="15.75" customHeight="1">
      <c r="A2234" s="226"/>
      <c r="B2234" s="359"/>
      <c r="C2234" s="359"/>
      <c r="D2234" s="359"/>
      <c r="E2234" s="359"/>
      <c r="F2234" s="360"/>
      <c r="G2234" s="360"/>
      <c r="H2234" s="359"/>
      <c r="I2234" s="359"/>
      <c r="J2234" s="359"/>
      <c r="K2234" s="359"/>
      <c r="L2234" s="361"/>
      <c r="M2234" s="359"/>
      <c r="N2234" s="359"/>
      <c r="O2234" s="359"/>
      <c r="P2234" s="359"/>
      <c r="Q2234" s="359"/>
      <c r="R2234" s="359"/>
      <c r="S2234" s="359"/>
      <c r="T2234" s="359"/>
      <c r="U2234" s="359"/>
    </row>
    <row r="2235" ht="15.75" customHeight="1">
      <c r="A2235" s="226"/>
      <c r="B2235" s="359"/>
      <c r="C2235" s="359"/>
      <c r="D2235" s="359"/>
      <c r="E2235" s="359"/>
      <c r="F2235" s="360"/>
      <c r="G2235" s="360"/>
      <c r="H2235" s="359"/>
      <c r="I2235" s="359"/>
      <c r="J2235" s="359"/>
      <c r="K2235" s="359"/>
      <c r="L2235" s="361"/>
      <c r="M2235" s="359"/>
      <c r="N2235" s="359"/>
      <c r="O2235" s="359"/>
      <c r="P2235" s="359"/>
      <c r="Q2235" s="359"/>
      <c r="R2235" s="359"/>
      <c r="S2235" s="359"/>
      <c r="T2235" s="359"/>
      <c r="U2235" s="359"/>
    </row>
    <row r="2236" ht="15.75" customHeight="1">
      <c r="A2236" s="226"/>
      <c r="B2236" s="359"/>
      <c r="C2236" s="359"/>
      <c r="D2236" s="359"/>
      <c r="E2236" s="359"/>
      <c r="F2236" s="360"/>
      <c r="G2236" s="360"/>
      <c r="H2236" s="359"/>
      <c r="I2236" s="359"/>
      <c r="J2236" s="359"/>
      <c r="K2236" s="359"/>
      <c r="L2236" s="361"/>
      <c r="M2236" s="359"/>
      <c r="N2236" s="359"/>
      <c r="O2236" s="359"/>
      <c r="P2236" s="359"/>
      <c r="Q2236" s="359"/>
      <c r="R2236" s="359"/>
      <c r="S2236" s="359"/>
      <c r="T2236" s="359"/>
      <c r="U2236" s="359"/>
    </row>
    <row r="2237" ht="15.75" customHeight="1">
      <c r="A2237" s="226"/>
      <c r="B2237" s="359"/>
      <c r="C2237" s="359"/>
      <c r="D2237" s="359"/>
      <c r="E2237" s="359"/>
      <c r="F2237" s="360"/>
      <c r="G2237" s="360"/>
      <c r="H2237" s="359"/>
      <c r="I2237" s="359"/>
      <c r="J2237" s="359"/>
      <c r="K2237" s="359"/>
      <c r="L2237" s="361"/>
      <c r="M2237" s="359"/>
      <c r="N2237" s="359"/>
      <c r="O2237" s="359"/>
      <c r="P2237" s="359"/>
      <c r="Q2237" s="359"/>
      <c r="R2237" s="359"/>
      <c r="S2237" s="359"/>
      <c r="T2237" s="359"/>
      <c r="U2237" s="359"/>
    </row>
    <row r="2238" ht="15.75" customHeight="1">
      <c r="A2238" s="226"/>
      <c r="B2238" s="359"/>
      <c r="C2238" s="359"/>
      <c r="D2238" s="359"/>
      <c r="E2238" s="359"/>
      <c r="F2238" s="360"/>
      <c r="G2238" s="360"/>
      <c r="H2238" s="359"/>
      <c r="I2238" s="359"/>
      <c r="J2238" s="359"/>
      <c r="K2238" s="359"/>
      <c r="L2238" s="361"/>
      <c r="M2238" s="359"/>
      <c r="N2238" s="359"/>
      <c r="O2238" s="359"/>
      <c r="P2238" s="359"/>
      <c r="Q2238" s="359"/>
      <c r="R2238" s="359"/>
      <c r="S2238" s="359"/>
      <c r="T2238" s="359"/>
      <c r="U2238" s="359"/>
    </row>
    <row r="2239" ht="15.75" customHeight="1">
      <c r="A2239" s="226"/>
      <c r="B2239" s="359"/>
      <c r="C2239" s="359"/>
      <c r="D2239" s="359"/>
      <c r="E2239" s="359"/>
      <c r="F2239" s="360"/>
      <c r="G2239" s="360"/>
      <c r="H2239" s="359"/>
      <c r="I2239" s="359"/>
      <c r="J2239" s="359"/>
      <c r="K2239" s="359"/>
      <c r="L2239" s="361"/>
      <c r="M2239" s="359"/>
      <c r="N2239" s="359"/>
      <c r="O2239" s="359"/>
      <c r="P2239" s="359"/>
      <c r="Q2239" s="359"/>
      <c r="R2239" s="359"/>
      <c r="S2239" s="359"/>
      <c r="T2239" s="359"/>
      <c r="U2239" s="359"/>
    </row>
    <row r="2240" ht="15.75" customHeight="1">
      <c r="A2240" s="226"/>
      <c r="B2240" s="359"/>
      <c r="C2240" s="359"/>
      <c r="D2240" s="359"/>
      <c r="E2240" s="359"/>
      <c r="F2240" s="360"/>
      <c r="G2240" s="360"/>
      <c r="H2240" s="359"/>
      <c r="I2240" s="359"/>
      <c r="J2240" s="359"/>
      <c r="K2240" s="359"/>
      <c r="L2240" s="361"/>
      <c r="M2240" s="359"/>
      <c r="N2240" s="359"/>
      <c r="O2240" s="359"/>
      <c r="P2240" s="359"/>
      <c r="Q2240" s="359"/>
      <c r="R2240" s="359"/>
      <c r="S2240" s="359"/>
      <c r="T2240" s="359"/>
      <c r="U2240" s="359"/>
    </row>
    <row r="2241" ht="15.75" customHeight="1">
      <c r="A2241" s="226"/>
      <c r="B2241" s="359"/>
      <c r="C2241" s="359"/>
      <c r="D2241" s="359"/>
      <c r="E2241" s="359"/>
      <c r="F2241" s="360"/>
      <c r="G2241" s="360"/>
      <c r="H2241" s="359"/>
      <c r="I2241" s="359"/>
      <c r="J2241" s="359"/>
      <c r="K2241" s="359"/>
      <c r="L2241" s="361"/>
      <c r="M2241" s="359"/>
      <c r="N2241" s="359"/>
      <c r="O2241" s="359"/>
      <c r="P2241" s="359"/>
      <c r="Q2241" s="359"/>
      <c r="R2241" s="359"/>
      <c r="S2241" s="359"/>
      <c r="T2241" s="359"/>
      <c r="U2241" s="359"/>
    </row>
    <row r="2242" ht="15.75" customHeight="1">
      <c r="A2242" s="226"/>
      <c r="B2242" s="359"/>
      <c r="C2242" s="359"/>
      <c r="D2242" s="359"/>
      <c r="E2242" s="359"/>
      <c r="F2242" s="360"/>
      <c r="G2242" s="360"/>
      <c r="H2242" s="359"/>
      <c r="I2242" s="359"/>
      <c r="J2242" s="359"/>
      <c r="K2242" s="359"/>
      <c r="L2242" s="361"/>
      <c r="M2242" s="359"/>
      <c r="N2242" s="359"/>
      <c r="O2242" s="359"/>
      <c r="P2242" s="359"/>
      <c r="Q2242" s="359"/>
      <c r="R2242" s="359"/>
      <c r="S2242" s="359"/>
      <c r="T2242" s="359"/>
      <c r="U2242" s="359"/>
    </row>
    <row r="2243" ht="15.75" customHeight="1">
      <c r="A2243" s="226"/>
      <c r="B2243" s="359"/>
      <c r="C2243" s="359"/>
      <c r="D2243" s="359"/>
      <c r="E2243" s="359"/>
      <c r="F2243" s="360"/>
      <c r="G2243" s="360"/>
      <c r="H2243" s="359"/>
      <c r="I2243" s="359"/>
      <c r="J2243" s="359"/>
      <c r="K2243" s="359"/>
      <c r="L2243" s="361"/>
      <c r="M2243" s="359"/>
      <c r="N2243" s="359"/>
      <c r="O2243" s="359"/>
      <c r="P2243" s="359"/>
      <c r="Q2243" s="359"/>
      <c r="R2243" s="359"/>
      <c r="S2243" s="359"/>
      <c r="T2243" s="359"/>
      <c r="U2243" s="359"/>
    </row>
    <row r="2244" ht="15.75" customHeight="1">
      <c r="A2244" s="226"/>
      <c r="B2244" s="359"/>
      <c r="C2244" s="359"/>
      <c r="D2244" s="359"/>
      <c r="E2244" s="359"/>
      <c r="F2244" s="360"/>
      <c r="G2244" s="360"/>
      <c r="H2244" s="359"/>
      <c r="I2244" s="359"/>
      <c r="J2244" s="359"/>
      <c r="K2244" s="359"/>
      <c r="L2244" s="361"/>
      <c r="M2244" s="359"/>
      <c r="N2244" s="359"/>
      <c r="O2244" s="359"/>
      <c r="P2244" s="359"/>
      <c r="Q2244" s="359"/>
      <c r="R2244" s="359"/>
      <c r="S2244" s="359"/>
      <c r="T2244" s="359"/>
      <c r="U2244" s="359"/>
    </row>
    <row r="2245" ht="15.75" customHeight="1">
      <c r="A2245" s="226"/>
      <c r="B2245" s="359"/>
      <c r="C2245" s="359"/>
      <c r="D2245" s="359"/>
      <c r="E2245" s="359"/>
      <c r="F2245" s="360"/>
      <c r="G2245" s="360"/>
      <c r="H2245" s="359"/>
      <c r="I2245" s="359"/>
      <c r="J2245" s="359"/>
      <c r="K2245" s="359"/>
      <c r="L2245" s="361"/>
      <c r="M2245" s="359"/>
      <c r="N2245" s="359"/>
      <c r="O2245" s="359"/>
      <c r="P2245" s="359"/>
      <c r="Q2245" s="359"/>
      <c r="R2245" s="359"/>
      <c r="S2245" s="359"/>
      <c r="T2245" s="359"/>
      <c r="U2245" s="359"/>
    </row>
    <row r="2246" ht="15.75" customHeight="1">
      <c r="A2246" s="226"/>
      <c r="B2246" s="359"/>
      <c r="C2246" s="359"/>
      <c r="D2246" s="359"/>
      <c r="E2246" s="359"/>
      <c r="F2246" s="360"/>
      <c r="G2246" s="360"/>
      <c r="H2246" s="359"/>
      <c r="I2246" s="359"/>
      <c r="J2246" s="359"/>
      <c r="K2246" s="359"/>
      <c r="L2246" s="361"/>
      <c r="M2246" s="359"/>
      <c r="N2246" s="359"/>
      <c r="O2246" s="359"/>
      <c r="P2246" s="359"/>
      <c r="Q2246" s="359"/>
      <c r="R2246" s="359"/>
      <c r="S2246" s="359"/>
      <c r="T2246" s="359"/>
      <c r="U2246" s="359"/>
    </row>
    <row r="2247" ht="15.75" customHeight="1">
      <c r="A2247" s="226"/>
      <c r="B2247" s="359"/>
      <c r="C2247" s="359"/>
      <c r="D2247" s="359"/>
      <c r="E2247" s="359"/>
      <c r="F2247" s="360"/>
      <c r="G2247" s="360"/>
      <c r="H2247" s="359"/>
      <c r="I2247" s="359"/>
      <c r="J2247" s="359"/>
      <c r="K2247" s="359"/>
      <c r="L2247" s="361"/>
      <c r="M2247" s="359"/>
      <c r="N2247" s="359"/>
      <c r="O2247" s="359"/>
      <c r="P2247" s="359"/>
      <c r="Q2247" s="359"/>
      <c r="R2247" s="359"/>
      <c r="S2247" s="359"/>
      <c r="T2247" s="359"/>
      <c r="U2247" s="359"/>
    </row>
    <row r="2248" ht="15.75" customHeight="1">
      <c r="A2248" s="226"/>
      <c r="B2248" s="359"/>
      <c r="C2248" s="359"/>
      <c r="D2248" s="359"/>
      <c r="E2248" s="359"/>
      <c r="F2248" s="360"/>
      <c r="G2248" s="360"/>
      <c r="H2248" s="359"/>
      <c r="I2248" s="359"/>
      <c r="J2248" s="359"/>
      <c r="K2248" s="359"/>
      <c r="L2248" s="361"/>
      <c r="M2248" s="359"/>
      <c r="N2248" s="359"/>
      <c r="O2248" s="359"/>
      <c r="P2248" s="359"/>
      <c r="Q2248" s="359"/>
      <c r="R2248" s="359"/>
      <c r="S2248" s="359"/>
      <c r="T2248" s="359"/>
      <c r="U2248" s="359"/>
    </row>
    <row r="2249" ht="15.75" customHeight="1">
      <c r="A2249" s="226"/>
      <c r="B2249" s="359"/>
      <c r="C2249" s="359"/>
      <c r="D2249" s="359"/>
      <c r="E2249" s="359"/>
      <c r="F2249" s="360"/>
      <c r="G2249" s="360"/>
      <c r="H2249" s="359"/>
      <c r="I2249" s="359"/>
      <c r="J2249" s="359"/>
      <c r="K2249" s="359"/>
      <c r="L2249" s="361"/>
      <c r="M2249" s="359"/>
      <c r="N2249" s="359"/>
      <c r="O2249" s="359"/>
      <c r="P2249" s="359"/>
      <c r="Q2249" s="359"/>
      <c r="R2249" s="359"/>
      <c r="S2249" s="359"/>
      <c r="T2249" s="359"/>
      <c r="U2249" s="359"/>
    </row>
    <row r="2250" ht="15.75" customHeight="1">
      <c r="A2250" s="226"/>
      <c r="B2250" s="359"/>
      <c r="C2250" s="359"/>
      <c r="D2250" s="359"/>
      <c r="E2250" s="359"/>
      <c r="F2250" s="360"/>
      <c r="G2250" s="360"/>
      <c r="H2250" s="359"/>
      <c r="I2250" s="359"/>
      <c r="J2250" s="359"/>
      <c r="K2250" s="359"/>
      <c r="L2250" s="361"/>
      <c r="M2250" s="359"/>
      <c r="N2250" s="359"/>
      <c r="O2250" s="359"/>
      <c r="P2250" s="359"/>
      <c r="Q2250" s="359"/>
      <c r="R2250" s="359"/>
      <c r="S2250" s="359"/>
      <c r="T2250" s="359"/>
      <c r="U2250" s="359"/>
    </row>
    <row r="2251" ht="15.75" customHeight="1">
      <c r="A2251" s="226"/>
      <c r="B2251" s="359"/>
      <c r="C2251" s="359"/>
      <c r="D2251" s="359"/>
      <c r="E2251" s="359"/>
      <c r="F2251" s="360"/>
      <c r="G2251" s="360"/>
      <c r="H2251" s="359"/>
      <c r="I2251" s="359"/>
      <c r="J2251" s="359"/>
      <c r="K2251" s="359"/>
      <c r="L2251" s="361"/>
      <c r="M2251" s="359"/>
      <c r="N2251" s="359"/>
      <c r="O2251" s="359"/>
      <c r="P2251" s="359"/>
      <c r="Q2251" s="359"/>
      <c r="R2251" s="359"/>
      <c r="S2251" s="359"/>
      <c r="T2251" s="359"/>
      <c r="U2251" s="359"/>
    </row>
    <row r="2252" ht="15.75" customHeight="1">
      <c r="A2252" s="226"/>
      <c r="B2252" s="359"/>
      <c r="C2252" s="359"/>
      <c r="D2252" s="359"/>
      <c r="E2252" s="359"/>
      <c r="F2252" s="360"/>
      <c r="G2252" s="360"/>
      <c r="H2252" s="359"/>
      <c r="I2252" s="359"/>
      <c r="J2252" s="359"/>
      <c r="K2252" s="359"/>
      <c r="L2252" s="361"/>
      <c r="M2252" s="359"/>
      <c r="N2252" s="359"/>
      <c r="O2252" s="359"/>
      <c r="P2252" s="359"/>
      <c r="Q2252" s="359"/>
      <c r="R2252" s="359"/>
      <c r="S2252" s="359"/>
      <c r="T2252" s="359"/>
      <c r="U2252" s="359"/>
    </row>
    <row r="2253" ht="15.75" customHeight="1">
      <c r="A2253" s="226"/>
      <c r="B2253" s="359"/>
      <c r="C2253" s="359"/>
      <c r="D2253" s="359"/>
      <c r="E2253" s="359"/>
      <c r="F2253" s="360"/>
      <c r="G2253" s="360"/>
      <c r="H2253" s="359"/>
      <c r="I2253" s="359"/>
      <c r="J2253" s="359"/>
      <c r="K2253" s="359"/>
      <c r="L2253" s="361"/>
      <c r="M2253" s="359"/>
      <c r="N2253" s="359"/>
      <c r="O2253" s="359"/>
      <c r="P2253" s="359"/>
      <c r="Q2253" s="359"/>
      <c r="R2253" s="359"/>
      <c r="S2253" s="359"/>
      <c r="T2253" s="359"/>
      <c r="U2253" s="359"/>
    </row>
    <row r="2254" ht="15.75" customHeight="1">
      <c r="A2254" s="226"/>
      <c r="B2254" s="359"/>
      <c r="C2254" s="359"/>
      <c r="D2254" s="359"/>
      <c r="E2254" s="359"/>
      <c r="F2254" s="360"/>
      <c r="G2254" s="360"/>
      <c r="H2254" s="359"/>
      <c r="I2254" s="359"/>
      <c r="J2254" s="359"/>
      <c r="K2254" s="359"/>
      <c r="L2254" s="361"/>
      <c r="M2254" s="359"/>
      <c r="N2254" s="359"/>
      <c r="O2254" s="359"/>
      <c r="P2254" s="359"/>
      <c r="Q2254" s="359"/>
      <c r="R2254" s="359"/>
      <c r="S2254" s="359"/>
      <c r="T2254" s="359"/>
      <c r="U2254" s="359"/>
    </row>
    <row r="2255" ht="15.75" customHeight="1">
      <c r="A2255" s="226"/>
      <c r="B2255" s="359"/>
      <c r="C2255" s="359"/>
      <c r="D2255" s="359"/>
      <c r="E2255" s="359"/>
      <c r="F2255" s="360"/>
      <c r="G2255" s="360"/>
      <c r="H2255" s="359"/>
      <c r="I2255" s="359"/>
      <c r="J2255" s="359"/>
      <c r="K2255" s="359"/>
      <c r="L2255" s="361"/>
      <c r="M2255" s="359"/>
      <c r="N2255" s="359"/>
      <c r="O2255" s="359"/>
      <c r="P2255" s="359"/>
      <c r="Q2255" s="359"/>
      <c r="R2255" s="359"/>
      <c r="S2255" s="359"/>
      <c r="T2255" s="359"/>
      <c r="U2255" s="359"/>
    </row>
    <row r="2256" ht="15.75" customHeight="1">
      <c r="A2256" s="226"/>
      <c r="B2256" s="359"/>
      <c r="C2256" s="359"/>
      <c r="D2256" s="359"/>
      <c r="E2256" s="359"/>
      <c r="F2256" s="360"/>
      <c r="G2256" s="360"/>
      <c r="H2256" s="359"/>
      <c r="I2256" s="359"/>
      <c r="J2256" s="359"/>
      <c r="K2256" s="359"/>
      <c r="L2256" s="361"/>
      <c r="M2256" s="359"/>
      <c r="N2256" s="359"/>
      <c r="O2256" s="359"/>
      <c r="P2256" s="359"/>
      <c r="Q2256" s="359"/>
      <c r="R2256" s="359"/>
      <c r="S2256" s="359"/>
      <c r="T2256" s="359"/>
      <c r="U2256" s="359"/>
    </row>
    <row r="2257" ht="15.75" customHeight="1">
      <c r="A2257" s="226"/>
      <c r="B2257" s="359"/>
      <c r="C2257" s="359"/>
      <c r="D2257" s="359"/>
      <c r="E2257" s="359"/>
      <c r="F2257" s="360"/>
      <c r="G2257" s="360"/>
      <c r="H2257" s="359"/>
      <c r="I2257" s="359"/>
      <c r="J2257" s="359"/>
      <c r="K2257" s="359"/>
      <c r="L2257" s="361"/>
      <c r="M2257" s="359"/>
      <c r="N2257" s="359"/>
      <c r="O2257" s="359"/>
      <c r="P2257" s="359"/>
      <c r="Q2257" s="359"/>
      <c r="R2257" s="359"/>
      <c r="S2257" s="359"/>
      <c r="T2257" s="359"/>
      <c r="U2257" s="359"/>
    </row>
    <row r="2258" ht="15.75" customHeight="1">
      <c r="A2258" s="226"/>
      <c r="B2258" s="359"/>
      <c r="C2258" s="359"/>
      <c r="D2258" s="359"/>
      <c r="E2258" s="359"/>
      <c r="F2258" s="360"/>
      <c r="G2258" s="360"/>
      <c r="H2258" s="359"/>
      <c r="I2258" s="359"/>
      <c r="J2258" s="359"/>
      <c r="K2258" s="359"/>
      <c r="L2258" s="361"/>
      <c r="M2258" s="359"/>
      <c r="N2258" s="359"/>
      <c r="O2258" s="359"/>
      <c r="P2258" s="359"/>
      <c r="Q2258" s="359"/>
      <c r="R2258" s="359"/>
      <c r="S2258" s="359"/>
      <c r="T2258" s="359"/>
      <c r="U2258" s="359"/>
    </row>
    <row r="2259" ht="15.75" customHeight="1">
      <c r="A2259" s="226"/>
      <c r="B2259" s="359"/>
      <c r="C2259" s="359"/>
      <c r="D2259" s="359"/>
      <c r="E2259" s="359"/>
      <c r="F2259" s="360"/>
      <c r="G2259" s="360"/>
      <c r="H2259" s="359"/>
      <c r="I2259" s="359"/>
      <c r="J2259" s="359"/>
      <c r="K2259" s="359"/>
      <c r="L2259" s="361"/>
      <c r="M2259" s="359"/>
      <c r="N2259" s="359"/>
      <c r="O2259" s="359"/>
      <c r="P2259" s="359"/>
      <c r="Q2259" s="359"/>
      <c r="R2259" s="359"/>
      <c r="S2259" s="359"/>
      <c r="T2259" s="359"/>
      <c r="U2259" s="359"/>
    </row>
    <row r="2260" ht="15.75" customHeight="1">
      <c r="A2260" s="226"/>
      <c r="B2260" s="359"/>
      <c r="C2260" s="359"/>
      <c r="D2260" s="359"/>
      <c r="E2260" s="359"/>
      <c r="F2260" s="360"/>
      <c r="G2260" s="360"/>
      <c r="H2260" s="359"/>
      <c r="I2260" s="359"/>
      <c r="J2260" s="359"/>
      <c r="K2260" s="359"/>
      <c r="L2260" s="361"/>
      <c r="M2260" s="359"/>
      <c r="N2260" s="359"/>
      <c r="O2260" s="359"/>
      <c r="P2260" s="359"/>
      <c r="Q2260" s="359"/>
      <c r="R2260" s="359"/>
      <c r="S2260" s="359"/>
      <c r="T2260" s="359"/>
      <c r="U2260" s="359"/>
    </row>
    <row r="2261" ht="15.75" customHeight="1">
      <c r="A2261" s="226"/>
      <c r="B2261" s="359"/>
      <c r="C2261" s="359"/>
      <c r="D2261" s="359"/>
      <c r="E2261" s="359"/>
      <c r="F2261" s="360"/>
      <c r="G2261" s="360"/>
      <c r="H2261" s="359"/>
      <c r="I2261" s="359"/>
      <c r="J2261" s="359"/>
      <c r="K2261" s="359"/>
      <c r="L2261" s="361"/>
      <c r="M2261" s="359"/>
      <c r="N2261" s="359"/>
      <c r="O2261" s="359"/>
      <c r="P2261" s="359"/>
      <c r="Q2261" s="359"/>
      <c r="R2261" s="359"/>
      <c r="S2261" s="359"/>
      <c r="T2261" s="359"/>
      <c r="U2261" s="359"/>
    </row>
    <row r="2262" ht="15.75" customHeight="1">
      <c r="A2262" s="226"/>
      <c r="B2262" s="359"/>
      <c r="C2262" s="359"/>
      <c r="D2262" s="359"/>
      <c r="E2262" s="359"/>
      <c r="F2262" s="360"/>
      <c r="G2262" s="360"/>
      <c r="H2262" s="359"/>
      <c r="I2262" s="359"/>
      <c r="J2262" s="359"/>
      <c r="K2262" s="359"/>
      <c r="L2262" s="361"/>
      <c r="M2262" s="359"/>
      <c r="N2262" s="359"/>
      <c r="O2262" s="359"/>
      <c r="P2262" s="359"/>
      <c r="Q2262" s="359"/>
      <c r="R2262" s="359"/>
      <c r="S2262" s="359"/>
      <c r="T2262" s="359"/>
      <c r="U2262" s="359"/>
    </row>
    <row r="2263" ht="15.75" customHeight="1">
      <c r="A2263" s="226"/>
      <c r="B2263" s="359"/>
      <c r="C2263" s="359"/>
      <c r="D2263" s="359"/>
      <c r="E2263" s="359"/>
      <c r="F2263" s="360"/>
      <c r="G2263" s="360"/>
      <c r="H2263" s="359"/>
      <c r="I2263" s="359"/>
      <c r="J2263" s="359"/>
      <c r="K2263" s="359"/>
      <c r="L2263" s="361"/>
      <c r="M2263" s="359"/>
      <c r="N2263" s="359"/>
      <c r="O2263" s="359"/>
      <c r="P2263" s="359"/>
      <c r="Q2263" s="359"/>
      <c r="R2263" s="359"/>
      <c r="S2263" s="359"/>
      <c r="T2263" s="359"/>
      <c r="U2263" s="359"/>
    </row>
    <row r="2264" ht="15.75" customHeight="1">
      <c r="A2264" s="226"/>
      <c r="B2264" s="359"/>
      <c r="C2264" s="359"/>
      <c r="D2264" s="359"/>
      <c r="E2264" s="359"/>
      <c r="F2264" s="360"/>
      <c r="G2264" s="360"/>
      <c r="H2264" s="359"/>
      <c r="I2264" s="359"/>
      <c r="J2264" s="359"/>
      <c r="K2264" s="359"/>
      <c r="L2264" s="361"/>
      <c r="M2264" s="359"/>
      <c r="N2264" s="359"/>
      <c r="O2264" s="359"/>
      <c r="P2264" s="359"/>
      <c r="Q2264" s="359"/>
      <c r="R2264" s="359"/>
      <c r="S2264" s="359"/>
      <c r="T2264" s="359"/>
      <c r="U2264" s="359"/>
    </row>
    <row r="2265" ht="15.75" customHeight="1">
      <c r="A2265" s="226"/>
      <c r="B2265" s="359"/>
      <c r="C2265" s="359"/>
      <c r="D2265" s="359"/>
      <c r="E2265" s="359"/>
      <c r="F2265" s="360"/>
      <c r="G2265" s="360"/>
      <c r="H2265" s="359"/>
      <c r="I2265" s="359"/>
      <c r="J2265" s="359"/>
      <c r="K2265" s="359"/>
      <c r="L2265" s="361"/>
      <c r="M2265" s="359"/>
      <c r="N2265" s="359"/>
      <c r="O2265" s="359"/>
      <c r="P2265" s="359"/>
      <c r="Q2265" s="359"/>
      <c r="R2265" s="359"/>
      <c r="S2265" s="359"/>
      <c r="T2265" s="359"/>
      <c r="U2265" s="359"/>
    </row>
    <row r="2266" ht="15.75" customHeight="1">
      <c r="A2266" s="226"/>
      <c r="B2266" s="359"/>
      <c r="C2266" s="359"/>
      <c r="D2266" s="359"/>
      <c r="E2266" s="359"/>
      <c r="F2266" s="360"/>
      <c r="G2266" s="360"/>
      <c r="H2266" s="359"/>
      <c r="I2266" s="359"/>
      <c r="J2266" s="359"/>
      <c r="K2266" s="359"/>
      <c r="L2266" s="361"/>
      <c r="M2266" s="359"/>
      <c r="N2266" s="359"/>
      <c r="O2266" s="359"/>
      <c r="P2266" s="359"/>
      <c r="Q2266" s="359"/>
      <c r="R2266" s="359"/>
      <c r="S2266" s="359"/>
      <c r="T2266" s="359"/>
      <c r="U2266" s="359"/>
    </row>
    <row r="2267" ht="15.75" customHeight="1">
      <c r="A2267" s="226"/>
      <c r="B2267" s="359"/>
      <c r="C2267" s="359"/>
      <c r="D2267" s="359"/>
      <c r="E2267" s="359"/>
      <c r="F2267" s="360"/>
      <c r="G2267" s="360"/>
      <c r="H2267" s="359"/>
      <c r="I2267" s="359"/>
      <c r="J2267" s="359"/>
      <c r="K2267" s="359"/>
      <c r="L2267" s="361"/>
      <c r="M2267" s="359"/>
      <c r="N2267" s="359"/>
      <c r="O2267" s="359"/>
      <c r="P2267" s="359"/>
      <c r="Q2267" s="359"/>
      <c r="R2267" s="359"/>
      <c r="S2267" s="359"/>
      <c r="T2267" s="359"/>
      <c r="U2267" s="359"/>
    </row>
    <row r="2268" ht="15.75" customHeight="1">
      <c r="A2268" s="226"/>
      <c r="B2268" s="359"/>
      <c r="C2268" s="359"/>
      <c r="D2268" s="359"/>
      <c r="E2268" s="359"/>
      <c r="F2268" s="360"/>
      <c r="G2268" s="360"/>
      <c r="H2268" s="359"/>
      <c r="I2268" s="359"/>
      <c r="J2268" s="359"/>
      <c r="K2268" s="359"/>
      <c r="L2268" s="361"/>
      <c r="M2268" s="359"/>
      <c r="N2268" s="359"/>
      <c r="O2268" s="359"/>
      <c r="P2268" s="359"/>
      <c r="Q2268" s="359"/>
      <c r="R2268" s="359"/>
      <c r="S2268" s="359"/>
      <c r="T2268" s="359"/>
      <c r="U2268" s="359"/>
    </row>
    <row r="2269" ht="15.75" customHeight="1">
      <c r="A2269" s="226"/>
      <c r="B2269" s="359"/>
      <c r="C2269" s="359"/>
      <c r="D2269" s="359"/>
      <c r="E2269" s="359"/>
      <c r="F2269" s="360"/>
      <c r="G2269" s="360"/>
      <c r="H2269" s="359"/>
      <c r="I2269" s="359"/>
      <c r="J2269" s="359"/>
      <c r="K2269" s="359"/>
      <c r="L2269" s="361"/>
      <c r="M2269" s="359"/>
      <c r="N2269" s="359"/>
      <c r="O2269" s="359"/>
      <c r="P2269" s="359"/>
      <c r="Q2269" s="359"/>
      <c r="R2269" s="359"/>
      <c r="S2269" s="359"/>
      <c r="T2269" s="359"/>
      <c r="U2269" s="359"/>
    </row>
    <row r="2270" ht="15.75" customHeight="1">
      <c r="A2270" s="226"/>
      <c r="B2270" s="359"/>
      <c r="C2270" s="359"/>
      <c r="D2270" s="359"/>
      <c r="E2270" s="359"/>
      <c r="F2270" s="360"/>
      <c r="G2270" s="360"/>
      <c r="H2270" s="359"/>
      <c r="I2270" s="359"/>
      <c r="J2270" s="359"/>
      <c r="K2270" s="359"/>
      <c r="L2270" s="361"/>
      <c r="M2270" s="359"/>
      <c r="N2270" s="359"/>
      <c r="O2270" s="359"/>
      <c r="P2270" s="359"/>
      <c r="Q2270" s="359"/>
      <c r="R2270" s="359"/>
      <c r="S2270" s="359"/>
      <c r="T2270" s="359"/>
      <c r="U2270" s="359"/>
    </row>
    <row r="2271" ht="15.75" customHeight="1">
      <c r="A2271" s="226"/>
      <c r="B2271" s="359"/>
      <c r="C2271" s="359"/>
      <c r="D2271" s="359"/>
      <c r="E2271" s="359"/>
      <c r="F2271" s="360"/>
      <c r="G2271" s="360"/>
      <c r="H2271" s="359"/>
      <c r="I2271" s="359"/>
      <c r="J2271" s="359"/>
      <c r="K2271" s="359"/>
      <c r="L2271" s="361"/>
      <c r="M2271" s="359"/>
      <c r="N2271" s="359"/>
      <c r="O2271" s="359"/>
      <c r="P2271" s="359"/>
      <c r="Q2271" s="359"/>
      <c r="R2271" s="359"/>
      <c r="S2271" s="359"/>
      <c r="T2271" s="359"/>
      <c r="U2271" s="359"/>
    </row>
    <row r="2272" ht="15.75" customHeight="1">
      <c r="A2272" s="226"/>
      <c r="B2272" s="359"/>
      <c r="C2272" s="359"/>
      <c r="D2272" s="359"/>
      <c r="E2272" s="359"/>
      <c r="F2272" s="360"/>
      <c r="G2272" s="360"/>
      <c r="H2272" s="359"/>
      <c r="I2272" s="359"/>
      <c r="J2272" s="359"/>
      <c r="K2272" s="359"/>
      <c r="L2272" s="361"/>
      <c r="M2272" s="359"/>
      <c r="N2272" s="359"/>
      <c r="O2272" s="359"/>
      <c r="P2272" s="359"/>
      <c r="Q2272" s="359"/>
      <c r="R2272" s="359"/>
      <c r="S2272" s="359"/>
      <c r="T2272" s="359"/>
      <c r="U2272" s="359"/>
    </row>
    <row r="2273" ht="15.75" customHeight="1">
      <c r="A2273" s="226"/>
      <c r="B2273" s="359"/>
      <c r="C2273" s="359"/>
      <c r="D2273" s="359"/>
      <c r="E2273" s="359"/>
      <c r="F2273" s="360"/>
      <c r="G2273" s="360"/>
      <c r="H2273" s="359"/>
      <c r="I2273" s="359"/>
      <c r="J2273" s="359"/>
      <c r="K2273" s="359"/>
      <c r="L2273" s="361"/>
      <c r="M2273" s="359"/>
      <c r="N2273" s="359"/>
      <c r="O2273" s="359"/>
      <c r="P2273" s="359"/>
      <c r="Q2273" s="359"/>
      <c r="R2273" s="359"/>
      <c r="S2273" s="359"/>
      <c r="T2273" s="359"/>
      <c r="U2273" s="359"/>
    </row>
    <row r="2274" ht="15.75" customHeight="1">
      <c r="A2274" s="226"/>
      <c r="B2274" s="359"/>
      <c r="C2274" s="359"/>
      <c r="D2274" s="359"/>
      <c r="E2274" s="359"/>
      <c r="F2274" s="360"/>
      <c r="G2274" s="360"/>
      <c r="H2274" s="359"/>
      <c r="I2274" s="359"/>
      <c r="J2274" s="359"/>
      <c r="K2274" s="359"/>
      <c r="L2274" s="361"/>
      <c r="M2274" s="359"/>
      <c r="N2274" s="359"/>
      <c r="O2274" s="359"/>
      <c r="P2274" s="359"/>
      <c r="Q2274" s="359"/>
      <c r="R2274" s="359"/>
      <c r="S2274" s="359"/>
      <c r="T2274" s="359"/>
      <c r="U2274" s="359"/>
    </row>
    <row r="2275" ht="15.75" customHeight="1">
      <c r="A2275" s="226"/>
      <c r="B2275" s="359"/>
      <c r="C2275" s="359"/>
      <c r="D2275" s="359"/>
      <c r="E2275" s="359"/>
      <c r="F2275" s="360"/>
      <c r="G2275" s="360"/>
      <c r="H2275" s="359"/>
      <c r="I2275" s="359"/>
      <c r="J2275" s="359"/>
      <c r="K2275" s="359"/>
      <c r="L2275" s="361"/>
      <c r="M2275" s="359"/>
      <c r="N2275" s="359"/>
      <c r="O2275" s="359"/>
      <c r="P2275" s="359"/>
      <c r="Q2275" s="359"/>
      <c r="R2275" s="359"/>
      <c r="S2275" s="359"/>
      <c r="T2275" s="359"/>
      <c r="U2275" s="359"/>
    </row>
    <row r="2276" ht="15.75" customHeight="1">
      <c r="A2276" s="226"/>
      <c r="B2276" s="359"/>
      <c r="C2276" s="359"/>
      <c r="D2276" s="359"/>
      <c r="E2276" s="359"/>
      <c r="F2276" s="360"/>
      <c r="G2276" s="360"/>
      <c r="H2276" s="359"/>
      <c r="I2276" s="359"/>
      <c r="J2276" s="359"/>
      <c r="K2276" s="359"/>
      <c r="L2276" s="361"/>
      <c r="M2276" s="359"/>
      <c r="N2276" s="359"/>
      <c r="O2276" s="359"/>
      <c r="P2276" s="359"/>
      <c r="Q2276" s="359"/>
      <c r="R2276" s="359"/>
      <c r="S2276" s="359"/>
      <c r="T2276" s="359"/>
      <c r="U2276" s="359"/>
    </row>
    <row r="2277" ht="15.75" customHeight="1">
      <c r="A2277" s="226"/>
      <c r="B2277" s="359"/>
      <c r="C2277" s="359"/>
      <c r="D2277" s="359"/>
      <c r="E2277" s="359"/>
      <c r="F2277" s="360"/>
      <c r="G2277" s="360"/>
      <c r="H2277" s="359"/>
      <c r="I2277" s="359"/>
      <c r="J2277" s="359"/>
      <c r="K2277" s="359"/>
      <c r="L2277" s="361"/>
      <c r="M2277" s="359"/>
      <c r="N2277" s="359"/>
      <c r="O2277" s="359"/>
      <c r="P2277" s="359"/>
      <c r="Q2277" s="359"/>
      <c r="R2277" s="359"/>
      <c r="S2277" s="359"/>
      <c r="T2277" s="359"/>
      <c r="U2277" s="359"/>
    </row>
    <row r="2278" ht="15.75" customHeight="1">
      <c r="A2278" s="226"/>
      <c r="B2278" s="359"/>
      <c r="C2278" s="359"/>
      <c r="D2278" s="359"/>
      <c r="E2278" s="359"/>
      <c r="F2278" s="360"/>
      <c r="G2278" s="360"/>
      <c r="H2278" s="359"/>
      <c r="I2278" s="359"/>
      <c r="J2278" s="359"/>
      <c r="K2278" s="359"/>
      <c r="L2278" s="361"/>
      <c r="M2278" s="359"/>
      <c r="N2278" s="359"/>
      <c r="O2278" s="359"/>
      <c r="P2278" s="359"/>
      <c r="Q2278" s="359"/>
      <c r="R2278" s="359"/>
      <c r="S2278" s="359"/>
      <c r="T2278" s="359"/>
      <c r="U2278" s="359"/>
    </row>
    <row r="2279" ht="15.75" customHeight="1">
      <c r="A2279" s="226"/>
      <c r="B2279" s="359"/>
      <c r="C2279" s="359"/>
      <c r="D2279" s="359"/>
      <c r="E2279" s="359"/>
      <c r="F2279" s="360"/>
      <c r="G2279" s="360"/>
      <c r="H2279" s="359"/>
      <c r="I2279" s="359"/>
      <c r="J2279" s="359"/>
      <c r="K2279" s="359"/>
      <c r="L2279" s="361"/>
      <c r="M2279" s="359"/>
      <c r="N2279" s="359"/>
      <c r="O2279" s="359"/>
      <c r="P2279" s="359"/>
      <c r="Q2279" s="359"/>
      <c r="R2279" s="359"/>
      <c r="S2279" s="359"/>
      <c r="T2279" s="359"/>
      <c r="U2279" s="359"/>
    </row>
    <row r="2280" ht="15.75" customHeight="1">
      <c r="A2280" s="226"/>
      <c r="B2280" s="359"/>
      <c r="C2280" s="359"/>
      <c r="D2280" s="359"/>
      <c r="E2280" s="359"/>
      <c r="F2280" s="360"/>
      <c r="G2280" s="360"/>
      <c r="H2280" s="359"/>
      <c r="I2280" s="359"/>
      <c r="J2280" s="359"/>
      <c r="K2280" s="359"/>
      <c r="L2280" s="361"/>
      <c r="M2280" s="359"/>
      <c r="N2280" s="359"/>
      <c r="O2280" s="359"/>
      <c r="P2280" s="359"/>
      <c r="Q2280" s="359"/>
      <c r="R2280" s="359"/>
      <c r="S2280" s="359"/>
      <c r="T2280" s="359"/>
      <c r="U2280" s="359"/>
    </row>
    <row r="2281" ht="15.75" customHeight="1">
      <c r="A2281" s="226"/>
      <c r="B2281" s="359"/>
      <c r="C2281" s="359"/>
      <c r="D2281" s="359"/>
      <c r="E2281" s="359"/>
      <c r="F2281" s="360"/>
      <c r="G2281" s="360"/>
      <c r="H2281" s="359"/>
      <c r="I2281" s="359"/>
      <c r="J2281" s="359"/>
      <c r="K2281" s="359"/>
      <c r="L2281" s="361"/>
      <c r="M2281" s="359"/>
      <c r="N2281" s="359"/>
      <c r="O2281" s="359"/>
      <c r="P2281" s="359"/>
      <c r="Q2281" s="359"/>
      <c r="R2281" s="359"/>
      <c r="S2281" s="359"/>
      <c r="T2281" s="359"/>
      <c r="U2281" s="359"/>
    </row>
    <row r="2282" ht="15.75" customHeight="1">
      <c r="A2282" s="226"/>
      <c r="B2282" s="359"/>
      <c r="C2282" s="359"/>
      <c r="D2282" s="359"/>
      <c r="E2282" s="359"/>
      <c r="F2282" s="360"/>
      <c r="G2282" s="360"/>
      <c r="H2282" s="359"/>
      <c r="I2282" s="359"/>
      <c r="J2282" s="359"/>
      <c r="K2282" s="359"/>
      <c r="L2282" s="361"/>
      <c r="M2282" s="359"/>
      <c r="N2282" s="359"/>
      <c r="O2282" s="359"/>
      <c r="P2282" s="359"/>
      <c r="Q2282" s="359"/>
      <c r="R2282" s="359"/>
      <c r="S2282" s="359"/>
      <c r="T2282" s="359"/>
      <c r="U2282" s="359"/>
    </row>
    <row r="2283" ht="15.75" customHeight="1">
      <c r="A2283" s="226"/>
      <c r="B2283" s="359"/>
      <c r="C2283" s="359"/>
      <c r="D2283" s="359"/>
      <c r="E2283" s="359"/>
      <c r="F2283" s="360"/>
      <c r="G2283" s="360"/>
      <c r="H2283" s="359"/>
      <c r="I2283" s="359"/>
      <c r="J2283" s="359"/>
      <c r="K2283" s="359"/>
      <c r="L2283" s="361"/>
      <c r="M2283" s="359"/>
      <c r="N2283" s="359"/>
      <c r="O2283" s="359"/>
      <c r="P2283" s="359"/>
      <c r="Q2283" s="359"/>
      <c r="R2283" s="359"/>
      <c r="S2283" s="359"/>
      <c r="T2283" s="359"/>
      <c r="U2283" s="359"/>
    </row>
    <row r="2284" ht="15.75" customHeight="1">
      <c r="A2284" s="226"/>
      <c r="B2284" s="359"/>
      <c r="C2284" s="359"/>
      <c r="D2284" s="359"/>
      <c r="E2284" s="359"/>
      <c r="F2284" s="360"/>
      <c r="G2284" s="360"/>
      <c r="H2284" s="359"/>
      <c r="I2284" s="359"/>
      <c r="J2284" s="359"/>
      <c r="K2284" s="359"/>
      <c r="L2284" s="361"/>
      <c r="M2284" s="359"/>
      <c r="N2284" s="359"/>
      <c r="O2284" s="359"/>
      <c r="P2284" s="359"/>
      <c r="Q2284" s="359"/>
      <c r="R2284" s="359"/>
      <c r="S2284" s="359"/>
      <c r="T2284" s="359"/>
      <c r="U2284" s="359"/>
    </row>
    <row r="2285" ht="15.75" customHeight="1">
      <c r="A2285" s="226"/>
      <c r="B2285" s="359"/>
      <c r="C2285" s="359"/>
      <c r="D2285" s="359"/>
      <c r="E2285" s="359"/>
      <c r="F2285" s="360"/>
      <c r="G2285" s="360"/>
      <c r="H2285" s="359"/>
      <c r="I2285" s="359"/>
      <c r="J2285" s="359"/>
      <c r="K2285" s="359"/>
      <c r="L2285" s="361"/>
      <c r="M2285" s="359"/>
      <c r="N2285" s="359"/>
      <c r="O2285" s="359"/>
      <c r="P2285" s="359"/>
      <c r="Q2285" s="359"/>
      <c r="R2285" s="359"/>
      <c r="S2285" s="359"/>
      <c r="T2285" s="359"/>
      <c r="U2285" s="359"/>
    </row>
    <row r="2286" ht="15.75" customHeight="1">
      <c r="A2286" s="226"/>
      <c r="B2286" s="359"/>
      <c r="C2286" s="359"/>
      <c r="D2286" s="359"/>
      <c r="E2286" s="359"/>
      <c r="F2286" s="360"/>
      <c r="G2286" s="360"/>
      <c r="H2286" s="359"/>
      <c r="I2286" s="359"/>
      <c r="J2286" s="359"/>
      <c r="K2286" s="359"/>
      <c r="L2286" s="361"/>
      <c r="M2286" s="359"/>
      <c r="N2286" s="359"/>
      <c r="O2286" s="359"/>
      <c r="P2286" s="359"/>
      <c r="Q2286" s="359"/>
      <c r="R2286" s="359"/>
      <c r="S2286" s="359"/>
      <c r="T2286" s="359"/>
      <c r="U2286" s="359"/>
    </row>
    <row r="2287" ht="15.75" customHeight="1">
      <c r="A2287" s="226"/>
      <c r="B2287" s="359"/>
      <c r="C2287" s="359"/>
      <c r="D2287" s="359"/>
      <c r="E2287" s="359"/>
      <c r="F2287" s="360"/>
      <c r="G2287" s="360"/>
      <c r="H2287" s="359"/>
      <c r="I2287" s="359"/>
      <c r="J2287" s="359"/>
      <c r="K2287" s="359"/>
      <c r="L2287" s="361"/>
      <c r="M2287" s="359"/>
      <c r="N2287" s="359"/>
      <c r="O2287" s="359"/>
      <c r="P2287" s="359"/>
      <c r="Q2287" s="359"/>
      <c r="R2287" s="359"/>
      <c r="S2287" s="359"/>
      <c r="T2287" s="359"/>
      <c r="U2287" s="359"/>
    </row>
    <row r="2288" ht="15.75" customHeight="1">
      <c r="A2288" s="226"/>
      <c r="B2288" s="359"/>
      <c r="C2288" s="359"/>
      <c r="D2288" s="359"/>
      <c r="E2288" s="359"/>
      <c r="F2288" s="360"/>
      <c r="G2288" s="360"/>
      <c r="H2288" s="359"/>
      <c r="I2288" s="359"/>
      <c r="J2288" s="359"/>
      <c r="K2288" s="359"/>
      <c r="L2288" s="361"/>
      <c r="M2288" s="359"/>
      <c r="N2288" s="359"/>
      <c r="O2288" s="359"/>
      <c r="P2288" s="359"/>
      <c r="Q2288" s="359"/>
      <c r="R2288" s="359"/>
      <c r="S2288" s="359"/>
      <c r="T2288" s="359"/>
      <c r="U2288" s="359"/>
    </row>
    <row r="2289" ht="15.75" customHeight="1">
      <c r="A2289" s="226"/>
      <c r="B2289" s="359"/>
      <c r="C2289" s="359"/>
      <c r="D2289" s="359"/>
      <c r="E2289" s="359"/>
      <c r="F2289" s="360"/>
      <c r="G2289" s="360"/>
      <c r="H2289" s="359"/>
      <c r="I2289" s="359"/>
      <c r="J2289" s="359"/>
      <c r="K2289" s="359"/>
      <c r="L2289" s="361"/>
      <c r="M2289" s="359"/>
      <c r="N2289" s="359"/>
      <c r="O2289" s="359"/>
      <c r="P2289" s="359"/>
      <c r="Q2289" s="359"/>
      <c r="R2289" s="359"/>
      <c r="S2289" s="359"/>
      <c r="T2289" s="359"/>
      <c r="U2289" s="359"/>
    </row>
    <row r="2290" ht="15.75" customHeight="1">
      <c r="A2290" s="226"/>
      <c r="B2290" s="359"/>
      <c r="C2290" s="359"/>
      <c r="D2290" s="359"/>
      <c r="E2290" s="359"/>
      <c r="F2290" s="360"/>
      <c r="G2290" s="360"/>
      <c r="H2290" s="359"/>
      <c r="I2290" s="359"/>
      <c r="J2290" s="359"/>
      <c r="K2290" s="359"/>
      <c r="L2290" s="361"/>
      <c r="M2290" s="359"/>
      <c r="N2290" s="359"/>
      <c r="O2290" s="359"/>
      <c r="P2290" s="359"/>
      <c r="Q2290" s="359"/>
      <c r="R2290" s="359"/>
      <c r="S2290" s="359"/>
      <c r="T2290" s="359"/>
      <c r="U2290" s="359"/>
    </row>
    <row r="2291" ht="15.75" customHeight="1">
      <c r="A2291" s="226"/>
      <c r="B2291" s="359"/>
      <c r="C2291" s="359"/>
      <c r="D2291" s="359"/>
      <c r="E2291" s="359"/>
      <c r="F2291" s="360"/>
      <c r="G2291" s="360"/>
      <c r="H2291" s="359"/>
      <c r="I2291" s="359"/>
      <c r="J2291" s="359"/>
      <c r="K2291" s="359"/>
      <c r="L2291" s="361"/>
      <c r="M2291" s="359"/>
      <c r="N2291" s="359"/>
      <c r="O2291" s="359"/>
      <c r="P2291" s="359"/>
      <c r="Q2291" s="359"/>
      <c r="R2291" s="359"/>
      <c r="S2291" s="359"/>
      <c r="T2291" s="359"/>
      <c r="U2291" s="359"/>
    </row>
    <row r="2292" ht="15.75" customHeight="1">
      <c r="A2292" s="226"/>
      <c r="B2292" s="359"/>
      <c r="C2292" s="359"/>
      <c r="D2292" s="359"/>
      <c r="E2292" s="359"/>
      <c r="F2292" s="360"/>
      <c r="G2292" s="360"/>
      <c r="H2292" s="359"/>
      <c r="I2292" s="359"/>
      <c r="J2292" s="359"/>
      <c r="K2292" s="359"/>
      <c r="L2292" s="361"/>
      <c r="M2292" s="359"/>
      <c r="N2292" s="359"/>
      <c r="O2292" s="359"/>
      <c r="P2292" s="359"/>
      <c r="Q2292" s="359"/>
      <c r="R2292" s="359"/>
      <c r="S2292" s="359"/>
      <c r="T2292" s="359"/>
      <c r="U2292" s="359"/>
    </row>
    <row r="2293" ht="15.75" customHeight="1">
      <c r="A2293" s="226"/>
      <c r="B2293" s="359"/>
      <c r="C2293" s="359"/>
      <c r="D2293" s="359"/>
      <c r="E2293" s="359"/>
      <c r="F2293" s="360"/>
      <c r="G2293" s="360"/>
      <c r="H2293" s="359"/>
      <c r="I2293" s="359"/>
      <c r="J2293" s="359"/>
      <c r="K2293" s="359"/>
      <c r="L2293" s="361"/>
      <c r="M2293" s="359"/>
      <c r="N2293" s="359"/>
      <c r="O2293" s="359"/>
      <c r="P2293" s="359"/>
      <c r="Q2293" s="359"/>
      <c r="R2293" s="359"/>
      <c r="S2293" s="359"/>
      <c r="T2293" s="359"/>
      <c r="U2293" s="359"/>
    </row>
    <row r="2294" ht="15.75" customHeight="1">
      <c r="A2294" s="226"/>
      <c r="B2294" s="359"/>
      <c r="C2294" s="359"/>
      <c r="D2294" s="359"/>
      <c r="E2294" s="359"/>
      <c r="F2294" s="360"/>
      <c r="G2294" s="360"/>
      <c r="H2294" s="359"/>
      <c r="I2294" s="359"/>
      <c r="J2294" s="359"/>
      <c r="K2294" s="359"/>
      <c r="L2294" s="361"/>
      <c r="M2294" s="359"/>
      <c r="N2294" s="359"/>
      <c r="O2294" s="359"/>
      <c r="P2294" s="359"/>
      <c r="Q2294" s="359"/>
      <c r="R2294" s="359"/>
      <c r="S2294" s="359"/>
      <c r="T2294" s="359"/>
      <c r="U2294" s="359"/>
    </row>
    <row r="2295" ht="15.75" customHeight="1">
      <c r="A2295" s="226"/>
      <c r="B2295" s="359"/>
      <c r="C2295" s="359"/>
      <c r="D2295" s="359"/>
      <c r="E2295" s="359"/>
      <c r="F2295" s="360"/>
      <c r="G2295" s="360"/>
      <c r="H2295" s="359"/>
      <c r="I2295" s="359"/>
      <c r="J2295" s="359"/>
      <c r="K2295" s="359"/>
      <c r="L2295" s="361"/>
      <c r="M2295" s="359"/>
      <c r="N2295" s="359"/>
      <c r="O2295" s="359"/>
      <c r="P2295" s="359"/>
      <c r="Q2295" s="359"/>
      <c r="R2295" s="359"/>
      <c r="S2295" s="359"/>
      <c r="T2295" s="359"/>
      <c r="U2295" s="359"/>
    </row>
    <row r="2296" ht="15.75" customHeight="1">
      <c r="A2296" s="226"/>
      <c r="B2296" s="359"/>
      <c r="C2296" s="359"/>
      <c r="D2296" s="359"/>
      <c r="E2296" s="359"/>
      <c r="F2296" s="360"/>
      <c r="G2296" s="360"/>
      <c r="H2296" s="359"/>
      <c r="I2296" s="359"/>
      <c r="J2296" s="359"/>
      <c r="K2296" s="359"/>
      <c r="L2296" s="361"/>
      <c r="M2296" s="359"/>
      <c r="N2296" s="359"/>
      <c r="O2296" s="359"/>
      <c r="P2296" s="359"/>
      <c r="Q2296" s="359"/>
      <c r="R2296" s="359"/>
      <c r="S2296" s="359"/>
      <c r="T2296" s="359"/>
      <c r="U2296" s="359"/>
    </row>
    <row r="2297" ht="15.75" customHeight="1">
      <c r="A2297" s="226"/>
      <c r="B2297" s="359"/>
      <c r="C2297" s="359"/>
      <c r="D2297" s="359"/>
      <c r="E2297" s="359"/>
      <c r="F2297" s="360"/>
      <c r="G2297" s="360"/>
      <c r="H2297" s="359"/>
      <c r="I2297" s="359"/>
      <c r="J2297" s="359"/>
      <c r="K2297" s="359"/>
      <c r="L2297" s="361"/>
      <c r="M2297" s="359"/>
      <c r="N2297" s="359"/>
      <c r="O2297" s="359"/>
      <c r="P2297" s="359"/>
      <c r="Q2297" s="359"/>
      <c r="R2297" s="359"/>
      <c r="S2297" s="359"/>
      <c r="T2297" s="359"/>
      <c r="U2297" s="359"/>
    </row>
    <row r="2298" ht="15.75" customHeight="1">
      <c r="A2298" s="226"/>
      <c r="B2298" s="359"/>
      <c r="C2298" s="359"/>
      <c r="D2298" s="359"/>
      <c r="E2298" s="359"/>
      <c r="F2298" s="360"/>
      <c r="G2298" s="360"/>
      <c r="H2298" s="359"/>
      <c r="I2298" s="359"/>
      <c r="J2298" s="359"/>
      <c r="K2298" s="359"/>
      <c r="L2298" s="361"/>
      <c r="M2298" s="359"/>
      <c r="N2298" s="359"/>
      <c r="O2298" s="359"/>
      <c r="P2298" s="359"/>
      <c r="Q2298" s="359"/>
      <c r="R2298" s="359"/>
      <c r="S2298" s="359"/>
      <c r="T2298" s="359"/>
      <c r="U2298" s="359"/>
    </row>
    <row r="2299" ht="15.75" customHeight="1">
      <c r="A2299" s="226"/>
      <c r="B2299" s="359"/>
      <c r="C2299" s="359"/>
      <c r="D2299" s="359"/>
      <c r="E2299" s="359"/>
      <c r="F2299" s="360"/>
      <c r="G2299" s="360"/>
      <c r="H2299" s="359"/>
      <c r="I2299" s="359"/>
      <c r="J2299" s="359"/>
      <c r="K2299" s="359"/>
      <c r="L2299" s="361"/>
      <c r="M2299" s="359"/>
      <c r="N2299" s="359"/>
      <c r="O2299" s="359"/>
      <c r="P2299" s="359"/>
      <c r="Q2299" s="359"/>
      <c r="R2299" s="359"/>
      <c r="S2299" s="359"/>
      <c r="T2299" s="359"/>
      <c r="U2299" s="359"/>
    </row>
    <row r="2300" ht="15.75" customHeight="1">
      <c r="A2300" s="226"/>
      <c r="B2300" s="359"/>
      <c r="C2300" s="359"/>
      <c r="D2300" s="359"/>
      <c r="E2300" s="359"/>
      <c r="F2300" s="360"/>
      <c r="G2300" s="360"/>
      <c r="H2300" s="359"/>
      <c r="I2300" s="359"/>
      <c r="J2300" s="359"/>
      <c r="K2300" s="359"/>
      <c r="L2300" s="361"/>
      <c r="M2300" s="359"/>
      <c r="N2300" s="359"/>
      <c r="O2300" s="359"/>
      <c r="P2300" s="359"/>
      <c r="Q2300" s="359"/>
      <c r="R2300" s="359"/>
      <c r="S2300" s="359"/>
      <c r="T2300" s="359"/>
      <c r="U2300" s="359"/>
    </row>
    <row r="2301" ht="15.75" customHeight="1">
      <c r="A2301" s="226"/>
      <c r="B2301" s="359"/>
      <c r="C2301" s="359"/>
      <c r="D2301" s="359"/>
      <c r="E2301" s="359"/>
      <c r="F2301" s="360"/>
      <c r="G2301" s="360"/>
      <c r="H2301" s="359"/>
      <c r="I2301" s="359"/>
      <c r="J2301" s="359"/>
      <c r="K2301" s="359"/>
      <c r="L2301" s="361"/>
      <c r="M2301" s="359"/>
      <c r="N2301" s="359"/>
      <c r="O2301" s="359"/>
      <c r="P2301" s="359"/>
      <c r="Q2301" s="359"/>
      <c r="R2301" s="359"/>
      <c r="S2301" s="359"/>
      <c r="T2301" s="359"/>
      <c r="U2301" s="359"/>
    </row>
    <row r="2302" ht="15.75" customHeight="1">
      <c r="A2302" s="226"/>
      <c r="B2302" s="359"/>
      <c r="C2302" s="359"/>
      <c r="D2302" s="359"/>
      <c r="E2302" s="359"/>
      <c r="F2302" s="360"/>
      <c r="G2302" s="360"/>
      <c r="H2302" s="359"/>
      <c r="I2302" s="359"/>
      <c r="J2302" s="359"/>
      <c r="K2302" s="359"/>
      <c r="L2302" s="361"/>
      <c r="M2302" s="359"/>
      <c r="N2302" s="359"/>
      <c r="O2302" s="359"/>
      <c r="P2302" s="359"/>
      <c r="Q2302" s="359"/>
      <c r="R2302" s="359"/>
      <c r="S2302" s="359"/>
      <c r="T2302" s="359"/>
      <c r="U2302" s="359"/>
    </row>
    <row r="2303" ht="15.75" customHeight="1">
      <c r="A2303" s="226"/>
      <c r="B2303" s="359"/>
      <c r="C2303" s="359"/>
      <c r="D2303" s="359"/>
      <c r="E2303" s="359"/>
      <c r="F2303" s="360"/>
      <c r="G2303" s="360"/>
      <c r="H2303" s="359"/>
      <c r="I2303" s="359"/>
      <c r="J2303" s="359"/>
      <c r="K2303" s="359"/>
      <c r="L2303" s="361"/>
      <c r="M2303" s="359"/>
      <c r="N2303" s="359"/>
      <c r="O2303" s="359"/>
      <c r="P2303" s="359"/>
      <c r="Q2303" s="359"/>
      <c r="R2303" s="359"/>
      <c r="S2303" s="359"/>
      <c r="T2303" s="359"/>
      <c r="U2303" s="359"/>
    </row>
    <row r="2304" ht="15.75" customHeight="1">
      <c r="A2304" s="226"/>
      <c r="B2304" s="359"/>
      <c r="C2304" s="359"/>
      <c r="D2304" s="359"/>
      <c r="E2304" s="359"/>
      <c r="F2304" s="360"/>
      <c r="G2304" s="360"/>
      <c r="H2304" s="359"/>
      <c r="I2304" s="359"/>
      <c r="J2304" s="359"/>
      <c r="K2304" s="359"/>
      <c r="L2304" s="361"/>
      <c r="M2304" s="359"/>
      <c r="N2304" s="359"/>
      <c r="O2304" s="359"/>
      <c r="P2304" s="359"/>
      <c r="Q2304" s="359"/>
      <c r="R2304" s="359"/>
      <c r="S2304" s="359"/>
      <c r="T2304" s="359"/>
      <c r="U2304" s="359"/>
    </row>
    <row r="2305" ht="15.75" customHeight="1">
      <c r="A2305" s="226"/>
      <c r="B2305" s="359"/>
      <c r="C2305" s="359"/>
      <c r="D2305" s="359"/>
      <c r="E2305" s="359"/>
      <c r="F2305" s="360"/>
      <c r="G2305" s="360"/>
      <c r="H2305" s="359"/>
      <c r="I2305" s="359"/>
      <c r="J2305" s="359"/>
      <c r="K2305" s="359"/>
      <c r="L2305" s="361"/>
      <c r="M2305" s="359"/>
      <c r="N2305" s="359"/>
      <c r="O2305" s="359"/>
      <c r="P2305" s="359"/>
      <c r="Q2305" s="359"/>
      <c r="R2305" s="359"/>
      <c r="S2305" s="359"/>
      <c r="T2305" s="359"/>
      <c r="U2305" s="359"/>
    </row>
    <row r="2306" ht="15.75" customHeight="1">
      <c r="A2306" s="226"/>
      <c r="B2306" s="359"/>
      <c r="C2306" s="359"/>
      <c r="D2306" s="359"/>
      <c r="E2306" s="359"/>
      <c r="F2306" s="360"/>
      <c r="G2306" s="360"/>
      <c r="H2306" s="359"/>
      <c r="I2306" s="359"/>
      <c r="J2306" s="359"/>
      <c r="K2306" s="359"/>
      <c r="L2306" s="361"/>
      <c r="M2306" s="359"/>
      <c r="N2306" s="359"/>
      <c r="O2306" s="359"/>
      <c r="P2306" s="359"/>
      <c r="Q2306" s="359"/>
      <c r="R2306" s="359"/>
      <c r="S2306" s="359"/>
      <c r="T2306" s="359"/>
      <c r="U2306" s="359"/>
    </row>
    <row r="2307" ht="15.75" customHeight="1">
      <c r="A2307" s="226"/>
      <c r="B2307" s="359"/>
      <c r="C2307" s="359"/>
      <c r="D2307" s="359"/>
      <c r="E2307" s="359"/>
      <c r="F2307" s="360"/>
      <c r="G2307" s="360"/>
      <c r="H2307" s="359"/>
      <c r="I2307" s="359"/>
      <c r="J2307" s="359"/>
      <c r="K2307" s="359"/>
      <c r="L2307" s="361"/>
      <c r="M2307" s="359"/>
      <c r="N2307" s="359"/>
      <c r="O2307" s="359"/>
      <c r="P2307" s="359"/>
      <c r="Q2307" s="359"/>
      <c r="R2307" s="359"/>
      <c r="S2307" s="359"/>
      <c r="T2307" s="359"/>
      <c r="U2307" s="359"/>
    </row>
    <row r="2308" ht="15.75" customHeight="1">
      <c r="A2308" s="226"/>
      <c r="B2308" s="359"/>
      <c r="C2308" s="359"/>
      <c r="D2308" s="359"/>
      <c r="E2308" s="359"/>
      <c r="F2308" s="360"/>
      <c r="G2308" s="360"/>
      <c r="H2308" s="359"/>
      <c r="I2308" s="359"/>
      <c r="J2308" s="359"/>
      <c r="K2308" s="359"/>
      <c r="L2308" s="361"/>
      <c r="M2308" s="359"/>
      <c r="N2308" s="359"/>
      <c r="O2308" s="359"/>
      <c r="P2308" s="359"/>
      <c r="Q2308" s="359"/>
      <c r="R2308" s="359"/>
      <c r="S2308" s="359"/>
      <c r="T2308" s="359"/>
      <c r="U2308" s="359"/>
    </row>
    <row r="2309" ht="15.75" customHeight="1">
      <c r="A2309" s="226"/>
      <c r="B2309" s="359"/>
      <c r="C2309" s="359"/>
      <c r="D2309" s="359"/>
      <c r="E2309" s="359"/>
      <c r="F2309" s="360"/>
      <c r="G2309" s="360"/>
      <c r="H2309" s="359"/>
      <c r="I2309" s="359"/>
      <c r="J2309" s="359"/>
      <c r="K2309" s="359"/>
      <c r="L2309" s="361"/>
      <c r="M2309" s="359"/>
      <c r="N2309" s="359"/>
      <c r="O2309" s="359"/>
      <c r="P2309" s="359"/>
      <c r="Q2309" s="359"/>
      <c r="R2309" s="359"/>
      <c r="S2309" s="359"/>
      <c r="T2309" s="359"/>
      <c r="U2309" s="359"/>
    </row>
    <row r="2310" ht="15.75" customHeight="1">
      <c r="A2310" s="226"/>
      <c r="B2310" s="359"/>
      <c r="C2310" s="359"/>
      <c r="D2310" s="359"/>
      <c r="E2310" s="359"/>
      <c r="F2310" s="360"/>
      <c r="G2310" s="360"/>
      <c r="H2310" s="359"/>
      <c r="I2310" s="359"/>
      <c r="J2310" s="359"/>
      <c r="K2310" s="359"/>
      <c r="L2310" s="361"/>
      <c r="M2310" s="359"/>
      <c r="N2310" s="359"/>
      <c r="O2310" s="359"/>
      <c r="P2310" s="359"/>
      <c r="Q2310" s="359"/>
      <c r="R2310" s="359"/>
      <c r="S2310" s="359"/>
      <c r="T2310" s="359"/>
      <c r="U2310" s="359"/>
    </row>
    <row r="2311" ht="15.75" customHeight="1">
      <c r="A2311" s="226"/>
      <c r="B2311" s="359"/>
      <c r="C2311" s="359"/>
      <c r="D2311" s="359"/>
      <c r="E2311" s="359"/>
      <c r="F2311" s="360"/>
      <c r="G2311" s="360"/>
      <c r="H2311" s="359"/>
      <c r="I2311" s="359"/>
      <c r="J2311" s="359"/>
      <c r="K2311" s="359"/>
      <c r="L2311" s="361"/>
      <c r="M2311" s="359"/>
      <c r="N2311" s="359"/>
      <c r="O2311" s="359"/>
      <c r="P2311" s="359"/>
      <c r="Q2311" s="359"/>
      <c r="R2311" s="359"/>
      <c r="S2311" s="359"/>
      <c r="T2311" s="359"/>
      <c r="U2311" s="359"/>
    </row>
    <row r="2312" ht="15.75" customHeight="1">
      <c r="A2312" s="226"/>
      <c r="B2312" s="359"/>
      <c r="C2312" s="359"/>
      <c r="D2312" s="359"/>
      <c r="E2312" s="359"/>
      <c r="F2312" s="360"/>
      <c r="G2312" s="360"/>
      <c r="H2312" s="359"/>
      <c r="I2312" s="359"/>
      <c r="J2312" s="359"/>
      <c r="K2312" s="359"/>
      <c r="L2312" s="361"/>
      <c r="M2312" s="359"/>
      <c r="N2312" s="359"/>
      <c r="O2312" s="359"/>
      <c r="P2312" s="359"/>
      <c r="Q2312" s="359"/>
      <c r="R2312" s="359"/>
      <c r="S2312" s="359"/>
      <c r="T2312" s="359"/>
      <c r="U2312" s="359"/>
    </row>
    <row r="2313" ht="15.75" customHeight="1">
      <c r="A2313" s="226"/>
      <c r="B2313" s="359"/>
      <c r="C2313" s="359"/>
      <c r="D2313" s="359"/>
      <c r="E2313" s="359"/>
      <c r="F2313" s="360"/>
      <c r="G2313" s="360"/>
      <c r="H2313" s="359"/>
      <c r="I2313" s="359"/>
      <c r="J2313" s="359"/>
      <c r="K2313" s="359"/>
      <c r="L2313" s="361"/>
      <c r="M2313" s="359"/>
      <c r="N2313" s="359"/>
      <c r="O2313" s="359"/>
      <c r="P2313" s="359"/>
      <c r="Q2313" s="359"/>
      <c r="R2313" s="359"/>
      <c r="S2313" s="359"/>
      <c r="T2313" s="359"/>
      <c r="U2313" s="359"/>
    </row>
    <row r="2314" ht="15.75" customHeight="1">
      <c r="A2314" s="226"/>
      <c r="B2314" s="359"/>
      <c r="C2314" s="359"/>
      <c r="D2314" s="359"/>
      <c r="E2314" s="359"/>
      <c r="F2314" s="360"/>
      <c r="G2314" s="360"/>
      <c r="H2314" s="359"/>
      <c r="I2314" s="359"/>
      <c r="J2314" s="359"/>
      <c r="K2314" s="359"/>
      <c r="L2314" s="361"/>
      <c r="M2314" s="359"/>
      <c r="N2314" s="359"/>
      <c r="O2314" s="359"/>
      <c r="P2314" s="359"/>
      <c r="Q2314" s="359"/>
      <c r="R2314" s="359"/>
      <c r="S2314" s="359"/>
      <c r="T2314" s="359"/>
      <c r="U2314" s="359"/>
    </row>
    <row r="2315" ht="15.75" customHeight="1">
      <c r="A2315" s="226"/>
      <c r="B2315" s="359"/>
      <c r="C2315" s="359"/>
      <c r="D2315" s="359"/>
      <c r="E2315" s="359"/>
      <c r="F2315" s="360"/>
      <c r="G2315" s="360"/>
      <c r="H2315" s="359"/>
      <c r="I2315" s="359"/>
      <c r="J2315" s="359"/>
      <c r="K2315" s="359"/>
      <c r="L2315" s="361"/>
      <c r="M2315" s="359"/>
      <c r="N2315" s="359"/>
      <c r="O2315" s="359"/>
      <c r="P2315" s="359"/>
      <c r="Q2315" s="359"/>
      <c r="R2315" s="359"/>
      <c r="S2315" s="359"/>
      <c r="T2315" s="359"/>
      <c r="U2315" s="359"/>
    </row>
    <row r="2316" ht="15.75" customHeight="1">
      <c r="A2316" s="226"/>
      <c r="B2316" s="359"/>
      <c r="C2316" s="359"/>
      <c r="D2316" s="359"/>
      <c r="E2316" s="359"/>
      <c r="F2316" s="360"/>
      <c r="G2316" s="360"/>
      <c r="H2316" s="359"/>
      <c r="I2316" s="359"/>
      <c r="J2316" s="359"/>
      <c r="K2316" s="359"/>
      <c r="L2316" s="361"/>
      <c r="M2316" s="359"/>
      <c r="N2316" s="359"/>
      <c r="O2316" s="359"/>
      <c r="P2316" s="359"/>
      <c r="Q2316" s="359"/>
      <c r="R2316" s="359"/>
      <c r="S2316" s="359"/>
      <c r="T2316" s="359"/>
      <c r="U2316" s="359"/>
    </row>
    <row r="2317" ht="15.75" customHeight="1">
      <c r="A2317" s="226"/>
      <c r="B2317" s="359"/>
      <c r="C2317" s="359"/>
      <c r="D2317" s="359"/>
      <c r="E2317" s="359"/>
      <c r="F2317" s="360"/>
      <c r="G2317" s="360"/>
      <c r="H2317" s="359"/>
      <c r="I2317" s="359"/>
      <c r="J2317" s="359"/>
      <c r="K2317" s="359"/>
      <c r="L2317" s="361"/>
      <c r="M2317" s="359"/>
      <c r="N2317" s="359"/>
      <c r="O2317" s="359"/>
      <c r="P2317" s="359"/>
      <c r="Q2317" s="359"/>
      <c r="R2317" s="359"/>
      <c r="S2317" s="359"/>
      <c r="T2317" s="359"/>
      <c r="U2317" s="359"/>
    </row>
    <row r="2318" ht="15.75" customHeight="1">
      <c r="A2318" s="226"/>
      <c r="B2318" s="359"/>
      <c r="C2318" s="359"/>
      <c r="D2318" s="359"/>
      <c r="E2318" s="359"/>
      <c r="F2318" s="360"/>
      <c r="G2318" s="360"/>
      <c r="H2318" s="359"/>
      <c r="I2318" s="359"/>
      <c r="J2318" s="359"/>
      <c r="K2318" s="359"/>
      <c r="L2318" s="361"/>
      <c r="M2318" s="359"/>
      <c r="N2318" s="359"/>
      <c r="O2318" s="359"/>
      <c r="P2318" s="359"/>
      <c r="Q2318" s="359"/>
      <c r="R2318" s="359"/>
      <c r="S2318" s="359"/>
      <c r="T2318" s="359"/>
      <c r="U2318" s="359"/>
    </row>
    <row r="2319" ht="15.75" customHeight="1">
      <c r="A2319" s="226"/>
      <c r="B2319" s="359"/>
      <c r="C2319" s="359"/>
      <c r="D2319" s="359"/>
      <c r="E2319" s="359"/>
      <c r="F2319" s="360"/>
      <c r="G2319" s="360"/>
      <c r="H2319" s="359"/>
      <c r="I2319" s="359"/>
      <c r="J2319" s="359"/>
      <c r="K2319" s="359"/>
      <c r="L2319" s="361"/>
      <c r="M2319" s="359"/>
      <c r="N2319" s="359"/>
      <c r="O2319" s="359"/>
      <c r="P2319" s="359"/>
      <c r="Q2319" s="359"/>
      <c r="R2319" s="359"/>
      <c r="S2319" s="359"/>
      <c r="T2319" s="359"/>
      <c r="U2319" s="359"/>
    </row>
    <row r="2320" ht="15.75" customHeight="1">
      <c r="A2320" s="226"/>
      <c r="B2320" s="359"/>
      <c r="C2320" s="359"/>
      <c r="D2320" s="359"/>
      <c r="E2320" s="359"/>
      <c r="F2320" s="360"/>
      <c r="G2320" s="360"/>
      <c r="H2320" s="359"/>
      <c r="I2320" s="359"/>
      <c r="J2320" s="359"/>
      <c r="K2320" s="359"/>
      <c r="L2320" s="361"/>
      <c r="M2320" s="359"/>
      <c r="N2320" s="359"/>
      <c r="O2320" s="359"/>
      <c r="P2320" s="359"/>
      <c r="Q2320" s="359"/>
      <c r="R2320" s="359"/>
      <c r="S2320" s="359"/>
      <c r="T2320" s="359"/>
      <c r="U2320" s="359"/>
    </row>
    <row r="2321" ht="15.75" customHeight="1">
      <c r="A2321" s="226"/>
      <c r="B2321" s="359"/>
      <c r="C2321" s="359"/>
      <c r="D2321" s="359"/>
      <c r="E2321" s="359"/>
      <c r="F2321" s="360"/>
      <c r="G2321" s="360"/>
      <c r="H2321" s="359"/>
      <c r="I2321" s="359"/>
      <c r="J2321" s="359"/>
      <c r="K2321" s="359"/>
      <c r="L2321" s="361"/>
      <c r="M2321" s="359"/>
      <c r="N2321" s="359"/>
      <c r="O2321" s="359"/>
      <c r="P2321" s="359"/>
      <c r="Q2321" s="359"/>
      <c r="R2321" s="359"/>
      <c r="S2321" s="359"/>
      <c r="T2321" s="359"/>
      <c r="U2321" s="359"/>
    </row>
    <row r="2322" ht="15.75" customHeight="1">
      <c r="A2322" s="226"/>
      <c r="B2322" s="359"/>
      <c r="C2322" s="359"/>
      <c r="D2322" s="359"/>
      <c r="E2322" s="359"/>
      <c r="F2322" s="360"/>
      <c r="G2322" s="360"/>
      <c r="H2322" s="359"/>
      <c r="I2322" s="359"/>
      <c r="J2322" s="359"/>
      <c r="K2322" s="359"/>
      <c r="L2322" s="361"/>
      <c r="M2322" s="359"/>
      <c r="N2322" s="359"/>
      <c r="O2322" s="359"/>
      <c r="P2322" s="359"/>
      <c r="Q2322" s="359"/>
      <c r="R2322" s="359"/>
      <c r="S2322" s="359"/>
      <c r="T2322" s="359"/>
      <c r="U2322" s="359"/>
    </row>
    <row r="2323" ht="15.75" customHeight="1">
      <c r="A2323" s="226"/>
      <c r="B2323" s="359"/>
      <c r="C2323" s="359"/>
      <c r="D2323" s="359"/>
      <c r="E2323" s="359"/>
      <c r="F2323" s="360"/>
      <c r="G2323" s="360"/>
      <c r="H2323" s="359"/>
      <c r="I2323" s="359"/>
      <c r="J2323" s="359"/>
      <c r="K2323" s="359"/>
      <c r="L2323" s="361"/>
      <c r="M2323" s="359"/>
      <c r="N2323" s="359"/>
      <c r="O2323" s="359"/>
      <c r="P2323" s="359"/>
      <c r="Q2323" s="359"/>
      <c r="R2323" s="359"/>
      <c r="S2323" s="359"/>
      <c r="T2323" s="359"/>
      <c r="U2323" s="359"/>
    </row>
    <row r="2324" ht="15.75" customHeight="1">
      <c r="A2324" s="226"/>
      <c r="B2324" s="359"/>
      <c r="C2324" s="359"/>
      <c r="D2324" s="359"/>
      <c r="E2324" s="359"/>
      <c r="F2324" s="360"/>
      <c r="G2324" s="360"/>
      <c r="H2324" s="359"/>
      <c r="I2324" s="359"/>
      <c r="J2324" s="359"/>
      <c r="K2324" s="359"/>
      <c r="L2324" s="361"/>
      <c r="M2324" s="359"/>
      <c r="N2324" s="359"/>
      <c r="O2324" s="359"/>
      <c r="P2324" s="359"/>
      <c r="Q2324" s="359"/>
      <c r="R2324" s="359"/>
      <c r="S2324" s="359"/>
      <c r="T2324" s="359"/>
      <c r="U2324" s="359"/>
    </row>
    <row r="2325" ht="15.75" customHeight="1">
      <c r="A2325" s="226"/>
      <c r="B2325" s="359"/>
      <c r="C2325" s="359"/>
      <c r="D2325" s="359"/>
      <c r="E2325" s="359"/>
      <c r="F2325" s="360"/>
      <c r="G2325" s="360"/>
      <c r="H2325" s="359"/>
      <c r="I2325" s="359"/>
      <c r="J2325" s="359"/>
      <c r="K2325" s="359"/>
      <c r="L2325" s="361"/>
      <c r="M2325" s="359"/>
      <c r="N2325" s="359"/>
      <c r="O2325" s="359"/>
      <c r="P2325" s="359"/>
      <c r="Q2325" s="359"/>
      <c r="R2325" s="359"/>
      <c r="S2325" s="359"/>
      <c r="T2325" s="359"/>
      <c r="U2325" s="359"/>
    </row>
    <row r="2326" ht="15.75" customHeight="1">
      <c r="A2326" s="226"/>
      <c r="B2326" s="359"/>
      <c r="C2326" s="359"/>
      <c r="D2326" s="359"/>
      <c r="E2326" s="359"/>
      <c r="F2326" s="360"/>
      <c r="G2326" s="360"/>
      <c r="H2326" s="359"/>
      <c r="I2326" s="359"/>
      <c r="J2326" s="359"/>
      <c r="K2326" s="359"/>
      <c r="L2326" s="361"/>
      <c r="M2326" s="359"/>
      <c r="N2326" s="359"/>
      <c r="O2326" s="359"/>
      <c r="P2326" s="359"/>
      <c r="Q2326" s="359"/>
      <c r="R2326" s="359"/>
      <c r="S2326" s="359"/>
      <c r="T2326" s="359"/>
      <c r="U2326" s="359"/>
    </row>
    <row r="2327" ht="15.75" customHeight="1">
      <c r="A2327" s="226"/>
      <c r="B2327" s="359"/>
      <c r="C2327" s="359"/>
      <c r="D2327" s="359"/>
      <c r="E2327" s="359"/>
      <c r="F2327" s="360"/>
      <c r="G2327" s="360"/>
      <c r="H2327" s="359"/>
      <c r="I2327" s="359"/>
      <c r="J2327" s="359"/>
      <c r="K2327" s="359"/>
      <c r="L2327" s="361"/>
      <c r="M2327" s="359"/>
      <c r="N2327" s="359"/>
      <c r="O2327" s="359"/>
      <c r="P2327" s="359"/>
      <c r="Q2327" s="359"/>
      <c r="R2327" s="359"/>
      <c r="S2327" s="359"/>
      <c r="T2327" s="359"/>
      <c r="U2327" s="359"/>
    </row>
    <row r="2328" ht="15.75" customHeight="1">
      <c r="A2328" s="226"/>
      <c r="B2328" s="359"/>
      <c r="C2328" s="359"/>
      <c r="D2328" s="359"/>
      <c r="E2328" s="359"/>
      <c r="F2328" s="360"/>
      <c r="G2328" s="360"/>
      <c r="H2328" s="359"/>
      <c r="I2328" s="359"/>
      <c r="J2328" s="359"/>
      <c r="K2328" s="359"/>
      <c r="L2328" s="361"/>
      <c r="M2328" s="359"/>
      <c r="N2328" s="359"/>
      <c r="O2328" s="359"/>
      <c r="P2328" s="359"/>
      <c r="Q2328" s="359"/>
      <c r="R2328" s="359"/>
      <c r="S2328" s="359"/>
      <c r="T2328" s="359"/>
      <c r="U2328" s="359"/>
    </row>
    <row r="2329" ht="15.75" customHeight="1">
      <c r="A2329" s="226"/>
      <c r="B2329" s="359"/>
      <c r="C2329" s="359"/>
      <c r="D2329" s="359"/>
      <c r="E2329" s="359"/>
      <c r="F2329" s="360"/>
      <c r="G2329" s="360"/>
      <c r="H2329" s="359"/>
      <c r="I2329" s="359"/>
      <c r="J2329" s="359"/>
      <c r="K2329" s="359"/>
      <c r="L2329" s="361"/>
      <c r="M2329" s="359"/>
      <c r="N2329" s="359"/>
      <c r="O2329" s="359"/>
      <c r="P2329" s="359"/>
      <c r="Q2329" s="359"/>
      <c r="R2329" s="359"/>
      <c r="S2329" s="359"/>
      <c r="T2329" s="359"/>
      <c r="U2329" s="359"/>
    </row>
    <row r="2330" ht="15.75" customHeight="1">
      <c r="A2330" s="226"/>
      <c r="B2330" s="359"/>
      <c r="C2330" s="359"/>
      <c r="D2330" s="359"/>
      <c r="E2330" s="359"/>
      <c r="F2330" s="360"/>
      <c r="G2330" s="360"/>
      <c r="H2330" s="359"/>
      <c r="I2330" s="359"/>
      <c r="J2330" s="359"/>
      <c r="K2330" s="359"/>
      <c r="L2330" s="361"/>
      <c r="M2330" s="359"/>
      <c r="N2330" s="359"/>
      <c r="O2330" s="359"/>
      <c r="P2330" s="359"/>
      <c r="Q2330" s="359"/>
      <c r="R2330" s="359"/>
      <c r="S2330" s="359"/>
      <c r="T2330" s="359"/>
      <c r="U2330" s="359"/>
    </row>
    <row r="2331" ht="15.75" customHeight="1">
      <c r="A2331" s="226"/>
      <c r="B2331" s="359"/>
      <c r="C2331" s="359"/>
      <c r="D2331" s="359"/>
      <c r="E2331" s="359"/>
      <c r="F2331" s="360"/>
      <c r="G2331" s="360"/>
      <c r="H2331" s="359"/>
      <c r="I2331" s="359"/>
      <c r="J2331" s="359"/>
      <c r="K2331" s="359"/>
      <c r="L2331" s="361"/>
      <c r="M2331" s="359"/>
      <c r="N2331" s="359"/>
      <c r="O2331" s="359"/>
      <c r="P2331" s="359"/>
      <c r="Q2331" s="359"/>
      <c r="R2331" s="359"/>
      <c r="S2331" s="359"/>
      <c r="T2331" s="359"/>
      <c r="U2331" s="359"/>
    </row>
    <row r="2332" ht="15.75" customHeight="1">
      <c r="A2332" s="226"/>
      <c r="B2332" s="359"/>
      <c r="C2332" s="359"/>
      <c r="D2332" s="359"/>
      <c r="E2332" s="359"/>
      <c r="F2332" s="360"/>
      <c r="G2332" s="360"/>
      <c r="H2332" s="359"/>
      <c r="I2332" s="359"/>
      <c r="J2332" s="359"/>
      <c r="K2332" s="359"/>
      <c r="L2332" s="361"/>
      <c r="M2332" s="359"/>
      <c r="N2332" s="359"/>
      <c r="O2332" s="359"/>
      <c r="P2332" s="359"/>
      <c r="Q2332" s="359"/>
      <c r="R2332" s="359"/>
      <c r="S2332" s="359"/>
      <c r="T2332" s="359"/>
      <c r="U2332" s="359"/>
    </row>
    <row r="2333" ht="15.75" customHeight="1">
      <c r="A2333" s="226"/>
      <c r="B2333" s="359"/>
      <c r="C2333" s="359"/>
      <c r="D2333" s="359"/>
      <c r="E2333" s="359"/>
      <c r="F2333" s="360"/>
      <c r="G2333" s="360"/>
      <c r="H2333" s="359"/>
      <c r="I2333" s="359"/>
      <c r="J2333" s="359"/>
      <c r="K2333" s="359"/>
      <c r="L2333" s="361"/>
      <c r="M2333" s="359"/>
      <c r="N2333" s="359"/>
      <c r="O2333" s="359"/>
      <c r="P2333" s="359"/>
      <c r="Q2333" s="359"/>
      <c r="R2333" s="359"/>
      <c r="S2333" s="359"/>
      <c r="T2333" s="359"/>
      <c r="U2333" s="359"/>
    </row>
  </sheetData>
  <autoFilter ref="$A$5:$Q$1409">
    <filterColumn colId="0">
      <filters>
        <filter val="Y"/>
      </filters>
    </filterColumn>
  </autoFilter>
  <hyperlinks>
    <hyperlink r:id="rId2" ref="N5"/>
    <hyperlink r:id="rId3" location="gid=0" ref="R174"/>
    <hyperlink r:id="rId4" ref="B1352"/>
  </hyperlinks>
  <printOptions/>
  <pageMargins bottom="1.0" footer="0.0" header="0.0" left="0.75" right="0.75" top="1.0"/>
  <pageSetup orientation="portrait"/>
  <drawing r:id="rId5"/>
  <legacy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2" width="3.57"/>
    <col customWidth="1" min="3" max="3" width="26.57"/>
    <col customWidth="1" min="4" max="4" width="39.43"/>
    <col customWidth="1" min="5" max="5" width="31.86"/>
    <col customWidth="1" min="6" max="6" width="43.57"/>
    <col customWidth="1" min="7" max="7" width="18.57"/>
    <col customWidth="1" min="8" max="24" width="8.86"/>
  </cols>
  <sheetData>
    <row r="1">
      <c r="A1" s="1"/>
      <c r="B1" s="1"/>
      <c r="C1" s="165" t="s">
        <v>255</v>
      </c>
      <c r="D1" s="1"/>
      <c r="E1" s="1"/>
      <c r="F1" s="1"/>
      <c r="G1" s="86"/>
      <c r="H1" s="1"/>
      <c r="I1" s="1"/>
      <c r="J1" s="1"/>
      <c r="K1" s="1"/>
      <c r="L1" s="1"/>
      <c r="M1" s="1"/>
      <c r="N1" s="1"/>
      <c r="O1" s="1"/>
      <c r="P1" s="1"/>
      <c r="Q1" s="1"/>
      <c r="R1" s="1"/>
      <c r="S1" s="1"/>
      <c r="T1" s="1"/>
      <c r="U1" s="1"/>
      <c r="V1" s="1"/>
      <c r="W1" s="1"/>
      <c r="X1" s="1"/>
    </row>
    <row r="2">
      <c r="A2" s="1"/>
      <c r="B2" s="1"/>
      <c r="C2" s="166" t="s">
        <v>257</v>
      </c>
      <c r="D2" s="1"/>
      <c r="E2" s="1"/>
      <c r="F2" s="1"/>
      <c r="G2" s="86"/>
      <c r="H2" s="1"/>
      <c r="I2" s="1"/>
      <c r="J2" s="1"/>
      <c r="K2" s="1"/>
      <c r="L2" s="1"/>
      <c r="M2" s="1"/>
      <c r="N2" s="1"/>
      <c r="O2" s="1"/>
      <c r="P2" s="1"/>
      <c r="Q2" s="1"/>
      <c r="R2" s="1"/>
      <c r="S2" s="1"/>
      <c r="T2" s="1"/>
      <c r="U2" s="1"/>
      <c r="V2" s="1"/>
      <c r="W2" s="1"/>
      <c r="X2" s="1"/>
    </row>
    <row r="3">
      <c r="A3" s="1"/>
      <c r="B3" s="1"/>
      <c r="C3" s="167"/>
      <c r="D3" s="1"/>
      <c r="E3" s="1"/>
      <c r="F3" s="1"/>
      <c r="G3" s="86"/>
      <c r="H3" s="1"/>
      <c r="I3" s="1"/>
      <c r="J3" s="1"/>
      <c r="K3" s="1"/>
      <c r="L3" s="1"/>
      <c r="M3" s="1"/>
      <c r="N3" s="1"/>
      <c r="O3" s="1"/>
      <c r="P3" s="1"/>
      <c r="Q3" s="1"/>
      <c r="R3" s="1"/>
      <c r="S3" s="1"/>
      <c r="T3" s="1"/>
      <c r="U3" s="1"/>
      <c r="V3" s="1"/>
      <c r="W3" s="1"/>
      <c r="X3" s="1"/>
    </row>
    <row r="4">
      <c r="A4" s="1"/>
      <c r="B4" s="1"/>
      <c r="C4" s="168"/>
      <c r="D4" s="1"/>
      <c r="E4" s="1"/>
      <c r="F4" s="1"/>
      <c r="G4" s="86"/>
      <c r="H4" s="1"/>
      <c r="I4" s="1"/>
      <c r="J4" s="1"/>
      <c r="K4" s="1"/>
      <c r="L4" s="1"/>
      <c r="M4" s="1"/>
      <c r="N4" s="1"/>
      <c r="O4" s="1"/>
      <c r="P4" s="1"/>
      <c r="Q4" s="1"/>
      <c r="R4" s="1"/>
      <c r="S4" s="1"/>
      <c r="T4" s="1"/>
      <c r="U4" s="1"/>
      <c r="V4" s="1"/>
      <c r="W4" s="1"/>
      <c r="X4" s="1"/>
    </row>
    <row r="5">
      <c r="A5" s="3"/>
      <c r="B5" s="3"/>
      <c r="C5" s="3" t="s">
        <v>259</v>
      </c>
      <c r="D5" s="3" t="s">
        <v>260</v>
      </c>
      <c r="E5" s="3" t="s">
        <v>261</v>
      </c>
      <c r="F5" s="3" t="s">
        <v>262</v>
      </c>
      <c r="G5" s="3"/>
      <c r="H5" s="42"/>
      <c r="I5" s="42"/>
      <c r="J5" s="42"/>
      <c r="K5" s="42"/>
      <c r="L5" s="42"/>
      <c r="M5" s="42"/>
      <c r="N5" s="42"/>
      <c r="O5" s="42"/>
      <c r="P5" s="42"/>
      <c r="Q5" s="42"/>
      <c r="R5" s="42"/>
      <c r="S5" s="42"/>
      <c r="T5" s="42"/>
      <c r="U5" s="42"/>
      <c r="V5" s="42"/>
      <c r="W5" s="42"/>
      <c r="X5" s="42"/>
    </row>
    <row r="6">
      <c r="A6" s="169"/>
      <c r="B6" s="169"/>
      <c r="C6" s="170" t="s">
        <v>263</v>
      </c>
      <c r="D6" s="171"/>
      <c r="E6" s="172"/>
      <c r="F6" s="171"/>
      <c r="G6" s="171"/>
      <c r="H6" s="42"/>
      <c r="I6" s="42"/>
      <c r="J6" s="42"/>
      <c r="K6" s="42"/>
      <c r="L6" s="42"/>
      <c r="M6" s="42"/>
      <c r="N6" s="42"/>
      <c r="O6" s="42"/>
      <c r="P6" s="42"/>
      <c r="Q6" s="42"/>
      <c r="R6" s="42"/>
      <c r="S6" s="42"/>
      <c r="T6" s="42"/>
      <c r="U6" s="42"/>
      <c r="V6" s="42"/>
      <c r="W6" s="42"/>
      <c r="X6" s="42"/>
    </row>
    <row r="7">
      <c r="A7" s="169"/>
      <c r="B7" s="169"/>
      <c r="C7" s="173" t="s">
        <v>265</v>
      </c>
      <c r="D7" s="171"/>
      <c r="E7" s="172"/>
      <c r="F7" s="171"/>
      <c r="G7" s="171"/>
      <c r="H7" s="42"/>
      <c r="I7" s="42"/>
      <c r="J7" s="42"/>
      <c r="K7" s="42"/>
      <c r="L7" s="42"/>
      <c r="M7" s="42"/>
      <c r="N7" s="42"/>
      <c r="O7" s="42"/>
      <c r="P7" s="42"/>
      <c r="Q7" s="42"/>
      <c r="R7" s="42"/>
      <c r="S7" s="42"/>
      <c r="T7" s="42"/>
      <c r="U7" s="42"/>
      <c r="V7" s="42"/>
      <c r="W7" s="42"/>
      <c r="X7" s="42"/>
    </row>
    <row r="8">
      <c r="A8" s="174"/>
      <c r="B8" s="174"/>
      <c r="C8" s="175" t="s">
        <v>266</v>
      </c>
      <c r="D8" s="175" t="s">
        <v>267</v>
      </c>
      <c r="E8" s="176" t="s">
        <v>268</v>
      </c>
      <c r="F8" s="175"/>
      <c r="G8" s="175"/>
      <c r="H8" s="42"/>
      <c r="I8" s="42"/>
      <c r="J8" s="42"/>
      <c r="K8" s="42"/>
      <c r="L8" s="42"/>
      <c r="M8" s="42"/>
      <c r="N8" s="42"/>
      <c r="O8" s="42"/>
      <c r="P8" s="42"/>
      <c r="Q8" s="42"/>
      <c r="R8" s="42"/>
      <c r="S8" s="42"/>
      <c r="T8" s="42"/>
      <c r="U8" s="42"/>
      <c r="V8" s="42"/>
      <c r="W8" s="42"/>
      <c r="X8" s="42"/>
    </row>
    <row r="9">
      <c r="A9" s="174"/>
      <c r="B9" s="174"/>
      <c r="C9" s="175" t="s">
        <v>271</v>
      </c>
      <c r="D9" s="175" t="s">
        <v>272</v>
      </c>
      <c r="E9" s="174" t="s">
        <v>273</v>
      </c>
      <c r="F9" s="175"/>
      <c r="G9" s="175"/>
      <c r="H9" s="42"/>
      <c r="I9" s="42"/>
      <c r="J9" s="42"/>
      <c r="K9" s="42"/>
      <c r="L9" s="42"/>
      <c r="M9" s="42"/>
      <c r="N9" s="42"/>
      <c r="O9" s="42"/>
      <c r="P9" s="42"/>
      <c r="Q9" s="42"/>
      <c r="R9" s="42"/>
      <c r="S9" s="42"/>
      <c r="T9" s="42"/>
      <c r="U9" s="42"/>
      <c r="V9" s="42"/>
      <c r="W9" s="42"/>
      <c r="X9" s="42"/>
    </row>
    <row r="10">
      <c r="A10" s="174"/>
      <c r="B10" s="174"/>
      <c r="C10" s="175" t="s">
        <v>274</v>
      </c>
      <c r="D10" s="175" t="s">
        <v>275</v>
      </c>
      <c r="E10" s="176"/>
      <c r="F10" s="175"/>
      <c r="G10" s="175"/>
      <c r="H10" s="42"/>
      <c r="I10" s="42"/>
      <c r="J10" s="42"/>
      <c r="K10" s="42"/>
      <c r="L10" s="42"/>
      <c r="M10" s="42"/>
      <c r="N10" s="42"/>
      <c r="O10" s="42"/>
      <c r="P10" s="42"/>
      <c r="Q10" s="42"/>
      <c r="R10" s="42"/>
      <c r="S10" s="42"/>
      <c r="T10" s="42"/>
      <c r="U10" s="42"/>
      <c r="V10" s="42"/>
      <c r="W10" s="42"/>
      <c r="X10" s="42"/>
    </row>
    <row r="11">
      <c r="A11" s="174"/>
      <c r="B11" s="174"/>
      <c r="C11" s="175"/>
      <c r="D11" s="175"/>
      <c r="E11" s="176"/>
      <c r="F11" s="175"/>
      <c r="G11" s="175"/>
      <c r="H11" s="42"/>
      <c r="I11" s="42"/>
      <c r="J11" s="42"/>
      <c r="K11" s="42"/>
      <c r="L11" s="42"/>
      <c r="M11" s="42"/>
      <c r="N11" s="42"/>
      <c r="O11" s="42"/>
      <c r="P11" s="42"/>
      <c r="Q11" s="42"/>
      <c r="R11" s="42"/>
      <c r="S11" s="42"/>
      <c r="T11" s="42"/>
      <c r="U11" s="42"/>
      <c r="V11" s="42"/>
      <c r="W11" s="42"/>
      <c r="X11" s="42"/>
    </row>
    <row r="12">
      <c r="A12" s="169"/>
      <c r="B12" s="169"/>
      <c r="C12" s="173" t="s">
        <v>277</v>
      </c>
      <c r="D12" s="171" t="s">
        <v>278</v>
      </c>
      <c r="E12" s="172"/>
      <c r="F12" s="171"/>
      <c r="G12" s="171"/>
      <c r="H12" s="42"/>
      <c r="I12" s="42"/>
      <c r="J12" s="42"/>
      <c r="K12" s="42"/>
      <c r="L12" s="42"/>
      <c r="M12" s="42"/>
      <c r="N12" s="42"/>
      <c r="O12" s="42"/>
      <c r="P12" s="42"/>
      <c r="Q12" s="42"/>
      <c r="R12" s="42"/>
      <c r="S12" s="42"/>
      <c r="T12" s="42"/>
      <c r="U12" s="42"/>
      <c r="V12" s="42"/>
      <c r="W12" s="42"/>
      <c r="X12" s="42"/>
    </row>
    <row r="13">
      <c r="A13" s="174"/>
      <c r="B13" s="174"/>
      <c r="C13" s="175" t="s">
        <v>280</v>
      </c>
      <c r="D13" s="175" t="s">
        <v>281</v>
      </c>
      <c r="E13" s="176" t="s">
        <v>282</v>
      </c>
      <c r="F13" s="175"/>
      <c r="G13" s="175"/>
      <c r="H13" s="42"/>
      <c r="I13" s="42"/>
      <c r="J13" s="42"/>
      <c r="K13" s="42"/>
      <c r="L13" s="42"/>
      <c r="M13" s="42"/>
      <c r="N13" s="42"/>
      <c r="O13" s="42"/>
      <c r="P13" s="42"/>
      <c r="Q13" s="42"/>
      <c r="R13" s="42"/>
      <c r="S13" s="42"/>
      <c r="T13" s="42"/>
      <c r="U13" s="42"/>
      <c r="V13" s="42"/>
      <c r="W13" s="42"/>
      <c r="X13" s="42"/>
    </row>
    <row r="14">
      <c r="A14" s="174"/>
      <c r="B14" s="174"/>
      <c r="C14" s="175" t="s">
        <v>13</v>
      </c>
      <c r="D14" s="175" t="s">
        <v>283</v>
      </c>
      <c r="E14" s="176" t="s">
        <v>284</v>
      </c>
      <c r="F14" s="175"/>
      <c r="G14" s="175"/>
      <c r="H14" s="42"/>
      <c r="I14" s="42"/>
      <c r="J14" s="42"/>
      <c r="K14" s="42"/>
      <c r="L14" s="42"/>
      <c r="M14" s="42"/>
      <c r="N14" s="42"/>
      <c r="O14" s="42"/>
      <c r="P14" s="42"/>
      <c r="Q14" s="42"/>
      <c r="R14" s="42"/>
      <c r="S14" s="42"/>
      <c r="T14" s="42"/>
      <c r="U14" s="42"/>
      <c r="V14" s="42"/>
      <c r="W14" s="42"/>
      <c r="X14" s="42"/>
    </row>
    <row r="15">
      <c r="A15" s="169"/>
      <c r="B15" s="169"/>
      <c r="C15" s="173"/>
      <c r="D15" s="177"/>
      <c r="E15" s="172"/>
      <c r="F15" s="171"/>
      <c r="G15" s="171"/>
      <c r="H15" s="42"/>
      <c r="I15" s="42"/>
      <c r="J15" s="42"/>
      <c r="K15" s="42"/>
      <c r="L15" s="42"/>
      <c r="M15" s="42"/>
      <c r="N15" s="42"/>
      <c r="O15" s="42"/>
      <c r="P15" s="42"/>
      <c r="Q15" s="42"/>
      <c r="R15" s="42"/>
      <c r="S15" s="42"/>
      <c r="T15" s="42"/>
      <c r="U15" s="42"/>
      <c r="V15" s="42"/>
      <c r="W15" s="42"/>
      <c r="X15" s="42"/>
    </row>
    <row r="16">
      <c r="A16" s="178"/>
      <c r="B16" s="178"/>
      <c r="C16" s="42"/>
      <c r="D16" s="42"/>
      <c r="E16" s="178"/>
    </row>
    <row r="17">
      <c r="A17" s="178"/>
      <c r="B17" s="178"/>
      <c r="C17" s="42"/>
      <c r="D17" s="42"/>
      <c r="E17" s="178"/>
    </row>
    <row r="18">
      <c r="A18" s="178"/>
      <c r="B18" s="178"/>
      <c r="C18" s="42"/>
      <c r="D18" s="42"/>
      <c r="E18" s="178"/>
    </row>
    <row r="19">
      <c r="A19" s="178"/>
      <c r="B19" s="178"/>
      <c r="C19" s="42" t="s">
        <v>286</v>
      </c>
      <c r="D19" s="42"/>
      <c r="E19" s="178"/>
    </row>
    <row r="20" ht="15.75" customHeight="1">
      <c r="A20" s="178"/>
      <c r="B20" s="178"/>
      <c r="C20" s="42"/>
      <c r="D20" s="42"/>
      <c r="E20" s="178"/>
    </row>
    <row r="21" ht="15.75" customHeight="1">
      <c r="A21" s="178"/>
      <c r="B21" s="178"/>
      <c r="C21" s="42"/>
      <c r="D21" s="42"/>
      <c r="E21" s="178"/>
    </row>
    <row r="22" ht="15.75" customHeight="1">
      <c r="A22" s="178"/>
      <c r="B22" s="178"/>
      <c r="C22" s="42"/>
      <c r="D22" s="42"/>
      <c r="E22" s="178"/>
    </row>
    <row r="23" ht="15.75" customHeight="1">
      <c r="A23" s="178"/>
      <c r="B23" s="178"/>
      <c r="C23" s="42"/>
      <c r="D23" s="42"/>
      <c r="E23" s="178"/>
    </row>
    <row r="24" ht="15.75" customHeight="1">
      <c r="A24" s="178"/>
      <c r="B24" s="178"/>
      <c r="C24" s="42"/>
      <c r="D24" s="42"/>
      <c r="E24" s="178"/>
    </row>
    <row r="25" ht="15.75" customHeight="1">
      <c r="A25" s="178"/>
      <c r="B25" s="178"/>
      <c r="C25" s="42"/>
      <c r="D25" s="42"/>
      <c r="E25" s="178"/>
    </row>
    <row r="26" ht="15.75" customHeight="1">
      <c r="A26" s="178"/>
      <c r="B26" s="178"/>
      <c r="C26" s="42"/>
      <c r="D26" s="42"/>
      <c r="E26" s="178"/>
    </row>
    <row r="27" ht="15.75" customHeight="1">
      <c r="A27" s="178"/>
      <c r="B27" s="178"/>
      <c r="C27" s="42"/>
      <c r="D27" s="42"/>
      <c r="E27" s="178"/>
    </row>
    <row r="28" ht="15.75" customHeight="1">
      <c r="A28" s="178"/>
      <c r="B28" s="178"/>
      <c r="C28" s="42"/>
      <c r="D28" s="42"/>
      <c r="E28" s="178"/>
    </row>
    <row r="29" ht="15.75" customHeight="1">
      <c r="A29" s="178"/>
      <c r="B29" s="178"/>
      <c r="C29" s="42"/>
      <c r="D29" s="42"/>
      <c r="E29" s="178"/>
    </row>
    <row r="30" ht="15.75" customHeight="1">
      <c r="A30" s="178"/>
      <c r="B30" s="178"/>
      <c r="C30" s="42"/>
      <c r="D30" s="42"/>
      <c r="E30" s="178"/>
    </row>
    <row r="31" ht="15.75" customHeight="1">
      <c r="A31" s="178"/>
      <c r="B31" s="178"/>
      <c r="C31" s="42"/>
      <c r="D31" s="42"/>
      <c r="E31" s="178"/>
    </row>
    <row r="32" ht="15.75" customHeight="1">
      <c r="A32" s="178"/>
      <c r="B32" s="178"/>
      <c r="C32" s="42"/>
      <c r="D32" s="42"/>
      <c r="E32" s="178"/>
    </row>
    <row r="33" ht="15.75" customHeight="1">
      <c r="A33" s="178"/>
      <c r="B33" s="178"/>
      <c r="C33" s="42"/>
      <c r="D33" s="42"/>
      <c r="E33" s="178"/>
    </row>
    <row r="34" ht="15.75" customHeight="1">
      <c r="A34" s="178"/>
      <c r="B34" s="178"/>
      <c r="C34" s="42"/>
      <c r="D34" s="42"/>
      <c r="E34" s="178"/>
    </row>
    <row r="35" ht="15.75" customHeight="1">
      <c r="A35" s="178"/>
      <c r="B35" s="178"/>
      <c r="C35" s="42"/>
      <c r="D35" s="42"/>
      <c r="E35" s="178"/>
    </row>
    <row r="36" ht="15.75" customHeight="1">
      <c r="A36" s="178"/>
      <c r="B36" s="178"/>
      <c r="C36" s="42"/>
      <c r="D36" s="42"/>
      <c r="E36" s="178"/>
    </row>
    <row r="37" ht="15.75" customHeight="1">
      <c r="A37" s="178"/>
      <c r="B37" s="178"/>
      <c r="C37" s="42"/>
      <c r="D37" s="42"/>
      <c r="E37" s="178"/>
    </row>
    <row r="38" ht="15.75" customHeight="1">
      <c r="A38" s="178"/>
      <c r="B38" s="178"/>
      <c r="C38" s="42"/>
      <c r="D38" s="42"/>
      <c r="E38" s="178"/>
    </row>
    <row r="39" ht="15.75" customHeight="1">
      <c r="A39" s="178"/>
      <c r="B39" s="178"/>
      <c r="C39" s="42"/>
      <c r="D39" s="42"/>
      <c r="E39" s="178"/>
    </row>
    <row r="40" ht="15.75" customHeight="1">
      <c r="A40" s="178"/>
      <c r="B40" s="178"/>
      <c r="C40" s="42"/>
      <c r="D40" s="42"/>
      <c r="E40" s="178"/>
    </row>
    <row r="41" ht="15.75" customHeight="1">
      <c r="A41" s="178"/>
      <c r="B41" s="178"/>
      <c r="C41" s="42"/>
      <c r="D41" s="42"/>
      <c r="E41" s="178"/>
    </row>
    <row r="42" ht="15.75" customHeight="1">
      <c r="A42" s="178"/>
      <c r="B42" s="178"/>
      <c r="C42" s="42"/>
      <c r="D42" s="42"/>
      <c r="E42" s="178"/>
    </row>
    <row r="43" ht="15.75" customHeight="1">
      <c r="A43" s="178"/>
      <c r="B43" s="178"/>
      <c r="C43" s="42"/>
      <c r="D43" s="42"/>
      <c r="E43" s="178"/>
    </row>
    <row r="44" ht="15.75" customHeight="1">
      <c r="A44" s="178"/>
      <c r="B44" s="178"/>
      <c r="C44" s="42"/>
      <c r="D44" s="42"/>
      <c r="E44" s="178"/>
    </row>
    <row r="45" ht="15.75" customHeight="1">
      <c r="A45" s="178"/>
      <c r="B45" s="178"/>
      <c r="C45" s="42"/>
      <c r="D45" s="42"/>
      <c r="E45" s="178"/>
    </row>
    <row r="46" ht="15.75" customHeight="1">
      <c r="A46" s="178"/>
      <c r="B46" s="178"/>
      <c r="C46" s="42"/>
      <c r="D46" s="42"/>
      <c r="E46" s="178"/>
    </row>
    <row r="47" ht="15.75" customHeight="1">
      <c r="A47" s="178"/>
      <c r="B47" s="178"/>
      <c r="C47" s="42"/>
      <c r="D47" s="42"/>
      <c r="E47" s="178"/>
    </row>
    <row r="48" ht="15.75" customHeight="1">
      <c r="A48" s="178"/>
      <c r="B48" s="178"/>
      <c r="C48" s="42"/>
      <c r="D48" s="42"/>
      <c r="E48" s="178"/>
    </row>
    <row r="49" ht="15.75" customHeight="1">
      <c r="A49" s="178"/>
      <c r="B49" s="178"/>
      <c r="C49" s="42"/>
      <c r="D49" s="42"/>
      <c r="E49" s="178"/>
    </row>
    <row r="50" ht="15.75" customHeight="1">
      <c r="A50" s="178"/>
      <c r="B50" s="178"/>
      <c r="C50" s="42"/>
      <c r="D50" s="42"/>
      <c r="E50" s="178"/>
    </row>
    <row r="51" ht="15.75" customHeight="1">
      <c r="A51" s="178"/>
      <c r="B51" s="178"/>
      <c r="C51" s="42"/>
      <c r="D51" s="42"/>
      <c r="E51" s="178"/>
    </row>
    <row r="52" ht="15.75" customHeight="1">
      <c r="A52" s="178"/>
      <c r="B52" s="178"/>
      <c r="C52" s="42"/>
      <c r="D52" s="42"/>
      <c r="E52" s="178"/>
    </row>
    <row r="53" ht="15.75" customHeight="1">
      <c r="A53" s="178"/>
      <c r="B53" s="178"/>
      <c r="C53" s="42"/>
      <c r="D53" s="42"/>
      <c r="E53" s="178"/>
    </row>
    <row r="54" ht="15.75" customHeight="1">
      <c r="A54" s="178"/>
      <c r="B54" s="178"/>
      <c r="C54" s="42"/>
      <c r="D54" s="42"/>
      <c r="E54" s="178"/>
    </row>
    <row r="55" ht="15.75" customHeight="1">
      <c r="A55" s="178"/>
      <c r="B55" s="178"/>
      <c r="C55" s="42"/>
      <c r="D55" s="42"/>
      <c r="E55" s="178"/>
    </row>
    <row r="56" ht="15.75" customHeight="1">
      <c r="A56" s="178"/>
      <c r="B56" s="178"/>
      <c r="C56" s="42"/>
      <c r="D56" s="42"/>
      <c r="E56" s="178"/>
    </row>
    <row r="57" ht="15.75" customHeight="1">
      <c r="A57" s="178"/>
      <c r="B57" s="178"/>
      <c r="C57" s="42"/>
      <c r="D57" s="42"/>
      <c r="E57" s="178"/>
    </row>
    <row r="58" ht="15.75" customHeight="1">
      <c r="A58" s="178"/>
      <c r="B58" s="178"/>
      <c r="C58" s="42"/>
      <c r="D58" s="42"/>
      <c r="E58" s="178"/>
    </row>
    <row r="59" ht="15.75" customHeight="1">
      <c r="A59" s="178"/>
      <c r="B59" s="178"/>
      <c r="C59" s="42"/>
      <c r="D59" s="42"/>
      <c r="E59" s="178"/>
    </row>
    <row r="60" ht="15.75" customHeight="1">
      <c r="A60" s="178"/>
      <c r="B60" s="178"/>
      <c r="C60" s="42"/>
      <c r="D60" s="42"/>
      <c r="E60" s="178"/>
    </row>
    <row r="61" ht="15.75" customHeight="1">
      <c r="A61" s="178"/>
      <c r="B61" s="178"/>
      <c r="C61" s="42"/>
      <c r="D61" s="42"/>
      <c r="E61" s="178"/>
    </row>
    <row r="62" ht="15.75" customHeight="1">
      <c r="A62" s="178"/>
      <c r="B62" s="178"/>
      <c r="C62" s="42"/>
      <c r="D62" s="42"/>
      <c r="E62" s="178"/>
    </row>
    <row r="63" ht="15.75" customHeight="1">
      <c r="A63" s="178"/>
      <c r="B63" s="178"/>
      <c r="C63" s="42"/>
      <c r="D63" s="42"/>
      <c r="E63" s="178"/>
    </row>
    <row r="64" ht="15.75" customHeight="1">
      <c r="A64" s="178"/>
      <c r="B64" s="178"/>
      <c r="C64" s="42"/>
      <c r="D64" s="42"/>
      <c r="E64" s="178"/>
    </row>
    <row r="65" ht="15.75" customHeight="1">
      <c r="A65" s="178"/>
      <c r="B65" s="178"/>
      <c r="C65" s="42"/>
      <c r="D65" s="42"/>
      <c r="E65" s="178"/>
    </row>
    <row r="66" ht="15.75" customHeight="1">
      <c r="A66" s="178"/>
      <c r="B66" s="178"/>
      <c r="C66" s="42"/>
      <c r="D66" s="42"/>
      <c r="E66" s="178"/>
    </row>
    <row r="67" ht="15.75" customHeight="1">
      <c r="A67" s="178"/>
      <c r="B67" s="178"/>
      <c r="C67" s="42"/>
      <c r="D67" s="42"/>
      <c r="E67" s="178"/>
    </row>
    <row r="68" ht="15.75" customHeight="1">
      <c r="A68" s="178"/>
      <c r="B68" s="178"/>
      <c r="C68" s="42"/>
      <c r="D68" s="42"/>
      <c r="E68" s="178"/>
    </row>
    <row r="69" ht="15.75" customHeight="1">
      <c r="A69" s="178"/>
      <c r="B69" s="178"/>
      <c r="C69" s="42"/>
      <c r="D69" s="42"/>
      <c r="E69" s="178"/>
    </row>
    <row r="70" ht="15.75" customHeight="1">
      <c r="A70" s="178"/>
      <c r="B70" s="178"/>
      <c r="C70" s="42"/>
      <c r="D70" s="42"/>
      <c r="E70" s="178"/>
    </row>
    <row r="71" ht="15.75" customHeight="1">
      <c r="A71" s="178"/>
      <c r="B71" s="178"/>
      <c r="C71" s="42"/>
      <c r="D71" s="42"/>
      <c r="E71" s="178"/>
    </row>
    <row r="72" ht="15.75" customHeight="1">
      <c r="A72" s="178"/>
      <c r="B72" s="178"/>
      <c r="C72" s="42"/>
      <c r="D72" s="42"/>
      <c r="E72" s="178"/>
    </row>
    <row r="73" ht="15.75" customHeight="1">
      <c r="A73" s="178"/>
      <c r="B73" s="178"/>
      <c r="C73" s="42"/>
      <c r="D73" s="42"/>
      <c r="E73" s="178"/>
    </row>
    <row r="74" ht="15.75" customHeight="1">
      <c r="A74" s="178"/>
      <c r="B74" s="178"/>
      <c r="C74" s="42"/>
      <c r="D74" s="42"/>
      <c r="E74" s="178"/>
    </row>
    <row r="75" ht="15.75" customHeight="1">
      <c r="A75" s="178"/>
      <c r="B75" s="178"/>
      <c r="C75" s="42"/>
      <c r="D75" s="42"/>
      <c r="E75" s="178"/>
    </row>
    <row r="76" ht="15.75" customHeight="1">
      <c r="A76" s="178"/>
      <c r="B76" s="178"/>
      <c r="C76" s="42"/>
      <c r="D76" s="42"/>
      <c r="E76" s="178"/>
    </row>
    <row r="77" ht="15.75" customHeight="1">
      <c r="A77" s="178"/>
      <c r="B77" s="178"/>
      <c r="C77" s="42"/>
      <c r="D77" s="42"/>
      <c r="E77" s="178"/>
    </row>
    <row r="78" ht="15.75" customHeight="1">
      <c r="A78" s="178"/>
      <c r="B78" s="178"/>
      <c r="C78" s="42"/>
      <c r="D78" s="42"/>
      <c r="E78" s="178"/>
    </row>
    <row r="79" ht="15.75" customHeight="1">
      <c r="A79" s="178"/>
      <c r="B79" s="178"/>
      <c r="C79" s="42"/>
      <c r="D79" s="42"/>
      <c r="E79" s="178"/>
    </row>
    <row r="80" ht="15.75" customHeight="1">
      <c r="A80" s="178"/>
      <c r="B80" s="178"/>
      <c r="C80" s="42"/>
      <c r="D80" s="42"/>
      <c r="E80" s="178"/>
    </row>
    <row r="81" ht="15.75" customHeight="1">
      <c r="A81" s="178"/>
      <c r="B81" s="178"/>
      <c r="C81" s="42"/>
      <c r="D81" s="42"/>
      <c r="E81" s="178"/>
    </row>
    <row r="82" ht="15.75" customHeight="1">
      <c r="A82" s="178"/>
      <c r="B82" s="178"/>
      <c r="C82" s="42"/>
      <c r="D82" s="42"/>
      <c r="E82" s="178"/>
    </row>
    <row r="83" ht="15.75" customHeight="1">
      <c r="A83" s="178"/>
      <c r="B83" s="178"/>
      <c r="C83" s="42"/>
      <c r="D83" s="42"/>
      <c r="E83" s="178"/>
    </row>
    <row r="84" ht="15.75" customHeight="1">
      <c r="A84" s="178"/>
      <c r="B84" s="178"/>
      <c r="C84" s="42"/>
      <c r="D84" s="42"/>
      <c r="E84" s="178"/>
    </row>
    <row r="85" ht="15.75" customHeight="1">
      <c r="A85" s="178"/>
      <c r="B85" s="178"/>
      <c r="C85" s="42"/>
      <c r="D85" s="42"/>
      <c r="E85" s="178"/>
    </row>
    <row r="86" ht="15.75" customHeight="1">
      <c r="A86" s="178"/>
      <c r="B86" s="178"/>
      <c r="C86" s="42"/>
      <c r="D86" s="42"/>
      <c r="E86" s="178"/>
    </row>
    <row r="87" ht="15.75" customHeight="1">
      <c r="A87" s="178"/>
      <c r="B87" s="178"/>
      <c r="C87" s="42"/>
      <c r="D87" s="42"/>
      <c r="E87" s="178"/>
    </row>
    <row r="88" ht="15.75" customHeight="1">
      <c r="A88" s="178"/>
      <c r="B88" s="178"/>
      <c r="C88" s="42"/>
      <c r="D88" s="42"/>
      <c r="E88" s="178"/>
    </row>
    <row r="89" ht="15.75" customHeight="1">
      <c r="A89" s="178"/>
      <c r="B89" s="178"/>
      <c r="C89" s="42"/>
      <c r="D89" s="42"/>
      <c r="E89" s="178"/>
    </row>
    <row r="90" ht="15.75" customHeight="1">
      <c r="A90" s="178"/>
      <c r="B90" s="178"/>
      <c r="C90" s="42"/>
      <c r="D90" s="42"/>
      <c r="E90" s="178"/>
    </row>
    <row r="91" ht="15.75" customHeight="1">
      <c r="A91" s="178"/>
      <c r="B91" s="178"/>
      <c r="C91" s="42"/>
      <c r="D91" s="42"/>
      <c r="E91" s="178"/>
    </row>
    <row r="92" ht="15.75" customHeight="1">
      <c r="A92" s="178"/>
      <c r="B92" s="178"/>
      <c r="C92" s="42"/>
      <c r="D92" s="42"/>
      <c r="E92" s="178"/>
    </row>
    <row r="93" ht="15.75" customHeight="1">
      <c r="A93" s="178"/>
      <c r="B93" s="178"/>
      <c r="C93" s="42"/>
      <c r="D93" s="42"/>
      <c r="E93" s="178"/>
    </row>
    <row r="94" ht="15.75" customHeight="1">
      <c r="A94" s="178"/>
      <c r="B94" s="178"/>
      <c r="C94" s="42"/>
      <c r="D94" s="42"/>
      <c r="E94" s="178"/>
    </row>
    <row r="95" ht="15.75" customHeight="1">
      <c r="A95" s="178"/>
      <c r="B95" s="178"/>
      <c r="C95" s="42"/>
      <c r="D95" s="42"/>
      <c r="E95" s="178"/>
    </row>
    <row r="96" ht="15.75" customHeight="1">
      <c r="A96" s="178"/>
      <c r="B96" s="178"/>
      <c r="C96" s="42"/>
      <c r="D96" s="42"/>
      <c r="E96" s="178"/>
    </row>
    <row r="97" ht="15.75" customHeight="1">
      <c r="A97" s="178"/>
      <c r="B97" s="178"/>
      <c r="C97" s="42"/>
      <c r="D97" s="42"/>
      <c r="E97" s="178"/>
    </row>
    <row r="98" ht="15.75" customHeight="1">
      <c r="A98" s="178"/>
      <c r="B98" s="178"/>
      <c r="C98" s="42"/>
      <c r="D98" s="42"/>
      <c r="E98" s="178"/>
    </row>
    <row r="99" ht="15.75" customHeight="1">
      <c r="A99" s="178"/>
      <c r="B99" s="178"/>
      <c r="C99" s="42"/>
      <c r="D99" s="42"/>
      <c r="E99" s="178"/>
    </row>
    <row r="100" ht="15.75" customHeight="1">
      <c r="A100" s="178"/>
      <c r="B100" s="178"/>
      <c r="C100" s="42"/>
      <c r="D100" s="42"/>
      <c r="E100" s="178"/>
    </row>
    <row r="101" ht="15.75" customHeight="1">
      <c r="A101" s="178"/>
      <c r="B101" s="178"/>
      <c r="C101" s="42"/>
      <c r="D101" s="42"/>
      <c r="E101" s="178"/>
    </row>
    <row r="102" ht="15.75" customHeight="1">
      <c r="A102" s="178"/>
      <c r="B102" s="178"/>
      <c r="C102" s="42"/>
      <c r="D102" s="42"/>
      <c r="E102" s="178"/>
    </row>
    <row r="103" ht="15.75" customHeight="1">
      <c r="A103" s="178"/>
      <c r="B103" s="178"/>
      <c r="C103" s="42"/>
      <c r="D103" s="42"/>
      <c r="E103" s="178"/>
    </row>
    <row r="104" ht="15.75" customHeight="1">
      <c r="A104" s="178"/>
      <c r="B104" s="178"/>
      <c r="C104" s="42"/>
      <c r="D104" s="42"/>
      <c r="E104" s="178"/>
    </row>
    <row r="105" ht="15.75" customHeight="1">
      <c r="A105" s="178"/>
      <c r="B105" s="178"/>
      <c r="C105" s="42"/>
      <c r="D105" s="42"/>
      <c r="E105" s="178"/>
    </row>
    <row r="106" ht="15.75" customHeight="1">
      <c r="A106" s="178"/>
      <c r="B106" s="178"/>
      <c r="C106" s="42"/>
      <c r="D106" s="42"/>
      <c r="E106" s="178"/>
    </row>
    <row r="107" ht="15.75" customHeight="1">
      <c r="A107" s="178"/>
      <c r="B107" s="178"/>
      <c r="C107" s="42"/>
      <c r="D107" s="42"/>
      <c r="E107" s="178"/>
    </row>
    <row r="108" ht="15.75" customHeight="1">
      <c r="A108" s="178"/>
      <c r="B108" s="178"/>
      <c r="C108" s="42"/>
      <c r="D108" s="42"/>
      <c r="E108" s="178"/>
    </row>
    <row r="109" ht="15.75" customHeight="1">
      <c r="A109" s="178"/>
      <c r="B109" s="178"/>
      <c r="C109" s="42"/>
      <c r="D109" s="42"/>
      <c r="E109" s="178"/>
    </row>
    <row r="110" ht="15.75" customHeight="1">
      <c r="A110" s="178"/>
      <c r="B110" s="178"/>
      <c r="C110" s="42"/>
      <c r="D110" s="42"/>
      <c r="E110" s="178"/>
    </row>
    <row r="111" ht="15.75" customHeight="1">
      <c r="A111" s="178"/>
      <c r="B111" s="178"/>
      <c r="C111" s="42"/>
      <c r="D111" s="42"/>
      <c r="E111" s="178"/>
    </row>
    <row r="112" ht="15.75" customHeight="1">
      <c r="A112" s="178"/>
      <c r="B112" s="178"/>
      <c r="C112" s="42"/>
      <c r="D112" s="42"/>
      <c r="E112" s="178"/>
    </row>
    <row r="113" ht="15.75" customHeight="1">
      <c r="A113" s="178"/>
      <c r="B113" s="178"/>
      <c r="C113" s="42"/>
      <c r="D113" s="42"/>
      <c r="E113" s="178"/>
    </row>
    <row r="114" ht="15.75" customHeight="1">
      <c r="A114" s="178"/>
      <c r="B114" s="178"/>
      <c r="C114" s="42"/>
      <c r="D114" s="42"/>
      <c r="E114" s="178"/>
    </row>
    <row r="115" ht="15.75" customHeight="1">
      <c r="A115" s="178"/>
      <c r="B115" s="178"/>
      <c r="C115" s="42"/>
      <c r="D115" s="42"/>
      <c r="E115" s="178"/>
    </row>
    <row r="116" ht="15.75" customHeight="1">
      <c r="A116" s="178"/>
      <c r="B116" s="178"/>
      <c r="C116" s="42"/>
      <c r="D116" s="42"/>
      <c r="E116" s="178"/>
    </row>
    <row r="117" ht="15.75" customHeight="1">
      <c r="A117" s="178"/>
      <c r="B117" s="178"/>
      <c r="C117" s="42"/>
      <c r="D117" s="42"/>
      <c r="E117" s="178"/>
    </row>
    <row r="118" ht="15.75" customHeight="1">
      <c r="A118" s="178"/>
      <c r="B118" s="178"/>
      <c r="C118" s="42"/>
      <c r="D118" s="42"/>
      <c r="E118" s="178"/>
    </row>
    <row r="119" ht="15.75" customHeight="1">
      <c r="A119" s="178"/>
      <c r="B119" s="178"/>
      <c r="C119" s="42"/>
      <c r="D119" s="42"/>
      <c r="E119" s="178"/>
    </row>
    <row r="120" ht="15.75" customHeight="1">
      <c r="A120" s="178"/>
      <c r="B120" s="178"/>
      <c r="C120" s="42"/>
      <c r="D120" s="42"/>
      <c r="E120" s="178"/>
    </row>
    <row r="121" ht="15.75" customHeight="1">
      <c r="A121" s="178"/>
      <c r="B121" s="178"/>
      <c r="C121" s="42"/>
      <c r="D121" s="42"/>
      <c r="E121" s="178"/>
    </row>
    <row r="122" ht="15.75" customHeight="1">
      <c r="A122" s="178"/>
      <c r="B122" s="178"/>
      <c r="C122" s="42"/>
      <c r="D122" s="42"/>
      <c r="E122" s="178"/>
    </row>
    <row r="123" ht="15.75" customHeight="1">
      <c r="A123" s="178"/>
      <c r="B123" s="178"/>
      <c r="C123" s="42"/>
      <c r="D123" s="42"/>
      <c r="E123" s="178"/>
    </row>
    <row r="124" ht="15.75" customHeight="1">
      <c r="A124" s="178"/>
      <c r="B124" s="178"/>
      <c r="C124" s="42"/>
      <c r="D124" s="42"/>
      <c r="E124" s="178"/>
    </row>
    <row r="125" ht="15.75" customHeight="1">
      <c r="A125" s="178"/>
      <c r="B125" s="178"/>
      <c r="C125" s="42"/>
      <c r="D125" s="42"/>
      <c r="E125" s="178"/>
    </row>
    <row r="126" ht="15.75" customHeight="1">
      <c r="A126" s="178"/>
      <c r="B126" s="178"/>
      <c r="C126" s="42"/>
      <c r="D126" s="42"/>
      <c r="E126" s="178"/>
    </row>
    <row r="127" ht="15.75" customHeight="1">
      <c r="A127" s="178"/>
      <c r="B127" s="178"/>
      <c r="C127" s="42"/>
      <c r="D127" s="42"/>
      <c r="E127" s="178"/>
    </row>
    <row r="128" ht="15.75" customHeight="1">
      <c r="A128" s="178"/>
      <c r="B128" s="178"/>
      <c r="C128" s="42"/>
      <c r="D128" s="42"/>
      <c r="E128" s="178"/>
    </row>
    <row r="129" ht="15.75" customHeight="1">
      <c r="A129" s="178"/>
      <c r="B129" s="178"/>
      <c r="C129" s="42"/>
      <c r="D129" s="42"/>
      <c r="E129" s="178"/>
    </row>
    <row r="130" ht="15.75" customHeight="1">
      <c r="A130" s="178"/>
      <c r="B130" s="178"/>
      <c r="C130" s="42"/>
      <c r="D130" s="42"/>
      <c r="E130" s="178"/>
    </row>
    <row r="131" ht="15.75" customHeight="1">
      <c r="A131" s="178"/>
      <c r="B131" s="178"/>
      <c r="C131" s="42"/>
      <c r="D131" s="42"/>
      <c r="E131" s="178"/>
    </row>
    <row r="132" ht="15.75" customHeight="1">
      <c r="A132" s="178"/>
      <c r="B132" s="178"/>
      <c r="C132" s="42"/>
      <c r="D132" s="42"/>
      <c r="E132" s="178"/>
    </row>
    <row r="133" ht="15.75" customHeight="1">
      <c r="A133" s="178"/>
      <c r="B133" s="178"/>
      <c r="C133" s="42"/>
      <c r="D133" s="42"/>
      <c r="E133" s="178"/>
    </row>
    <row r="134" ht="15.75" customHeight="1">
      <c r="A134" s="178"/>
      <c r="B134" s="178"/>
      <c r="C134" s="42"/>
      <c r="D134" s="42"/>
      <c r="E134" s="178"/>
    </row>
    <row r="135" ht="15.75" customHeight="1">
      <c r="A135" s="178"/>
      <c r="B135" s="178"/>
      <c r="C135" s="42"/>
      <c r="D135" s="42"/>
      <c r="E135" s="178"/>
    </row>
    <row r="136" ht="15.75" customHeight="1">
      <c r="A136" s="178"/>
      <c r="B136" s="178"/>
      <c r="C136" s="42"/>
      <c r="D136" s="42"/>
      <c r="E136" s="178"/>
    </row>
    <row r="137" ht="15.75" customHeight="1">
      <c r="A137" s="178"/>
      <c r="B137" s="178"/>
      <c r="C137" s="42"/>
      <c r="D137" s="42"/>
      <c r="E137" s="178"/>
    </row>
    <row r="138" ht="15.75" customHeight="1">
      <c r="A138" s="178"/>
      <c r="B138" s="178"/>
      <c r="C138" s="42"/>
      <c r="D138" s="42"/>
      <c r="E138" s="178"/>
    </row>
    <row r="139" ht="15.75" customHeight="1">
      <c r="A139" s="178"/>
      <c r="B139" s="178"/>
      <c r="C139" s="42"/>
      <c r="D139" s="42"/>
      <c r="E139" s="178"/>
    </row>
    <row r="140" ht="15.75" customHeight="1">
      <c r="A140" s="178"/>
      <c r="B140" s="178"/>
      <c r="C140" s="42"/>
      <c r="D140" s="42"/>
      <c r="E140" s="178"/>
    </row>
    <row r="141" ht="15.75" customHeight="1">
      <c r="A141" s="178"/>
      <c r="B141" s="178"/>
      <c r="C141" s="42"/>
      <c r="D141" s="42"/>
      <c r="E141" s="178"/>
    </row>
    <row r="142" ht="15.75" customHeight="1">
      <c r="A142" s="178"/>
      <c r="B142" s="178"/>
      <c r="C142" s="42"/>
      <c r="D142" s="42"/>
      <c r="E142" s="178"/>
    </row>
    <row r="143" ht="15.75" customHeight="1">
      <c r="A143" s="178"/>
      <c r="B143" s="178"/>
      <c r="C143" s="42"/>
      <c r="D143" s="42"/>
      <c r="E143" s="178"/>
    </row>
    <row r="144" ht="15.75" customHeight="1">
      <c r="A144" s="178"/>
      <c r="B144" s="178"/>
      <c r="C144" s="42"/>
      <c r="D144" s="42"/>
      <c r="E144" s="178"/>
    </row>
    <row r="145" ht="15.75" customHeight="1">
      <c r="A145" s="178"/>
      <c r="B145" s="178"/>
      <c r="C145" s="42"/>
      <c r="D145" s="42"/>
      <c r="E145" s="178"/>
    </row>
    <row r="146" ht="15.75" customHeight="1">
      <c r="A146" s="178"/>
      <c r="B146" s="178"/>
      <c r="C146" s="42"/>
      <c r="D146" s="42"/>
      <c r="E146" s="178"/>
    </row>
    <row r="147" ht="15.75" customHeight="1">
      <c r="A147" s="178"/>
      <c r="B147" s="178"/>
      <c r="C147" s="42"/>
      <c r="D147" s="42"/>
      <c r="E147" s="178"/>
    </row>
    <row r="148" ht="15.75" customHeight="1">
      <c r="A148" s="178"/>
      <c r="B148" s="178"/>
      <c r="C148" s="42"/>
      <c r="D148" s="42"/>
      <c r="E148" s="178"/>
    </row>
    <row r="149" ht="15.75" customHeight="1">
      <c r="A149" s="178"/>
      <c r="B149" s="178"/>
      <c r="C149" s="42"/>
      <c r="D149" s="42"/>
      <c r="E149" s="178"/>
    </row>
    <row r="150" ht="15.75" customHeight="1">
      <c r="A150" s="178"/>
      <c r="B150" s="178"/>
      <c r="C150" s="42"/>
      <c r="D150" s="42"/>
      <c r="E150" s="178"/>
    </row>
    <row r="151" ht="15.75" customHeight="1">
      <c r="A151" s="178"/>
      <c r="B151" s="178"/>
      <c r="C151" s="42"/>
      <c r="D151" s="42"/>
      <c r="E151" s="178"/>
    </row>
    <row r="152" ht="15.75" customHeight="1">
      <c r="A152" s="178"/>
      <c r="B152" s="178"/>
      <c r="C152" s="42"/>
      <c r="D152" s="42"/>
      <c r="E152" s="178"/>
    </row>
    <row r="153" ht="15.75" customHeight="1">
      <c r="A153" s="178"/>
      <c r="B153" s="178"/>
      <c r="C153" s="42"/>
      <c r="D153" s="42"/>
      <c r="E153" s="178"/>
    </row>
    <row r="154" ht="15.75" customHeight="1">
      <c r="A154" s="178"/>
      <c r="B154" s="178"/>
      <c r="C154" s="42"/>
      <c r="D154" s="42"/>
      <c r="E154" s="178"/>
    </row>
    <row r="155" ht="15.75" customHeight="1">
      <c r="A155" s="178"/>
      <c r="B155" s="178"/>
      <c r="C155" s="42"/>
      <c r="D155" s="42"/>
      <c r="E155" s="178"/>
    </row>
    <row r="156" ht="15.75" customHeight="1">
      <c r="A156" s="178"/>
      <c r="B156" s="178"/>
      <c r="C156" s="42"/>
      <c r="D156" s="42"/>
      <c r="E156" s="178"/>
    </row>
    <row r="157" ht="15.75" customHeight="1">
      <c r="A157" s="178"/>
      <c r="B157" s="178"/>
      <c r="C157" s="42"/>
      <c r="D157" s="42"/>
      <c r="E157" s="178"/>
    </row>
    <row r="158" ht="15.75" customHeight="1">
      <c r="A158" s="178"/>
      <c r="B158" s="178"/>
      <c r="C158" s="42"/>
      <c r="D158" s="42"/>
      <c r="E158" s="178"/>
    </row>
    <row r="159" ht="15.75" customHeight="1">
      <c r="A159" s="178"/>
      <c r="B159" s="178"/>
      <c r="C159" s="42"/>
      <c r="D159" s="42"/>
      <c r="E159" s="178"/>
    </row>
    <row r="160" ht="15.75" customHeight="1">
      <c r="A160" s="178"/>
      <c r="B160" s="178"/>
      <c r="C160" s="42"/>
      <c r="D160" s="42"/>
      <c r="E160" s="178"/>
    </row>
    <row r="161" ht="15.75" customHeight="1">
      <c r="A161" s="178"/>
      <c r="B161" s="178"/>
      <c r="C161" s="42"/>
      <c r="D161" s="42"/>
      <c r="E161" s="178"/>
    </row>
    <row r="162" ht="15.75" customHeight="1">
      <c r="A162" s="178"/>
      <c r="B162" s="178"/>
      <c r="C162" s="42"/>
      <c r="D162" s="42"/>
      <c r="E162" s="178"/>
    </row>
    <row r="163" ht="15.75" customHeight="1">
      <c r="A163" s="178"/>
      <c r="B163" s="178"/>
      <c r="C163" s="42"/>
      <c r="D163" s="42"/>
      <c r="E163" s="178"/>
    </row>
    <row r="164" ht="15.75" customHeight="1">
      <c r="A164" s="178"/>
      <c r="B164" s="178"/>
      <c r="C164" s="42"/>
      <c r="D164" s="42"/>
      <c r="E164" s="178"/>
    </row>
    <row r="165" ht="15.75" customHeight="1">
      <c r="A165" s="178"/>
      <c r="B165" s="178"/>
      <c r="C165" s="42"/>
      <c r="D165" s="42"/>
      <c r="E165" s="178"/>
    </row>
    <row r="166" ht="15.75" customHeight="1">
      <c r="A166" s="178"/>
      <c r="B166" s="178"/>
      <c r="C166" s="42"/>
      <c r="D166" s="42"/>
      <c r="E166" s="178"/>
    </row>
    <row r="167" ht="15.75" customHeight="1">
      <c r="A167" s="178"/>
      <c r="B167" s="178"/>
      <c r="C167" s="42"/>
      <c r="D167" s="42"/>
      <c r="E167" s="178"/>
    </row>
    <row r="168" ht="15.75" customHeight="1">
      <c r="A168" s="178"/>
      <c r="B168" s="178"/>
      <c r="C168" s="42"/>
      <c r="D168" s="42"/>
      <c r="E168" s="178"/>
    </row>
    <row r="169" ht="15.75" customHeight="1">
      <c r="A169" s="178"/>
      <c r="B169" s="178"/>
      <c r="C169" s="42"/>
      <c r="D169" s="42"/>
      <c r="E169" s="178"/>
    </row>
    <row r="170" ht="15.75" customHeight="1">
      <c r="A170" s="178"/>
      <c r="B170" s="178"/>
      <c r="C170" s="42"/>
      <c r="D170" s="42"/>
      <c r="E170" s="178"/>
    </row>
    <row r="171" ht="15.75" customHeight="1">
      <c r="A171" s="178"/>
      <c r="B171" s="178"/>
      <c r="C171" s="42"/>
      <c r="D171" s="42"/>
      <c r="E171" s="178"/>
    </row>
    <row r="172" ht="15.75" customHeight="1">
      <c r="A172" s="178"/>
      <c r="B172" s="178"/>
      <c r="C172" s="42"/>
      <c r="D172" s="42"/>
      <c r="E172" s="178"/>
    </row>
    <row r="173" ht="15.75" customHeight="1">
      <c r="A173" s="178"/>
      <c r="B173" s="178"/>
      <c r="C173" s="42"/>
      <c r="D173" s="42"/>
      <c r="E173" s="178"/>
    </row>
    <row r="174" ht="15.75" customHeight="1">
      <c r="A174" s="178"/>
      <c r="B174" s="178"/>
      <c r="C174" s="42"/>
      <c r="D174" s="42"/>
      <c r="E174" s="178"/>
    </row>
    <row r="175" ht="15.75" customHeight="1">
      <c r="A175" s="178"/>
      <c r="B175" s="178"/>
      <c r="C175" s="42"/>
      <c r="D175" s="42"/>
      <c r="E175" s="178"/>
    </row>
    <row r="176" ht="15.75" customHeight="1">
      <c r="A176" s="178"/>
      <c r="B176" s="178"/>
      <c r="C176" s="42"/>
      <c r="D176" s="42"/>
      <c r="E176" s="178"/>
    </row>
    <row r="177" ht="15.75" customHeight="1">
      <c r="A177" s="178"/>
      <c r="B177" s="178"/>
      <c r="C177" s="42"/>
      <c r="D177" s="42"/>
      <c r="E177" s="178"/>
    </row>
    <row r="178" ht="15.75" customHeight="1">
      <c r="A178" s="178"/>
      <c r="B178" s="178"/>
      <c r="C178" s="42"/>
      <c r="D178" s="42"/>
      <c r="E178" s="178"/>
    </row>
    <row r="179" ht="15.75" customHeight="1">
      <c r="A179" s="178"/>
      <c r="B179" s="178"/>
      <c r="C179" s="42"/>
      <c r="D179" s="42"/>
      <c r="E179" s="178"/>
    </row>
    <row r="180" ht="15.75" customHeight="1">
      <c r="A180" s="178"/>
      <c r="B180" s="178"/>
      <c r="C180" s="42"/>
      <c r="D180" s="42"/>
      <c r="E180" s="178"/>
    </row>
    <row r="181" ht="15.75" customHeight="1">
      <c r="A181" s="178"/>
      <c r="B181" s="178"/>
      <c r="C181" s="42"/>
      <c r="D181" s="42"/>
      <c r="E181" s="178"/>
    </row>
    <row r="182" ht="15.75" customHeight="1">
      <c r="A182" s="178"/>
      <c r="B182" s="178"/>
      <c r="C182" s="42"/>
      <c r="D182" s="42"/>
      <c r="E182" s="178"/>
    </row>
    <row r="183" ht="15.75" customHeight="1">
      <c r="A183" s="178"/>
      <c r="B183" s="178"/>
      <c r="C183" s="42"/>
      <c r="D183" s="42"/>
      <c r="E183" s="178"/>
    </row>
    <row r="184" ht="15.75" customHeight="1">
      <c r="A184" s="178"/>
      <c r="B184" s="178"/>
      <c r="C184" s="42"/>
      <c r="D184" s="42"/>
      <c r="E184" s="178"/>
    </row>
    <row r="185" ht="15.75" customHeight="1">
      <c r="A185" s="178"/>
      <c r="B185" s="178"/>
      <c r="C185" s="42"/>
      <c r="D185" s="42"/>
      <c r="E185" s="178"/>
    </row>
    <row r="186" ht="15.75" customHeight="1">
      <c r="A186" s="178"/>
      <c r="B186" s="178"/>
      <c r="C186" s="42"/>
      <c r="D186" s="42"/>
      <c r="E186" s="178"/>
    </row>
    <row r="187" ht="15.75" customHeight="1">
      <c r="A187" s="178"/>
      <c r="B187" s="178"/>
      <c r="C187" s="42"/>
      <c r="D187" s="42"/>
      <c r="E187" s="178"/>
    </row>
    <row r="188" ht="15.75" customHeight="1">
      <c r="A188" s="178"/>
      <c r="B188" s="178"/>
      <c r="C188" s="42"/>
      <c r="D188" s="42"/>
      <c r="E188" s="178"/>
    </row>
    <row r="189" ht="15.75" customHeight="1">
      <c r="A189" s="178"/>
      <c r="B189" s="178"/>
      <c r="C189" s="42"/>
      <c r="D189" s="42"/>
      <c r="E189" s="178"/>
    </row>
    <row r="190" ht="15.75" customHeight="1">
      <c r="A190" s="178"/>
      <c r="B190" s="178"/>
      <c r="C190" s="42"/>
      <c r="D190" s="42"/>
      <c r="E190" s="178"/>
    </row>
    <row r="191" ht="15.75" customHeight="1">
      <c r="A191" s="178"/>
      <c r="B191" s="178"/>
      <c r="C191" s="42"/>
      <c r="D191" s="42"/>
      <c r="E191" s="178"/>
    </row>
    <row r="192" ht="15.75" customHeight="1">
      <c r="A192" s="178"/>
      <c r="B192" s="178"/>
      <c r="C192" s="42"/>
      <c r="D192" s="42"/>
      <c r="E192" s="178"/>
    </row>
    <row r="193" ht="15.75" customHeight="1">
      <c r="A193" s="178"/>
      <c r="B193" s="178"/>
      <c r="C193" s="42"/>
      <c r="D193" s="42"/>
      <c r="E193" s="178"/>
    </row>
    <row r="194" ht="15.75" customHeight="1">
      <c r="A194" s="178"/>
      <c r="B194" s="178"/>
      <c r="C194" s="42"/>
      <c r="D194" s="42"/>
      <c r="E194" s="178"/>
    </row>
    <row r="195" ht="15.75" customHeight="1">
      <c r="A195" s="178"/>
      <c r="B195" s="178"/>
      <c r="C195" s="42"/>
      <c r="D195" s="42"/>
      <c r="E195" s="178"/>
    </row>
    <row r="196" ht="15.75" customHeight="1">
      <c r="A196" s="178"/>
      <c r="B196" s="178"/>
      <c r="C196" s="42"/>
      <c r="D196" s="42"/>
      <c r="E196" s="178"/>
    </row>
    <row r="197" ht="15.75" customHeight="1">
      <c r="A197" s="178"/>
      <c r="B197" s="178"/>
      <c r="C197" s="42"/>
      <c r="D197" s="42"/>
      <c r="E197" s="178"/>
    </row>
    <row r="198" ht="15.75" customHeight="1">
      <c r="A198" s="178"/>
      <c r="B198" s="178"/>
      <c r="C198" s="42"/>
      <c r="D198" s="42"/>
      <c r="E198" s="178"/>
    </row>
    <row r="199" ht="15.75" customHeight="1">
      <c r="A199" s="178"/>
      <c r="B199" s="178"/>
      <c r="C199" s="42"/>
      <c r="D199" s="42"/>
      <c r="E199" s="178"/>
    </row>
    <row r="200" ht="15.75" customHeight="1">
      <c r="A200" s="178"/>
      <c r="B200" s="178"/>
      <c r="C200" s="42"/>
      <c r="D200" s="42"/>
      <c r="E200" s="178"/>
    </row>
    <row r="201" ht="15.75" customHeight="1">
      <c r="A201" s="178"/>
      <c r="B201" s="178"/>
      <c r="C201" s="42"/>
      <c r="D201" s="42"/>
      <c r="E201" s="178"/>
    </row>
    <row r="202" ht="15.75" customHeight="1">
      <c r="A202" s="178"/>
      <c r="B202" s="178"/>
      <c r="C202" s="42"/>
      <c r="D202" s="42"/>
      <c r="E202" s="178"/>
    </row>
    <row r="203" ht="15.75" customHeight="1">
      <c r="A203" s="178"/>
      <c r="B203" s="178"/>
      <c r="C203" s="42"/>
      <c r="D203" s="42"/>
      <c r="E203" s="178"/>
    </row>
    <row r="204" ht="15.75" customHeight="1">
      <c r="A204" s="178"/>
      <c r="B204" s="178"/>
      <c r="C204" s="42"/>
      <c r="D204" s="42"/>
      <c r="E204" s="178"/>
    </row>
    <row r="205" ht="15.75" customHeight="1">
      <c r="A205" s="178"/>
      <c r="B205" s="178"/>
      <c r="C205" s="42"/>
      <c r="D205" s="42"/>
      <c r="E205" s="178"/>
    </row>
    <row r="206" ht="15.75" customHeight="1">
      <c r="A206" s="178"/>
      <c r="B206" s="178"/>
      <c r="C206" s="42"/>
      <c r="D206" s="42"/>
      <c r="E206" s="178"/>
    </row>
    <row r="207" ht="15.75" customHeight="1">
      <c r="A207" s="178"/>
      <c r="B207" s="178"/>
      <c r="C207" s="42"/>
      <c r="D207" s="42"/>
      <c r="E207" s="178"/>
    </row>
    <row r="208" ht="15.75" customHeight="1">
      <c r="A208" s="178"/>
      <c r="B208" s="178"/>
      <c r="C208" s="42"/>
      <c r="D208" s="42"/>
      <c r="E208" s="178"/>
    </row>
    <row r="209" ht="15.75" customHeight="1">
      <c r="A209" s="178"/>
      <c r="B209" s="178"/>
      <c r="C209" s="42"/>
      <c r="D209" s="42"/>
      <c r="E209" s="178"/>
    </row>
    <row r="210" ht="15.75" customHeight="1">
      <c r="A210" s="178"/>
      <c r="B210" s="178"/>
      <c r="C210" s="42"/>
      <c r="D210" s="42"/>
      <c r="E210" s="178"/>
    </row>
    <row r="211" ht="15.75" customHeight="1">
      <c r="A211" s="178"/>
      <c r="B211" s="178"/>
      <c r="C211" s="42"/>
      <c r="D211" s="42"/>
      <c r="E211" s="178"/>
    </row>
    <row r="212" ht="15.75" customHeight="1">
      <c r="A212" s="178"/>
      <c r="B212" s="178"/>
      <c r="C212" s="42"/>
      <c r="D212" s="42"/>
      <c r="E212" s="178"/>
    </row>
    <row r="213" ht="15.75" customHeight="1">
      <c r="A213" s="178"/>
      <c r="B213" s="178"/>
      <c r="C213" s="42"/>
      <c r="D213" s="42"/>
      <c r="E213" s="178"/>
    </row>
    <row r="214" ht="15.75" customHeight="1">
      <c r="A214" s="178"/>
      <c r="B214" s="178"/>
      <c r="C214" s="42"/>
      <c r="D214" s="42"/>
      <c r="E214" s="178"/>
    </row>
    <row r="215" ht="15.75" customHeight="1">
      <c r="A215" s="178"/>
      <c r="B215" s="178"/>
      <c r="C215" s="42"/>
      <c r="D215" s="42"/>
      <c r="E215" s="178"/>
    </row>
    <row r="216" ht="15.75" customHeight="1">
      <c r="A216" s="178"/>
      <c r="B216" s="178"/>
      <c r="C216" s="42"/>
      <c r="D216" s="42"/>
      <c r="E216" s="178"/>
    </row>
    <row r="217" ht="15.75" customHeight="1">
      <c r="A217" s="178"/>
      <c r="B217" s="178"/>
      <c r="C217" s="42"/>
      <c r="D217" s="42"/>
      <c r="E217" s="178"/>
    </row>
    <row r="218" ht="15.75" customHeight="1">
      <c r="A218" s="178"/>
      <c r="B218" s="178"/>
      <c r="C218" s="42"/>
      <c r="D218" s="42"/>
      <c r="E218" s="178"/>
    </row>
    <row r="219" ht="15.75" customHeight="1">
      <c r="A219" s="178"/>
      <c r="B219" s="178"/>
      <c r="C219" s="42"/>
      <c r="D219" s="42"/>
      <c r="E219" s="178"/>
    </row>
    <row r="220" ht="15.75" customHeight="1">
      <c r="A220" s="42"/>
      <c r="B220" s="42"/>
      <c r="C220" s="42"/>
      <c r="D220" s="42"/>
      <c r="E220" s="42"/>
    </row>
    <row r="221" ht="15.75" customHeight="1">
      <c r="A221" s="42"/>
      <c r="B221" s="42"/>
      <c r="C221" s="42"/>
      <c r="D221" s="42"/>
      <c r="E221" s="42"/>
    </row>
    <row r="222" ht="15.75" customHeight="1">
      <c r="A222" s="42"/>
      <c r="B222" s="42"/>
      <c r="C222" s="42"/>
      <c r="D222" s="42"/>
      <c r="E222" s="42"/>
    </row>
    <row r="223" ht="15.75" customHeight="1">
      <c r="A223" s="42"/>
      <c r="B223" s="42"/>
      <c r="C223" s="42"/>
      <c r="D223" s="42"/>
      <c r="E223" s="4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6.43"/>
    <col customWidth="1" min="2" max="13" width="8.86"/>
    <col customWidth="1" min="14" max="14" width="99.57"/>
    <col customWidth="1" min="15" max="26" width="8.86"/>
  </cols>
  <sheetData>
    <row r="1" ht="15.0" customHeight="1">
      <c r="A1" s="187"/>
      <c r="B1" s="187"/>
      <c r="C1" s="187"/>
      <c r="D1" s="187"/>
      <c r="E1" s="187"/>
      <c r="F1" s="187"/>
      <c r="G1" s="187"/>
      <c r="H1" s="187"/>
      <c r="I1" s="187"/>
      <c r="J1" s="187"/>
      <c r="K1" s="187"/>
      <c r="L1" s="187"/>
      <c r="M1" s="187"/>
      <c r="N1" s="187"/>
      <c r="O1" s="187"/>
      <c r="P1" s="187"/>
      <c r="Q1" s="187"/>
      <c r="R1" s="187"/>
      <c r="S1" s="187"/>
      <c r="T1" s="187"/>
      <c r="U1" s="187"/>
      <c r="V1" s="187"/>
      <c r="W1" s="187"/>
      <c r="X1" s="187"/>
      <c r="Y1" s="187"/>
      <c r="Z1" s="187"/>
    </row>
    <row r="2" ht="15.0" customHeight="1">
      <c r="A2" s="188" t="s">
        <v>340</v>
      </c>
      <c r="B2" s="187"/>
      <c r="C2" s="187"/>
      <c r="D2" s="187"/>
      <c r="E2" s="187"/>
      <c r="F2" s="187"/>
      <c r="G2" s="187"/>
      <c r="H2" s="187"/>
      <c r="I2" s="187"/>
      <c r="J2" s="187"/>
      <c r="K2" s="187"/>
      <c r="L2" s="187"/>
      <c r="M2" s="187"/>
      <c r="N2" s="187"/>
      <c r="O2" s="187"/>
      <c r="P2" s="187"/>
      <c r="Q2" s="187"/>
      <c r="R2" s="187"/>
      <c r="S2" s="187"/>
      <c r="T2" s="187"/>
      <c r="U2" s="187"/>
      <c r="V2" s="187"/>
      <c r="W2" s="187"/>
      <c r="X2" s="187"/>
      <c r="Y2" s="187"/>
      <c r="Z2" s="187"/>
    </row>
    <row r="3" ht="15.0" customHeight="1">
      <c r="A3" s="187"/>
      <c r="B3" s="187"/>
      <c r="C3" s="187"/>
      <c r="D3" s="187"/>
      <c r="E3" s="187"/>
      <c r="F3" s="187"/>
      <c r="G3" s="187"/>
      <c r="H3" s="187"/>
      <c r="I3" s="187"/>
      <c r="J3" s="187"/>
      <c r="K3" s="187"/>
      <c r="L3" s="187"/>
      <c r="M3" s="187"/>
      <c r="N3" s="187"/>
      <c r="O3" s="187"/>
      <c r="P3" s="187"/>
      <c r="Q3" s="187"/>
      <c r="R3" s="187"/>
      <c r="S3" s="187"/>
      <c r="T3" s="187"/>
      <c r="U3" s="187"/>
      <c r="V3" s="187"/>
      <c r="W3" s="187"/>
      <c r="X3" s="187"/>
      <c r="Y3" s="187"/>
      <c r="Z3" s="187"/>
    </row>
    <row r="4">
      <c r="A4" s="189" t="s">
        <v>343</v>
      </c>
      <c r="B4" s="190"/>
      <c r="C4" s="190"/>
      <c r="D4" s="190"/>
      <c r="E4" s="190"/>
      <c r="F4" s="190"/>
      <c r="G4" s="190"/>
      <c r="H4" s="190"/>
      <c r="I4" s="190"/>
      <c r="J4" s="190"/>
      <c r="K4" s="190"/>
      <c r="L4" s="190"/>
      <c r="M4" s="190"/>
      <c r="N4" s="190"/>
      <c r="O4" s="187"/>
      <c r="P4" s="187"/>
      <c r="Q4" s="187"/>
      <c r="R4" s="187"/>
      <c r="S4" s="187"/>
      <c r="T4" s="187"/>
      <c r="U4" s="187"/>
      <c r="V4" s="187"/>
      <c r="W4" s="187"/>
      <c r="X4" s="187"/>
      <c r="Y4" s="187"/>
      <c r="Z4" s="187"/>
    </row>
    <row r="5">
      <c r="A5" s="191"/>
      <c r="B5" s="190"/>
      <c r="C5" s="190"/>
      <c r="D5" s="190"/>
      <c r="E5" s="190"/>
      <c r="F5" s="190"/>
      <c r="G5" s="190"/>
      <c r="H5" s="190"/>
      <c r="I5" s="190"/>
      <c r="J5" s="190"/>
      <c r="K5" s="190"/>
      <c r="L5" s="190"/>
      <c r="M5" s="190"/>
      <c r="N5" s="190"/>
      <c r="O5" s="187"/>
      <c r="P5" s="187"/>
      <c r="Q5" s="187"/>
      <c r="R5" s="187"/>
      <c r="S5" s="187"/>
      <c r="T5" s="187"/>
      <c r="U5" s="187"/>
      <c r="V5" s="187"/>
      <c r="W5" s="187"/>
      <c r="X5" s="187"/>
      <c r="Y5" s="187"/>
      <c r="Z5" s="187"/>
    </row>
    <row r="6">
      <c r="A6" s="192"/>
      <c r="B6" s="190"/>
      <c r="C6" s="190"/>
      <c r="D6" s="190"/>
      <c r="E6" s="190"/>
      <c r="F6" s="190"/>
      <c r="G6" s="190"/>
      <c r="H6" s="190"/>
      <c r="I6" s="190"/>
      <c r="J6" s="190"/>
      <c r="K6" s="190"/>
      <c r="L6" s="190"/>
      <c r="M6" s="190"/>
      <c r="N6" s="190"/>
      <c r="O6" s="187"/>
      <c r="P6" s="187"/>
      <c r="Q6" s="187"/>
      <c r="R6" s="187"/>
      <c r="S6" s="187"/>
      <c r="T6" s="187"/>
      <c r="U6" s="187"/>
      <c r="V6" s="187"/>
      <c r="W6" s="187"/>
      <c r="X6" s="187"/>
      <c r="Y6" s="187"/>
      <c r="Z6" s="187"/>
    </row>
    <row r="7">
      <c r="A7" s="194"/>
      <c r="B7" s="190"/>
      <c r="C7" s="190"/>
      <c r="D7" s="190"/>
      <c r="E7" s="190"/>
      <c r="F7" s="190"/>
      <c r="G7" s="190"/>
      <c r="H7" s="190"/>
      <c r="I7" s="190"/>
      <c r="J7" s="190"/>
      <c r="K7" s="190"/>
      <c r="L7" s="190"/>
      <c r="M7" s="190"/>
      <c r="N7" s="190"/>
      <c r="O7" s="187"/>
      <c r="P7" s="187"/>
      <c r="Q7" s="187"/>
      <c r="R7" s="187"/>
      <c r="S7" s="187"/>
      <c r="T7" s="187"/>
      <c r="U7" s="187"/>
      <c r="V7" s="187"/>
      <c r="W7" s="187"/>
      <c r="X7" s="187"/>
      <c r="Y7" s="187"/>
      <c r="Z7" s="187"/>
    </row>
    <row r="8">
      <c r="A8" s="191"/>
      <c r="B8" s="190"/>
      <c r="C8" s="190"/>
      <c r="D8" s="190"/>
      <c r="E8" s="190"/>
      <c r="F8" s="190"/>
      <c r="G8" s="190"/>
      <c r="H8" s="190"/>
      <c r="I8" s="190"/>
      <c r="J8" s="190"/>
      <c r="K8" s="190"/>
      <c r="L8" s="190"/>
      <c r="M8" s="190"/>
      <c r="N8" s="190"/>
      <c r="O8" s="187"/>
      <c r="P8" s="187"/>
      <c r="Q8" s="187"/>
      <c r="R8" s="187"/>
      <c r="S8" s="187"/>
      <c r="T8" s="187"/>
      <c r="U8" s="187"/>
      <c r="V8" s="187"/>
      <c r="W8" s="187"/>
      <c r="X8" s="187"/>
      <c r="Y8" s="187"/>
      <c r="Z8" s="187"/>
    </row>
    <row r="9">
      <c r="A9" s="195"/>
      <c r="B9" s="190"/>
      <c r="C9" s="190"/>
      <c r="D9" s="190"/>
      <c r="E9" s="190"/>
      <c r="F9" s="190"/>
      <c r="G9" s="190"/>
      <c r="H9" s="190"/>
      <c r="I9" s="190"/>
      <c r="J9" s="190"/>
      <c r="K9" s="190"/>
      <c r="L9" s="190"/>
      <c r="M9" s="190"/>
      <c r="N9" s="190"/>
      <c r="O9" s="187"/>
      <c r="P9" s="187"/>
      <c r="Q9" s="187"/>
      <c r="R9" s="187"/>
      <c r="S9" s="187"/>
      <c r="T9" s="187"/>
      <c r="U9" s="187"/>
      <c r="V9" s="187"/>
      <c r="W9" s="187"/>
      <c r="X9" s="187"/>
      <c r="Y9" s="187"/>
      <c r="Z9" s="187"/>
    </row>
    <row r="10">
      <c r="A10" s="194"/>
      <c r="B10" s="190"/>
      <c r="C10" s="190"/>
      <c r="D10" s="190"/>
      <c r="E10" s="190"/>
      <c r="F10" s="190"/>
      <c r="G10" s="190"/>
      <c r="H10" s="190"/>
      <c r="I10" s="190"/>
      <c r="J10" s="190"/>
      <c r="K10" s="190"/>
      <c r="L10" s="190"/>
      <c r="M10" s="190"/>
      <c r="N10" s="190"/>
      <c r="O10" s="187"/>
      <c r="P10" s="187"/>
      <c r="Q10" s="187"/>
      <c r="R10" s="187"/>
      <c r="S10" s="187"/>
      <c r="T10" s="187"/>
      <c r="U10" s="187"/>
      <c r="V10" s="187"/>
      <c r="W10" s="187"/>
      <c r="X10" s="187"/>
      <c r="Y10" s="187"/>
      <c r="Z10" s="187"/>
    </row>
    <row r="11">
      <c r="A11" s="191"/>
      <c r="B11" s="190"/>
      <c r="C11" s="190"/>
      <c r="D11" s="190"/>
      <c r="E11" s="190"/>
      <c r="F11" s="190"/>
      <c r="G11" s="190"/>
      <c r="H11" s="190"/>
      <c r="I11" s="190"/>
      <c r="J11" s="190"/>
      <c r="K11" s="190"/>
      <c r="L11" s="190"/>
      <c r="M11" s="190"/>
      <c r="N11" s="190"/>
      <c r="O11" s="187"/>
      <c r="P11" s="187"/>
      <c r="Q11" s="187"/>
      <c r="R11" s="187"/>
      <c r="S11" s="187"/>
      <c r="T11" s="187"/>
      <c r="U11" s="187"/>
      <c r="V11" s="187"/>
      <c r="W11" s="187"/>
      <c r="X11" s="187"/>
      <c r="Y11" s="187"/>
      <c r="Z11" s="187"/>
    </row>
    <row r="12">
      <c r="A12" s="195"/>
      <c r="B12" s="190"/>
      <c r="C12" s="190"/>
      <c r="D12" s="190"/>
      <c r="E12" s="190"/>
      <c r="F12" s="190"/>
      <c r="G12" s="190"/>
      <c r="H12" s="190"/>
      <c r="I12" s="190"/>
      <c r="J12" s="190"/>
      <c r="K12" s="190"/>
      <c r="L12" s="190"/>
      <c r="M12" s="190"/>
      <c r="N12" s="190"/>
      <c r="O12" s="187"/>
      <c r="P12" s="187"/>
      <c r="Q12" s="187"/>
      <c r="R12" s="187"/>
      <c r="S12" s="187"/>
      <c r="T12" s="187"/>
      <c r="U12" s="187"/>
      <c r="V12" s="187"/>
      <c r="W12" s="187"/>
      <c r="X12" s="187"/>
      <c r="Y12" s="187"/>
      <c r="Z12" s="187"/>
    </row>
    <row r="13">
      <c r="A13" s="194"/>
      <c r="B13" s="190"/>
      <c r="C13" s="190"/>
      <c r="D13" s="190"/>
      <c r="E13" s="190"/>
      <c r="F13" s="190"/>
      <c r="G13" s="190"/>
      <c r="H13" s="190"/>
      <c r="I13" s="190"/>
      <c r="J13" s="190"/>
      <c r="K13" s="190"/>
      <c r="L13" s="190"/>
      <c r="M13" s="190"/>
      <c r="N13" s="190"/>
      <c r="O13" s="187"/>
      <c r="P13" s="187"/>
      <c r="Q13" s="187"/>
      <c r="R13" s="187"/>
      <c r="S13" s="187"/>
      <c r="T13" s="187"/>
      <c r="U13" s="187"/>
      <c r="V13" s="187"/>
      <c r="W13" s="187"/>
      <c r="X13" s="187"/>
      <c r="Y13" s="187"/>
      <c r="Z13" s="187"/>
    </row>
    <row r="14">
      <c r="A14" s="191"/>
      <c r="B14" s="190"/>
      <c r="C14" s="190"/>
      <c r="D14" s="190"/>
      <c r="E14" s="190"/>
      <c r="F14" s="190"/>
      <c r="G14" s="190"/>
      <c r="H14" s="190"/>
      <c r="I14" s="190"/>
      <c r="J14" s="190"/>
      <c r="K14" s="190"/>
      <c r="L14" s="190"/>
      <c r="M14" s="190"/>
      <c r="N14" s="190"/>
      <c r="O14" s="187"/>
      <c r="P14" s="187"/>
      <c r="Q14" s="187"/>
      <c r="R14" s="187"/>
      <c r="S14" s="187"/>
      <c r="T14" s="187"/>
      <c r="U14" s="187"/>
      <c r="V14" s="187"/>
      <c r="W14" s="187"/>
      <c r="X14" s="187"/>
      <c r="Y14" s="187"/>
      <c r="Z14" s="187"/>
    </row>
    <row r="15">
      <c r="A15" s="195"/>
      <c r="B15" s="190"/>
      <c r="C15" s="190"/>
      <c r="D15" s="190"/>
      <c r="E15" s="190"/>
      <c r="F15" s="190"/>
      <c r="G15" s="190"/>
      <c r="H15" s="190"/>
      <c r="I15" s="190"/>
      <c r="J15" s="190"/>
      <c r="K15" s="190"/>
      <c r="L15" s="190"/>
      <c r="M15" s="190"/>
      <c r="N15" s="190"/>
      <c r="O15" s="187"/>
      <c r="P15" s="187"/>
      <c r="Q15" s="187"/>
      <c r="R15" s="187"/>
      <c r="S15" s="187"/>
      <c r="T15" s="187"/>
      <c r="U15" s="187"/>
      <c r="V15" s="187"/>
      <c r="W15" s="187"/>
      <c r="X15" s="187"/>
      <c r="Y15" s="187"/>
      <c r="Z15" s="187"/>
    </row>
    <row r="16">
      <c r="A16" s="194"/>
      <c r="B16" s="190"/>
      <c r="C16" s="190"/>
      <c r="D16" s="190"/>
      <c r="E16" s="190"/>
      <c r="F16" s="190"/>
      <c r="G16" s="190"/>
      <c r="H16" s="190"/>
      <c r="I16" s="190"/>
      <c r="J16" s="190"/>
      <c r="K16" s="190"/>
      <c r="L16" s="190"/>
      <c r="M16" s="190"/>
      <c r="N16" s="190"/>
      <c r="O16" s="187"/>
      <c r="P16" s="187"/>
      <c r="Q16" s="187"/>
      <c r="R16" s="187"/>
      <c r="S16" s="187"/>
      <c r="T16" s="187"/>
      <c r="U16" s="187"/>
      <c r="V16" s="187"/>
      <c r="W16" s="187"/>
      <c r="X16" s="187"/>
      <c r="Y16" s="187"/>
      <c r="Z16" s="187"/>
    </row>
    <row r="17">
      <c r="A17" s="191"/>
      <c r="B17" s="190"/>
      <c r="C17" s="190"/>
      <c r="D17" s="190"/>
      <c r="E17" s="190"/>
      <c r="F17" s="190"/>
      <c r="G17" s="190"/>
      <c r="H17" s="190"/>
      <c r="I17" s="190"/>
      <c r="J17" s="190"/>
      <c r="K17" s="190"/>
      <c r="L17" s="190"/>
      <c r="M17" s="190"/>
      <c r="N17" s="190"/>
      <c r="O17" s="187"/>
      <c r="P17" s="187"/>
      <c r="Q17" s="187"/>
      <c r="R17" s="187"/>
      <c r="S17" s="187"/>
      <c r="T17" s="187"/>
      <c r="U17" s="187"/>
      <c r="V17" s="187"/>
      <c r="W17" s="187"/>
      <c r="X17" s="187"/>
      <c r="Y17" s="187"/>
      <c r="Z17" s="187"/>
    </row>
    <row r="18">
      <c r="A18" s="191"/>
      <c r="B18" s="190"/>
      <c r="C18" s="190"/>
      <c r="D18" s="190"/>
      <c r="E18" s="190"/>
      <c r="F18" s="190"/>
      <c r="G18" s="190"/>
      <c r="H18" s="190"/>
      <c r="I18" s="190"/>
      <c r="J18" s="190"/>
      <c r="K18" s="190"/>
      <c r="L18" s="190"/>
      <c r="M18" s="190"/>
      <c r="N18" s="190"/>
      <c r="O18" s="187"/>
      <c r="P18" s="187"/>
      <c r="Q18" s="187"/>
      <c r="R18" s="187"/>
      <c r="S18" s="187"/>
      <c r="T18" s="187"/>
      <c r="U18" s="187"/>
      <c r="V18" s="187"/>
      <c r="W18" s="187"/>
      <c r="X18" s="187"/>
      <c r="Y18" s="187"/>
      <c r="Z18" s="187"/>
    </row>
    <row r="19">
      <c r="A19" s="200"/>
      <c r="B19" s="190"/>
      <c r="C19" s="190"/>
      <c r="D19" s="190"/>
      <c r="E19" s="190"/>
      <c r="F19" s="190"/>
      <c r="G19" s="190"/>
      <c r="H19" s="190"/>
      <c r="I19" s="190"/>
      <c r="J19" s="190"/>
      <c r="K19" s="190"/>
      <c r="L19" s="190"/>
      <c r="M19" s="190"/>
      <c r="N19" s="190"/>
      <c r="O19" s="187"/>
      <c r="P19" s="187"/>
      <c r="Q19" s="187"/>
      <c r="R19" s="187"/>
      <c r="S19" s="187"/>
      <c r="T19" s="187"/>
      <c r="U19" s="187"/>
      <c r="V19" s="187"/>
      <c r="W19" s="187"/>
      <c r="X19" s="187"/>
      <c r="Y19" s="187"/>
      <c r="Z19" s="187"/>
    </row>
    <row r="20" ht="27.0" customHeight="1">
      <c r="A20" s="201"/>
      <c r="B20" s="190"/>
      <c r="C20" s="190"/>
      <c r="D20" s="190"/>
      <c r="E20" s="190"/>
      <c r="F20" s="190"/>
      <c r="G20" s="190"/>
      <c r="H20" s="190"/>
      <c r="I20" s="190"/>
      <c r="J20" s="190"/>
      <c r="K20" s="190"/>
      <c r="L20" s="190"/>
      <c r="M20" s="190"/>
      <c r="N20" s="190"/>
      <c r="O20" s="187"/>
      <c r="P20" s="187"/>
      <c r="Q20" s="187"/>
      <c r="R20" s="187"/>
      <c r="S20" s="187"/>
      <c r="T20" s="187"/>
      <c r="U20" s="187"/>
      <c r="V20" s="187"/>
      <c r="W20" s="187"/>
      <c r="X20" s="187"/>
      <c r="Y20" s="187"/>
      <c r="Z20" s="187"/>
    </row>
    <row r="21">
      <c r="A21" s="191"/>
      <c r="B21" s="190"/>
      <c r="C21" s="190"/>
      <c r="D21" s="190"/>
      <c r="E21" s="190"/>
      <c r="F21" s="190"/>
      <c r="G21" s="190"/>
      <c r="H21" s="190"/>
      <c r="I21" s="190"/>
      <c r="J21" s="190"/>
      <c r="K21" s="190"/>
      <c r="L21" s="190"/>
      <c r="M21" s="190"/>
      <c r="N21" s="190"/>
      <c r="O21" s="187"/>
      <c r="P21" s="187"/>
      <c r="Q21" s="187"/>
      <c r="R21" s="187"/>
      <c r="S21" s="187"/>
      <c r="T21" s="187"/>
      <c r="U21" s="187"/>
      <c r="V21" s="187"/>
      <c r="W21" s="187"/>
      <c r="X21" s="187"/>
      <c r="Y21" s="187"/>
      <c r="Z21" s="187"/>
    </row>
    <row r="22">
      <c r="A22" s="191"/>
      <c r="B22" s="190"/>
      <c r="C22" s="190"/>
      <c r="D22" s="190"/>
      <c r="E22" s="190"/>
      <c r="F22" s="190"/>
      <c r="G22" s="190"/>
      <c r="H22" s="190"/>
      <c r="I22" s="190"/>
      <c r="J22" s="190"/>
      <c r="K22" s="190"/>
      <c r="L22" s="190"/>
      <c r="M22" s="190"/>
      <c r="N22" s="190"/>
      <c r="O22" s="187"/>
      <c r="P22" s="187"/>
      <c r="Q22" s="187"/>
      <c r="R22" s="187"/>
      <c r="S22" s="187"/>
      <c r="T22" s="187"/>
      <c r="U22" s="187"/>
      <c r="V22" s="187"/>
      <c r="W22" s="187"/>
      <c r="X22" s="187"/>
      <c r="Y22" s="187"/>
      <c r="Z22" s="187"/>
    </row>
    <row r="23">
      <c r="A23" s="191"/>
      <c r="B23" s="190"/>
      <c r="C23" s="190"/>
      <c r="D23" s="190"/>
      <c r="E23" s="190"/>
      <c r="F23" s="190"/>
      <c r="G23" s="190"/>
      <c r="H23" s="190"/>
      <c r="I23" s="190"/>
      <c r="J23" s="190"/>
      <c r="K23" s="190"/>
      <c r="L23" s="190"/>
      <c r="M23" s="190"/>
      <c r="N23" s="190"/>
      <c r="O23" s="187"/>
      <c r="P23" s="187"/>
      <c r="Q23" s="187"/>
      <c r="R23" s="187"/>
      <c r="S23" s="187"/>
      <c r="T23" s="187"/>
      <c r="U23" s="187"/>
      <c r="V23" s="187"/>
      <c r="W23" s="187"/>
      <c r="X23" s="187"/>
      <c r="Y23" s="187"/>
      <c r="Z23" s="187"/>
    </row>
    <row r="24">
      <c r="A24" s="191"/>
      <c r="B24" s="190"/>
      <c r="C24" s="190"/>
      <c r="D24" s="190"/>
      <c r="E24" s="190"/>
      <c r="F24" s="190"/>
      <c r="G24" s="190"/>
      <c r="H24" s="190"/>
      <c r="I24" s="190"/>
      <c r="J24" s="190"/>
      <c r="K24" s="190"/>
      <c r="L24" s="190"/>
      <c r="M24" s="190"/>
      <c r="N24" s="190"/>
      <c r="O24" s="187"/>
      <c r="P24" s="187"/>
      <c r="Q24" s="187"/>
      <c r="R24" s="187"/>
      <c r="S24" s="187"/>
      <c r="T24" s="187"/>
      <c r="U24" s="187"/>
      <c r="V24" s="187"/>
      <c r="W24" s="187"/>
      <c r="X24" s="187"/>
      <c r="Y24" s="187"/>
      <c r="Z24" s="187"/>
    </row>
    <row r="25">
      <c r="A25" s="191"/>
      <c r="B25" s="190"/>
      <c r="C25" s="190"/>
      <c r="D25" s="190"/>
      <c r="E25" s="190"/>
      <c r="F25" s="190"/>
      <c r="G25" s="190"/>
      <c r="H25" s="190"/>
      <c r="I25" s="190"/>
      <c r="J25" s="190"/>
      <c r="K25" s="190"/>
      <c r="L25" s="190"/>
      <c r="M25" s="190"/>
      <c r="N25" s="190"/>
      <c r="O25" s="187"/>
      <c r="P25" s="187"/>
      <c r="Q25" s="187"/>
      <c r="R25" s="187"/>
      <c r="S25" s="187"/>
      <c r="T25" s="187"/>
      <c r="U25" s="187"/>
      <c r="V25" s="187"/>
      <c r="W25" s="187"/>
      <c r="X25" s="187"/>
      <c r="Y25" s="187"/>
      <c r="Z25" s="187"/>
    </row>
    <row r="26">
      <c r="A26" s="191"/>
      <c r="B26" s="190"/>
      <c r="C26" s="190"/>
      <c r="D26" s="190"/>
      <c r="E26" s="190"/>
      <c r="F26" s="190"/>
      <c r="G26" s="190"/>
      <c r="H26" s="190"/>
      <c r="I26" s="190"/>
      <c r="J26" s="190"/>
      <c r="K26" s="190"/>
      <c r="L26" s="190"/>
      <c r="M26" s="190"/>
      <c r="N26" s="190"/>
      <c r="O26" s="187"/>
      <c r="P26" s="187"/>
      <c r="Q26" s="187"/>
      <c r="R26" s="187"/>
      <c r="S26" s="187"/>
      <c r="T26" s="187"/>
      <c r="U26" s="187"/>
      <c r="V26" s="187"/>
      <c r="W26" s="187"/>
      <c r="X26" s="187"/>
      <c r="Y26" s="187"/>
      <c r="Z26" s="187"/>
    </row>
    <row r="27" ht="15.75" customHeight="1">
      <c r="A27" s="191"/>
      <c r="B27" s="190"/>
      <c r="C27" s="190"/>
      <c r="D27" s="190"/>
      <c r="E27" s="190"/>
      <c r="F27" s="190"/>
      <c r="G27" s="190"/>
      <c r="H27" s="190"/>
      <c r="I27" s="190"/>
      <c r="J27" s="190"/>
      <c r="K27" s="190"/>
      <c r="L27" s="190"/>
      <c r="M27" s="190"/>
      <c r="N27" s="190"/>
      <c r="O27" s="187"/>
      <c r="P27" s="187"/>
      <c r="Q27" s="187"/>
      <c r="R27" s="187"/>
      <c r="S27" s="187"/>
      <c r="T27" s="187"/>
      <c r="U27" s="187"/>
      <c r="V27" s="187"/>
      <c r="W27" s="187"/>
      <c r="X27" s="187"/>
      <c r="Y27" s="187"/>
      <c r="Z27" s="187"/>
    </row>
    <row r="28" ht="15.75" customHeight="1">
      <c r="A28" s="191"/>
      <c r="B28" s="190"/>
      <c r="C28" s="190"/>
      <c r="D28" s="190"/>
      <c r="E28" s="190"/>
      <c r="F28" s="190"/>
      <c r="G28" s="190"/>
      <c r="H28" s="190"/>
      <c r="I28" s="190"/>
      <c r="J28" s="190"/>
      <c r="K28" s="190"/>
      <c r="L28" s="190"/>
      <c r="M28" s="190"/>
      <c r="N28" s="190"/>
      <c r="O28" s="187"/>
      <c r="P28" s="187"/>
      <c r="Q28" s="187"/>
      <c r="R28" s="187"/>
      <c r="S28" s="187"/>
      <c r="T28" s="187"/>
      <c r="U28" s="187"/>
      <c r="V28" s="187"/>
      <c r="W28" s="187"/>
      <c r="X28" s="187"/>
      <c r="Y28" s="187"/>
      <c r="Z28" s="187"/>
    </row>
    <row r="29" ht="15.75" customHeight="1">
      <c r="A29" s="191"/>
      <c r="B29" s="190"/>
      <c r="C29" s="190"/>
      <c r="D29" s="190"/>
      <c r="E29" s="190"/>
      <c r="F29" s="190"/>
      <c r="G29" s="190"/>
      <c r="H29" s="190"/>
      <c r="I29" s="190"/>
      <c r="J29" s="190"/>
      <c r="K29" s="190"/>
      <c r="L29" s="190"/>
      <c r="M29" s="190"/>
      <c r="N29" s="190"/>
      <c r="O29" s="187"/>
      <c r="P29" s="187"/>
      <c r="Q29" s="187"/>
      <c r="R29" s="187"/>
      <c r="S29" s="187"/>
      <c r="T29" s="187"/>
      <c r="U29" s="187"/>
      <c r="V29" s="187"/>
      <c r="W29" s="187"/>
      <c r="X29" s="187"/>
      <c r="Y29" s="187"/>
      <c r="Z29" s="187"/>
    </row>
    <row r="30" ht="15.75" customHeight="1">
      <c r="A30" s="191"/>
      <c r="B30" s="190"/>
      <c r="C30" s="190"/>
      <c r="D30" s="190"/>
      <c r="E30" s="190"/>
      <c r="F30" s="190"/>
      <c r="G30" s="190"/>
      <c r="H30" s="190"/>
      <c r="I30" s="190"/>
      <c r="J30" s="190"/>
      <c r="K30" s="190"/>
      <c r="L30" s="190"/>
      <c r="M30" s="190"/>
      <c r="N30" s="190"/>
      <c r="O30" s="187"/>
      <c r="P30" s="187"/>
      <c r="Q30" s="187"/>
      <c r="R30" s="187"/>
      <c r="S30" s="187"/>
      <c r="T30" s="187"/>
      <c r="U30" s="187"/>
      <c r="V30" s="187"/>
      <c r="W30" s="187"/>
      <c r="X30" s="187"/>
      <c r="Y30" s="187"/>
      <c r="Z30" s="187"/>
    </row>
    <row r="31" ht="15.75" customHeight="1">
      <c r="A31" s="191"/>
      <c r="B31" s="190"/>
      <c r="C31" s="190"/>
      <c r="D31" s="190"/>
      <c r="E31" s="190"/>
      <c r="F31" s="190"/>
      <c r="G31" s="190"/>
      <c r="H31" s="190"/>
      <c r="I31" s="190"/>
      <c r="J31" s="190"/>
      <c r="K31" s="190"/>
      <c r="L31" s="190"/>
      <c r="M31" s="190"/>
      <c r="N31" s="190"/>
      <c r="O31" s="187"/>
      <c r="P31" s="187"/>
      <c r="Q31" s="187"/>
      <c r="R31" s="187"/>
      <c r="S31" s="187"/>
      <c r="T31" s="187"/>
      <c r="U31" s="187"/>
      <c r="V31" s="187"/>
      <c r="W31" s="187"/>
      <c r="X31" s="187"/>
      <c r="Y31" s="187"/>
      <c r="Z31" s="187"/>
    </row>
    <row r="32" ht="15.75" customHeight="1">
      <c r="A32" s="191"/>
      <c r="B32" s="190"/>
      <c r="C32" s="190"/>
      <c r="D32" s="190"/>
      <c r="E32" s="190"/>
      <c r="F32" s="190"/>
      <c r="G32" s="190"/>
      <c r="H32" s="190"/>
      <c r="I32" s="190"/>
      <c r="J32" s="190"/>
      <c r="K32" s="190"/>
      <c r="L32" s="190"/>
      <c r="M32" s="190"/>
      <c r="N32" s="190"/>
      <c r="O32" s="187"/>
      <c r="P32" s="187"/>
      <c r="Q32" s="187"/>
      <c r="R32" s="187"/>
      <c r="S32" s="187"/>
      <c r="T32" s="187"/>
      <c r="U32" s="187"/>
      <c r="V32" s="187"/>
      <c r="W32" s="187"/>
      <c r="X32" s="187"/>
      <c r="Y32" s="187"/>
      <c r="Z32" s="187"/>
    </row>
    <row r="33" ht="15.75" customHeight="1">
      <c r="A33" s="191"/>
      <c r="B33" s="190"/>
      <c r="C33" s="190"/>
      <c r="D33" s="190"/>
      <c r="E33" s="190"/>
      <c r="F33" s="190"/>
      <c r="G33" s="190"/>
      <c r="H33" s="190"/>
      <c r="I33" s="190"/>
      <c r="J33" s="190"/>
      <c r="K33" s="190"/>
      <c r="L33" s="190"/>
      <c r="M33" s="190"/>
      <c r="N33" s="190"/>
      <c r="O33" s="187"/>
      <c r="P33" s="187"/>
      <c r="Q33" s="187"/>
      <c r="R33" s="187"/>
      <c r="S33" s="187"/>
      <c r="T33" s="187"/>
      <c r="U33" s="187"/>
      <c r="V33" s="187"/>
      <c r="W33" s="187"/>
      <c r="X33" s="187"/>
      <c r="Y33" s="187"/>
      <c r="Z33" s="187"/>
    </row>
    <row r="34" ht="15.75" customHeight="1">
      <c r="A34" s="191"/>
      <c r="B34" s="190"/>
      <c r="C34" s="190"/>
      <c r="D34" s="190"/>
      <c r="E34" s="190"/>
      <c r="F34" s="190"/>
      <c r="G34" s="190"/>
      <c r="H34" s="190"/>
      <c r="I34" s="190"/>
      <c r="J34" s="190"/>
      <c r="K34" s="190"/>
      <c r="L34" s="190"/>
      <c r="M34" s="190"/>
      <c r="N34" s="190"/>
      <c r="O34" s="187"/>
      <c r="P34" s="187"/>
      <c r="Q34" s="187"/>
      <c r="R34" s="187"/>
      <c r="S34" s="187"/>
      <c r="T34" s="187"/>
      <c r="U34" s="187"/>
      <c r="V34" s="187"/>
      <c r="W34" s="187"/>
      <c r="X34" s="187"/>
      <c r="Y34" s="187"/>
      <c r="Z34" s="187"/>
    </row>
    <row r="35" ht="15.75" customHeight="1">
      <c r="A35" s="191"/>
      <c r="B35" s="190"/>
      <c r="C35" s="190"/>
      <c r="D35" s="190"/>
      <c r="E35" s="190"/>
      <c r="F35" s="190"/>
      <c r="G35" s="190"/>
      <c r="H35" s="190"/>
      <c r="I35" s="190"/>
      <c r="J35" s="190"/>
      <c r="K35" s="190"/>
      <c r="L35" s="190"/>
      <c r="M35" s="190"/>
      <c r="N35" s="190"/>
      <c r="O35" s="187"/>
      <c r="P35" s="187"/>
      <c r="Q35" s="187"/>
      <c r="R35" s="187"/>
      <c r="S35" s="187"/>
      <c r="T35" s="187"/>
      <c r="U35" s="187"/>
      <c r="V35" s="187"/>
      <c r="W35" s="187"/>
      <c r="X35" s="187"/>
      <c r="Y35" s="187"/>
      <c r="Z35" s="187"/>
    </row>
    <row r="36" ht="15.75" customHeight="1">
      <c r="A36" s="191"/>
      <c r="B36" s="190"/>
      <c r="C36" s="190"/>
      <c r="D36" s="190"/>
      <c r="E36" s="190"/>
      <c r="F36" s="190"/>
      <c r="G36" s="190"/>
      <c r="H36" s="190"/>
      <c r="I36" s="190"/>
      <c r="J36" s="190"/>
      <c r="K36" s="190"/>
      <c r="L36" s="190"/>
      <c r="M36" s="190"/>
      <c r="N36" s="190"/>
      <c r="O36" s="187"/>
      <c r="P36" s="187"/>
      <c r="Q36" s="187"/>
      <c r="R36" s="187"/>
      <c r="S36" s="187"/>
      <c r="T36" s="187"/>
      <c r="U36" s="187"/>
      <c r="V36" s="187"/>
      <c r="W36" s="187"/>
      <c r="X36" s="187"/>
      <c r="Y36" s="187"/>
      <c r="Z36" s="187"/>
    </row>
    <row r="37" ht="15.75" customHeight="1">
      <c r="A37" s="191"/>
      <c r="B37" s="190"/>
      <c r="C37" s="190"/>
      <c r="D37" s="190"/>
      <c r="E37" s="190"/>
      <c r="F37" s="190"/>
      <c r="G37" s="190"/>
      <c r="H37" s="190"/>
      <c r="I37" s="190"/>
      <c r="J37" s="190"/>
      <c r="K37" s="190"/>
      <c r="L37" s="190"/>
      <c r="M37" s="190"/>
      <c r="N37" s="190"/>
      <c r="O37" s="187"/>
      <c r="P37" s="187"/>
      <c r="Q37" s="187"/>
      <c r="R37" s="187"/>
      <c r="S37" s="187"/>
      <c r="T37" s="187"/>
      <c r="U37" s="187"/>
      <c r="V37" s="187"/>
      <c r="W37" s="187"/>
      <c r="X37" s="187"/>
      <c r="Y37" s="187"/>
      <c r="Z37" s="187"/>
    </row>
    <row r="38" ht="15.75" customHeight="1">
      <c r="A38" s="191"/>
      <c r="B38" s="190"/>
      <c r="C38" s="190"/>
      <c r="D38" s="190"/>
      <c r="E38" s="190"/>
      <c r="F38" s="190"/>
      <c r="G38" s="190"/>
      <c r="H38" s="190"/>
      <c r="I38" s="190"/>
      <c r="J38" s="190"/>
      <c r="K38" s="190"/>
      <c r="L38" s="190"/>
      <c r="M38" s="190"/>
      <c r="N38" s="190"/>
      <c r="O38" s="187"/>
      <c r="P38" s="187"/>
      <c r="Q38" s="187"/>
      <c r="R38" s="187"/>
      <c r="S38" s="187"/>
      <c r="T38" s="187"/>
      <c r="U38" s="187"/>
      <c r="V38" s="187"/>
      <c r="W38" s="187"/>
      <c r="X38" s="187"/>
      <c r="Y38" s="187"/>
      <c r="Z38" s="187"/>
    </row>
    <row r="39" ht="15.75" customHeight="1">
      <c r="A39" s="202"/>
      <c r="B39" s="190"/>
      <c r="C39" s="190"/>
      <c r="D39" s="190"/>
      <c r="E39" s="190"/>
      <c r="F39" s="190"/>
      <c r="G39" s="190"/>
      <c r="H39" s="190"/>
      <c r="I39" s="190"/>
      <c r="J39" s="190"/>
      <c r="K39" s="190"/>
      <c r="L39" s="190"/>
      <c r="M39" s="190"/>
      <c r="N39" s="190"/>
      <c r="O39" s="187"/>
      <c r="P39" s="187"/>
      <c r="Q39" s="187"/>
      <c r="R39" s="187"/>
      <c r="S39" s="187"/>
      <c r="T39" s="187"/>
      <c r="U39" s="187"/>
      <c r="V39" s="187"/>
      <c r="W39" s="187"/>
      <c r="X39" s="187"/>
      <c r="Y39" s="187"/>
      <c r="Z39" s="187"/>
    </row>
    <row r="40" ht="15.75" customHeight="1">
      <c r="A40" s="202"/>
      <c r="B40" s="190"/>
      <c r="C40" s="190"/>
      <c r="D40" s="190"/>
      <c r="E40" s="190"/>
      <c r="F40" s="190"/>
      <c r="G40" s="190"/>
      <c r="H40" s="190"/>
      <c r="I40" s="190"/>
      <c r="J40" s="190"/>
      <c r="K40" s="190"/>
      <c r="L40" s="190"/>
      <c r="M40" s="190"/>
      <c r="N40" s="190"/>
      <c r="O40" s="187"/>
      <c r="P40" s="187"/>
      <c r="Q40" s="187"/>
      <c r="R40" s="187"/>
      <c r="S40" s="187"/>
      <c r="T40" s="187"/>
      <c r="U40" s="187"/>
      <c r="V40" s="187"/>
      <c r="W40" s="187"/>
      <c r="X40" s="187"/>
      <c r="Y40" s="187"/>
      <c r="Z40" s="187"/>
    </row>
    <row r="41" ht="15.75" customHeight="1">
      <c r="A41" s="203"/>
      <c r="B41" s="187"/>
      <c r="C41" s="187"/>
      <c r="D41" s="187"/>
      <c r="E41" s="187"/>
      <c r="F41" s="187"/>
      <c r="G41" s="187"/>
      <c r="H41" s="187"/>
      <c r="I41" s="187"/>
      <c r="J41" s="187"/>
      <c r="K41" s="187"/>
      <c r="L41" s="187"/>
      <c r="M41" s="187"/>
      <c r="N41" s="187"/>
      <c r="O41" s="187"/>
      <c r="P41" s="187"/>
      <c r="Q41" s="187"/>
      <c r="R41" s="187"/>
      <c r="S41" s="187"/>
      <c r="T41" s="187"/>
      <c r="U41" s="187"/>
      <c r="V41" s="187"/>
      <c r="W41" s="187"/>
      <c r="X41" s="187"/>
      <c r="Y41" s="187"/>
      <c r="Z41" s="187"/>
    </row>
    <row r="42" ht="15.75" customHeight="1">
      <c r="A42" s="203"/>
      <c r="B42" s="187"/>
      <c r="C42" s="187"/>
      <c r="D42" s="187"/>
      <c r="E42" s="187"/>
      <c r="F42" s="187"/>
      <c r="G42" s="187"/>
      <c r="H42" s="187"/>
      <c r="I42" s="187"/>
      <c r="J42" s="187"/>
      <c r="K42" s="187"/>
      <c r="L42" s="187"/>
      <c r="M42" s="187"/>
      <c r="N42" s="187"/>
      <c r="O42" s="187"/>
      <c r="P42" s="187"/>
      <c r="Q42" s="187"/>
      <c r="R42" s="187"/>
      <c r="S42" s="187"/>
      <c r="T42" s="187"/>
      <c r="U42" s="187"/>
      <c r="V42" s="187"/>
      <c r="W42" s="187"/>
      <c r="X42" s="187"/>
      <c r="Y42" s="187"/>
      <c r="Z42" s="187"/>
    </row>
    <row r="43" ht="15.75" customHeight="1">
      <c r="A43" s="203"/>
      <c r="B43" s="187"/>
      <c r="C43" s="187"/>
      <c r="D43" s="187"/>
      <c r="E43" s="187"/>
      <c r="F43" s="187"/>
      <c r="G43" s="187"/>
      <c r="H43" s="187"/>
      <c r="I43" s="187"/>
      <c r="J43" s="187"/>
      <c r="K43" s="187"/>
      <c r="L43" s="187"/>
      <c r="M43" s="187"/>
      <c r="N43" s="187"/>
      <c r="O43" s="187"/>
      <c r="P43" s="187"/>
      <c r="Q43" s="187"/>
      <c r="R43" s="187"/>
      <c r="S43" s="187"/>
      <c r="T43" s="187"/>
      <c r="U43" s="187"/>
      <c r="V43" s="187"/>
      <c r="W43" s="187"/>
      <c r="X43" s="187"/>
      <c r="Y43" s="187"/>
      <c r="Z43" s="187"/>
    </row>
    <row r="44" ht="15.75" customHeight="1">
      <c r="A44" s="203"/>
      <c r="B44" s="187"/>
      <c r="C44" s="187"/>
      <c r="D44" s="187"/>
      <c r="E44" s="187"/>
      <c r="F44" s="187"/>
      <c r="G44" s="187"/>
      <c r="H44" s="187"/>
      <c r="I44" s="187"/>
      <c r="J44" s="187"/>
      <c r="K44" s="187"/>
      <c r="L44" s="187"/>
      <c r="M44" s="187"/>
      <c r="N44" s="187"/>
      <c r="O44" s="187"/>
      <c r="P44" s="187"/>
      <c r="Q44" s="187"/>
      <c r="R44" s="187"/>
      <c r="S44" s="187"/>
      <c r="T44" s="187"/>
      <c r="U44" s="187"/>
      <c r="V44" s="187"/>
      <c r="W44" s="187"/>
      <c r="X44" s="187"/>
      <c r="Y44" s="187"/>
      <c r="Z44" s="187"/>
    </row>
    <row r="45" ht="15.75" customHeight="1">
      <c r="A45" s="203"/>
      <c r="B45" s="187"/>
      <c r="C45" s="187"/>
      <c r="D45" s="187"/>
      <c r="E45" s="187"/>
      <c r="F45" s="187"/>
      <c r="G45" s="187"/>
      <c r="H45" s="187"/>
      <c r="I45" s="187"/>
      <c r="J45" s="187"/>
      <c r="K45" s="187"/>
      <c r="L45" s="187"/>
      <c r="M45" s="187"/>
      <c r="N45" s="187"/>
      <c r="O45" s="187"/>
      <c r="P45" s="187"/>
      <c r="Q45" s="187"/>
      <c r="R45" s="187"/>
      <c r="S45" s="187"/>
      <c r="T45" s="187"/>
      <c r="U45" s="187"/>
      <c r="V45" s="187"/>
      <c r="W45" s="187"/>
      <c r="X45" s="187"/>
      <c r="Y45" s="187"/>
      <c r="Z45" s="187"/>
    </row>
    <row r="46" ht="15.75" customHeight="1">
      <c r="A46" s="203"/>
      <c r="B46" s="187"/>
      <c r="C46" s="187"/>
      <c r="D46" s="187"/>
      <c r="E46" s="187"/>
      <c r="F46" s="187"/>
      <c r="G46" s="187"/>
      <c r="H46" s="187"/>
      <c r="I46" s="187"/>
      <c r="J46" s="187"/>
      <c r="K46" s="187"/>
      <c r="L46" s="187"/>
      <c r="M46" s="187"/>
      <c r="N46" s="187"/>
      <c r="O46" s="187"/>
      <c r="P46" s="187"/>
      <c r="Q46" s="187"/>
      <c r="R46" s="187"/>
      <c r="S46" s="187"/>
      <c r="T46" s="187"/>
      <c r="U46" s="187"/>
      <c r="V46" s="187"/>
      <c r="W46" s="187"/>
      <c r="X46" s="187"/>
      <c r="Y46" s="187"/>
      <c r="Z46" s="187"/>
    </row>
    <row r="47" ht="15.75" customHeight="1">
      <c r="A47" s="203"/>
      <c r="B47" s="187"/>
      <c r="C47" s="187"/>
      <c r="D47" s="187"/>
      <c r="E47" s="187"/>
      <c r="F47" s="187"/>
      <c r="G47" s="187"/>
      <c r="H47" s="187"/>
      <c r="I47" s="187"/>
      <c r="J47" s="187"/>
      <c r="K47" s="187"/>
      <c r="L47" s="187"/>
      <c r="M47" s="187"/>
      <c r="N47" s="187"/>
      <c r="O47" s="187"/>
      <c r="P47" s="187"/>
      <c r="Q47" s="187"/>
      <c r="R47" s="187"/>
      <c r="S47" s="187"/>
      <c r="T47" s="187"/>
      <c r="U47" s="187"/>
      <c r="V47" s="187"/>
      <c r="W47" s="187"/>
      <c r="X47" s="187"/>
      <c r="Y47" s="187"/>
      <c r="Z47" s="187"/>
    </row>
    <row r="48" ht="15.75" customHeight="1">
      <c r="A48" s="203"/>
      <c r="B48" s="187"/>
      <c r="C48" s="187"/>
      <c r="D48" s="187"/>
      <c r="E48" s="187"/>
      <c r="F48" s="187"/>
      <c r="G48" s="187"/>
      <c r="H48" s="187"/>
      <c r="I48" s="187"/>
      <c r="J48" s="187"/>
      <c r="K48" s="187"/>
      <c r="L48" s="187"/>
      <c r="M48" s="187"/>
      <c r="N48" s="187"/>
      <c r="O48" s="187"/>
      <c r="P48" s="187"/>
      <c r="Q48" s="187"/>
      <c r="R48" s="187"/>
      <c r="S48" s="187"/>
      <c r="T48" s="187"/>
      <c r="U48" s="187"/>
      <c r="V48" s="187"/>
      <c r="W48" s="187"/>
      <c r="X48" s="187"/>
      <c r="Y48" s="187"/>
      <c r="Z48" s="187"/>
    </row>
    <row r="49" ht="15.75" customHeight="1">
      <c r="A49" s="203"/>
      <c r="B49" s="187"/>
      <c r="C49" s="187"/>
      <c r="D49" s="187"/>
      <c r="E49" s="187"/>
      <c r="F49" s="187"/>
      <c r="G49" s="187"/>
      <c r="H49" s="187"/>
      <c r="I49" s="187"/>
      <c r="J49" s="187"/>
      <c r="K49" s="187"/>
      <c r="L49" s="187"/>
      <c r="M49" s="187"/>
      <c r="N49" s="187"/>
      <c r="O49" s="187"/>
      <c r="P49" s="187"/>
      <c r="Q49" s="187"/>
      <c r="R49" s="187"/>
      <c r="S49" s="187"/>
      <c r="T49" s="187"/>
      <c r="U49" s="187"/>
      <c r="V49" s="187"/>
      <c r="W49" s="187"/>
      <c r="X49" s="187"/>
      <c r="Y49" s="187"/>
      <c r="Z49" s="187"/>
    </row>
    <row r="50" ht="15.75" customHeight="1">
      <c r="A50" s="203"/>
      <c r="B50" s="187"/>
      <c r="C50" s="187"/>
      <c r="D50" s="187"/>
      <c r="E50" s="187"/>
      <c r="F50" s="187"/>
      <c r="G50" s="187"/>
      <c r="H50" s="187"/>
      <c r="I50" s="187"/>
      <c r="J50" s="187"/>
      <c r="K50" s="187"/>
      <c r="L50" s="187"/>
      <c r="M50" s="187"/>
      <c r="N50" s="187"/>
      <c r="O50" s="187"/>
      <c r="P50" s="187"/>
      <c r="Q50" s="187"/>
      <c r="R50" s="187"/>
      <c r="S50" s="187"/>
      <c r="T50" s="187"/>
      <c r="U50" s="187"/>
      <c r="V50" s="187"/>
      <c r="W50" s="187"/>
      <c r="X50" s="187"/>
      <c r="Y50" s="187"/>
      <c r="Z50" s="187"/>
    </row>
    <row r="51" ht="15.75" customHeight="1">
      <c r="A51" s="203"/>
      <c r="B51" s="187"/>
      <c r="C51" s="187"/>
      <c r="D51" s="187"/>
      <c r="E51" s="187"/>
      <c r="F51" s="187"/>
      <c r="G51" s="187"/>
      <c r="H51" s="187"/>
      <c r="I51" s="187"/>
      <c r="J51" s="187"/>
      <c r="K51" s="187"/>
      <c r="L51" s="187"/>
      <c r="M51" s="187"/>
      <c r="N51" s="187"/>
      <c r="O51" s="187"/>
      <c r="P51" s="187"/>
      <c r="Q51" s="187"/>
      <c r="R51" s="187"/>
      <c r="S51" s="187"/>
      <c r="T51" s="187"/>
      <c r="U51" s="187"/>
      <c r="V51" s="187"/>
      <c r="W51" s="187"/>
      <c r="X51" s="187"/>
      <c r="Y51" s="187"/>
      <c r="Z51" s="187"/>
    </row>
    <row r="52" ht="15.75" customHeight="1">
      <c r="A52" s="203"/>
      <c r="B52" s="187"/>
      <c r="C52" s="187"/>
      <c r="D52" s="187"/>
      <c r="E52" s="187"/>
      <c r="F52" s="187"/>
      <c r="G52" s="187"/>
      <c r="H52" s="187"/>
      <c r="I52" s="187"/>
      <c r="J52" s="187"/>
      <c r="K52" s="187"/>
      <c r="L52" s="187"/>
      <c r="M52" s="187"/>
      <c r="N52" s="187"/>
      <c r="O52" s="187"/>
      <c r="P52" s="187"/>
      <c r="Q52" s="187"/>
      <c r="R52" s="187"/>
      <c r="S52" s="187"/>
      <c r="T52" s="187"/>
      <c r="U52" s="187"/>
      <c r="V52" s="187"/>
      <c r="W52" s="187"/>
      <c r="X52" s="187"/>
      <c r="Y52" s="187"/>
      <c r="Z52" s="187"/>
    </row>
    <row r="53" ht="15.75" customHeight="1">
      <c r="A53" s="203"/>
      <c r="B53" s="187"/>
      <c r="C53" s="187"/>
      <c r="D53" s="187"/>
      <c r="E53" s="187"/>
      <c r="F53" s="187"/>
      <c r="G53" s="187"/>
      <c r="H53" s="187"/>
      <c r="I53" s="187"/>
      <c r="J53" s="187"/>
      <c r="K53" s="187"/>
      <c r="L53" s="187"/>
      <c r="M53" s="187"/>
      <c r="N53" s="187"/>
      <c r="O53" s="187"/>
      <c r="P53" s="187"/>
      <c r="Q53" s="187"/>
      <c r="R53" s="187"/>
      <c r="S53" s="187"/>
      <c r="T53" s="187"/>
      <c r="U53" s="187"/>
      <c r="V53" s="187"/>
      <c r="W53" s="187"/>
      <c r="X53" s="187"/>
      <c r="Y53" s="187"/>
      <c r="Z53" s="187"/>
    </row>
    <row r="54" ht="15.75" customHeight="1">
      <c r="A54" s="203"/>
      <c r="B54" s="187"/>
      <c r="C54" s="187"/>
      <c r="D54" s="187"/>
      <c r="E54" s="187"/>
      <c r="F54" s="187"/>
      <c r="G54" s="187"/>
      <c r="H54" s="187"/>
      <c r="I54" s="187"/>
      <c r="J54" s="187"/>
      <c r="K54" s="187"/>
      <c r="L54" s="187"/>
      <c r="M54" s="187"/>
      <c r="N54" s="187"/>
      <c r="O54" s="187"/>
      <c r="P54" s="187"/>
      <c r="Q54" s="187"/>
      <c r="R54" s="187"/>
      <c r="S54" s="187"/>
      <c r="T54" s="187"/>
      <c r="U54" s="187"/>
      <c r="V54" s="187"/>
      <c r="W54" s="187"/>
      <c r="X54" s="187"/>
      <c r="Y54" s="187"/>
      <c r="Z54" s="187"/>
    </row>
    <row r="55" ht="15.75" customHeight="1">
      <c r="A55" s="203"/>
      <c r="B55" s="187"/>
      <c r="C55" s="187"/>
      <c r="D55" s="187"/>
      <c r="E55" s="187"/>
      <c r="F55" s="187"/>
      <c r="G55" s="187"/>
      <c r="H55" s="187"/>
      <c r="I55" s="187"/>
      <c r="J55" s="187"/>
      <c r="K55" s="187"/>
      <c r="L55" s="187"/>
      <c r="M55" s="187"/>
      <c r="N55" s="187"/>
      <c r="O55" s="187"/>
      <c r="P55" s="187"/>
      <c r="Q55" s="187"/>
      <c r="R55" s="187"/>
      <c r="S55" s="187"/>
      <c r="T55" s="187"/>
      <c r="U55" s="187"/>
      <c r="V55" s="187"/>
      <c r="W55" s="187"/>
      <c r="X55" s="187"/>
      <c r="Y55" s="187"/>
      <c r="Z55" s="187"/>
    </row>
    <row r="56" ht="15.75" customHeight="1">
      <c r="A56" s="203"/>
      <c r="B56" s="187"/>
      <c r="C56" s="187"/>
      <c r="D56" s="187"/>
      <c r="E56" s="187"/>
      <c r="F56" s="187"/>
      <c r="G56" s="187"/>
      <c r="H56" s="187"/>
      <c r="I56" s="187"/>
      <c r="J56" s="187"/>
      <c r="K56" s="187"/>
      <c r="L56" s="187"/>
      <c r="M56" s="187"/>
      <c r="N56" s="187"/>
      <c r="O56" s="187"/>
      <c r="P56" s="187"/>
      <c r="Q56" s="187"/>
      <c r="R56" s="187"/>
      <c r="S56" s="187"/>
      <c r="T56" s="187"/>
      <c r="U56" s="187"/>
      <c r="V56" s="187"/>
      <c r="W56" s="187"/>
      <c r="X56" s="187"/>
      <c r="Y56" s="187"/>
      <c r="Z56" s="187"/>
    </row>
    <row r="57" ht="15.75" customHeight="1">
      <c r="A57" s="203"/>
      <c r="B57" s="187"/>
      <c r="C57" s="187"/>
      <c r="D57" s="187"/>
      <c r="E57" s="187"/>
      <c r="F57" s="187"/>
      <c r="G57" s="187"/>
      <c r="H57" s="187"/>
      <c r="I57" s="187"/>
      <c r="J57" s="187"/>
      <c r="K57" s="187"/>
      <c r="L57" s="187"/>
      <c r="M57" s="187"/>
      <c r="N57" s="187"/>
      <c r="O57" s="187"/>
      <c r="P57" s="187"/>
      <c r="Q57" s="187"/>
      <c r="R57" s="187"/>
      <c r="S57" s="187"/>
      <c r="T57" s="187"/>
      <c r="U57" s="187"/>
      <c r="V57" s="187"/>
      <c r="W57" s="187"/>
      <c r="X57" s="187"/>
      <c r="Y57" s="187"/>
      <c r="Z57" s="187"/>
    </row>
    <row r="58" ht="15.75" customHeight="1">
      <c r="A58" s="203"/>
      <c r="B58" s="187"/>
      <c r="C58" s="187"/>
      <c r="D58" s="187"/>
      <c r="E58" s="187"/>
      <c r="F58" s="187"/>
      <c r="G58" s="187"/>
      <c r="H58" s="187"/>
      <c r="I58" s="187"/>
      <c r="J58" s="187"/>
      <c r="K58" s="187"/>
      <c r="L58" s="187"/>
      <c r="M58" s="187"/>
      <c r="N58" s="187"/>
      <c r="O58" s="187"/>
      <c r="P58" s="187"/>
      <c r="Q58" s="187"/>
      <c r="R58" s="187"/>
      <c r="S58" s="187"/>
      <c r="T58" s="187"/>
      <c r="U58" s="187"/>
      <c r="V58" s="187"/>
      <c r="W58" s="187"/>
      <c r="X58" s="187"/>
      <c r="Y58" s="187"/>
      <c r="Z58" s="187"/>
    </row>
    <row r="59" ht="15.75" customHeight="1">
      <c r="A59" s="203"/>
      <c r="B59" s="187"/>
      <c r="C59" s="187"/>
      <c r="D59" s="187"/>
      <c r="E59" s="187"/>
      <c r="F59" s="187"/>
      <c r="G59" s="187"/>
      <c r="H59" s="187"/>
      <c r="I59" s="187"/>
      <c r="J59" s="187"/>
      <c r="K59" s="187"/>
      <c r="L59" s="187"/>
      <c r="M59" s="187"/>
      <c r="N59" s="187"/>
      <c r="O59" s="187"/>
      <c r="P59" s="187"/>
      <c r="Q59" s="187"/>
      <c r="R59" s="187"/>
      <c r="S59" s="187"/>
      <c r="T59" s="187"/>
      <c r="U59" s="187"/>
      <c r="V59" s="187"/>
      <c r="W59" s="187"/>
      <c r="X59" s="187"/>
      <c r="Y59" s="187"/>
      <c r="Z59" s="187"/>
    </row>
    <row r="60" ht="15.75" customHeight="1">
      <c r="A60" s="203"/>
      <c r="B60" s="187"/>
      <c r="C60" s="187"/>
      <c r="D60" s="187"/>
      <c r="E60" s="187"/>
      <c r="F60" s="187"/>
      <c r="G60" s="187"/>
      <c r="H60" s="187"/>
      <c r="I60" s="187"/>
      <c r="J60" s="187"/>
      <c r="K60" s="187"/>
      <c r="L60" s="187"/>
      <c r="M60" s="187"/>
      <c r="N60" s="187"/>
      <c r="O60" s="187"/>
      <c r="P60" s="187"/>
      <c r="Q60" s="187"/>
      <c r="R60" s="187"/>
      <c r="S60" s="187"/>
      <c r="T60" s="187"/>
      <c r="U60" s="187"/>
      <c r="V60" s="187"/>
      <c r="W60" s="187"/>
      <c r="X60" s="187"/>
      <c r="Y60" s="187"/>
      <c r="Z60" s="187"/>
    </row>
    <row r="61" ht="15.75" customHeight="1">
      <c r="A61" s="203"/>
      <c r="B61" s="187"/>
      <c r="C61" s="187"/>
      <c r="D61" s="187"/>
      <c r="E61" s="187"/>
      <c r="F61" s="187"/>
      <c r="G61" s="187"/>
      <c r="H61" s="187"/>
      <c r="I61" s="187"/>
      <c r="J61" s="187"/>
      <c r="K61" s="187"/>
      <c r="L61" s="187"/>
      <c r="M61" s="187"/>
      <c r="N61" s="187"/>
      <c r="O61" s="187"/>
      <c r="P61" s="187"/>
      <c r="Q61" s="187"/>
      <c r="R61" s="187"/>
      <c r="S61" s="187"/>
      <c r="T61" s="187"/>
      <c r="U61" s="187"/>
      <c r="V61" s="187"/>
      <c r="W61" s="187"/>
      <c r="X61" s="187"/>
      <c r="Y61" s="187"/>
      <c r="Z61" s="187"/>
    </row>
    <row r="62" ht="15.75" customHeight="1">
      <c r="A62" s="203"/>
      <c r="B62" s="187"/>
      <c r="C62" s="187"/>
      <c r="D62" s="187"/>
      <c r="E62" s="187"/>
      <c r="F62" s="187"/>
      <c r="G62" s="187"/>
      <c r="H62" s="187"/>
      <c r="I62" s="187"/>
      <c r="J62" s="187"/>
      <c r="K62" s="187"/>
      <c r="L62" s="187"/>
      <c r="M62" s="187"/>
      <c r="N62" s="187"/>
      <c r="O62" s="187"/>
      <c r="P62" s="187"/>
      <c r="Q62" s="187"/>
      <c r="R62" s="187"/>
      <c r="S62" s="187"/>
      <c r="T62" s="187"/>
      <c r="U62" s="187"/>
      <c r="V62" s="187"/>
      <c r="W62" s="187"/>
      <c r="X62" s="187"/>
      <c r="Y62" s="187"/>
      <c r="Z62" s="187"/>
    </row>
    <row r="63" ht="15.75" customHeight="1">
      <c r="A63" s="203"/>
      <c r="B63" s="187"/>
      <c r="C63" s="187"/>
      <c r="D63" s="187"/>
      <c r="E63" s="187"/>
      <c r="F63" s="187"/>
      <c r="G63" s="187"/>
      <c r="H63" s="187"/>
      <c r="I63" s="187"/>
      <c r="J63" s="187"/>
      <c r="K63" s="187"/>
      <c r="L63" s="187"/>
      <c r="M63" s="187"/>
      <c r="N63" s="187"/>
      <c r="O63" s="187"/>
      <c r="P63" s="187"/>
      <c r="Q63" s="187"/>
      <c r="R63" s="187"/>
      <c r="S63" s="187"/>
      <c r="T63" s="187"/>
      <c r="U63" s="187"/>
      <c r="V63" s="187"/>
      <c r="W63" s="187"/>
      <c r="X63" s="187"/>
      <c r="Y63" s="187"/>
      <c r="Z63" s="187"/>
    </row>
    <row r="64" ht="15.75" customHeight="1">
      <c r="A64" s="203"/>
      <c r="B64" s="187"/>
      <c r="C64" s="187"/>
      <c r="D64" s="187"/>
      <c r="E64" s="187"/>
      <c r="F64" s="187"/>
      <c r="G64" s="187"/>
      <c r="H64" s="187"/>
      <c r="I64" s="187"/>
      <c r="J64" s="187"/>
      <c r="K64" s="187"/>
      <c r="L64" s="187"/>
      <c r="M64" s="187"/>
      <c r="N64" s="187"/>
      <c r="O64" s="187"/>
      <c r="P64" s="187"/>
      <c r="Q64" s="187"/>
      <c r="R64" s="187"/>
      <c r="S64" s="187"/>
      <c r="T64" s="187"/>
      <c r="U64" s="187"/>
      <c r="V64" s="187"/>
      <c r="W64" s="187"/>
      <c r="X64" s="187"/>
      <c r="Y64" s="187"/>
      <c r="Z64" s="187"/>
    </row>
    <row r="65" ht="15.75" customHeight="1">
      <c r="A65" s="203"/>
      <c r="B65" s="187"/>
      <c r="C65" s="187"/>
      <c r="D65" s="187"/>
      <c r="E65" s="187"/>
      <c r="F65" s="187"/>
      <c r="G65" s="187"/>
      <c r="H65" s="187"/>
      <c r="I65" s="187"/>
      <c r="J65" s="187"/>
      <c r="K65" s="187"/>
      <c r="L65" s="187"/>
      <c r="M65" s="187"/>
      <c r="N65" s="187"/>
      <c r="O65" s="187"/>
      <c r="P65" s="187"/>
      <c r="Q65" s="187"/>
      <c r="R65" s="187"/>
      <c r="S65" s="187"/>
      <c r="T65" s="187"/>
      <c r="U65" s="187"/>
      <c r="V65" s="187"/>
      <c r="W65" s="187"/>
      <c r="X65" s="187"/>
      <c r="Y65" s="187"/>
      <c r="Z65" s="187"/>
    </row>
    <row r="66" ht="15.75" customHeight="1">
      <c r="A66" s="203"/>
      <c r="B66" s="187"/>
      <c r="C66" s="187"/>
      <c r="D66" s="187"/>
      <c r="E66" s="187"/>
      <c r="F66" s="187"/>
      <c r="G66" s="187"/>
      <c r="H66" s="187"/>
      <c r="I66" s="187"/>
      <c r="J66" s="187"/>
      <c r="K66" s="187"/>
      <c r="L66" s="187"/>
      <c r="M66" s="187"/>
      <c r="N66" s="187"/>
      <c r="O66" s="187"/>
      <c r="P66" s="187"/>
      <c r="Q66" s="187"/>
      <c r="R66" s="187"/>
      <c r="S66" s="187"/>
      <c r="T66" s="187"/>
      <c r="U66" s="187"/>
      <c r="V66" s="187"/>
      <c r="W66" s="187"/>
      <c r="X66" s="187"/>
      <c r="Y66" s="187"/>
      <c r="Z66" s="187"/>
    </row>
    <row r="67" ht="15.75" customHeight="1">
      <c r="A67" s="203"/>
      <c r="B67" s="187"/>
      <c r="C67" s="187"/>
      <c r="D67" s="187"/>
      <c r="E67" s="187"/>
      <c r="F67" s="187"/>
      <c r="G67" s="187"/>
      <c r="H67" s="187"/>
      <c r="I67" s="187"/>
      <c r="J67" s="187"/>
      <c r="K67" s="187"/>
      <c r="L67" s="187"/>
      <c r="M67" s="187"/>
      <c r="N67" s="187"/>
      <c r="O67" s="187"/>
      <c r="P67" s="187"/>
      <c r="Q67" s="187"/>
      <c r="R67" s="187"/>
      <c r="S67" s="187"/>
      <c r="T67" s="187"/>
      <c r="U67" s="187"/>
      <c r="V67" s="187"/>
      <c r="W67" s="187"/>
      <c r="X67" s="187"/>
      <c r="Y67" s="187"/>
      <c r="Z67" s="187"/>
    </row>
    <row r="68" ht="15.75" customHeight="1">
      <c r="A68" s="203"/>
      <c r="B68" s="187"/>
      <c r="C68" s="187"/>
      <c r="D68" s="187"/>
      <c r="E68" s="187"/>
      <c r="F68" s="187"/>
      <c r="G68" s="187"/>
      <c r="H68" s="187"/>
      <c r="I68" s="187"/>
      <c r="J68" s="187"/>
      <c r="K68" s="187"/>
      <c r="L68" s="187"/>
      <c r="M68" s="187"/>
      <c r="N68" s="187"/>
      <c r="O68" s="187"/>
      <c r="P68" s="187"/>
      <c r="Q68" s="187"/>
      <c r="R68" s="187"/>
      <c r="S68" s="187"/>
      <c r="T68" s="187"/>
      <c r="U68" s="187"/>
      <c r="V68" s="187"/>
      <c r="W68" s="187"/>
      <c r="X68" s="187"/>
      <c r="Y68" s="187"/>
      <c r="Z68" s="187"/>
    </row>
    <row r="69" ht="15.75" customHeight="1">
      <c r="A69" s="203"/>
      <c r="B69" s="187"/>
      <c r="C69" s="187"/>
      <c r="D69" s="187"/>
      <c r="E69" s="187"/>
      <c r="F69" s="187"/>
      <c r="G69" s="187"/>
      <c r="H69" s="187"/>
      <c r="I69" s="187"/>
      <c r="J69" s="187"/>
      <c r="K69" s="187"/>
      <c r="L69" s="187"/>
      <c r="M69" s="187"/>
      <c r="N69" s="187"/>
      <c r="O69" s="187"/>
      <c r="P69" s="187"/>
      <c r="Q69" s="187"/>
      <c r="R69" s="187"/>
      <c r="S69" s="187"/>
      <c r="T69" s="187"/>
      <c r="U69" s="187"/>
      <c r="V69" s="187"/>
      <c r="W69" s="187"/>
      <c r="X69" s="187"/>
      <c r="Y69" s="187"/>
      <c r="Z69" s="187"/>
    </row>
    <row r="70" ht="15.75" customHeight="1">
      <c r="A70" s="203"/>
      <c r="B70" s="187"/>
      <c r="C70" s="187"/>
      <c r="D70" s="187"/>
      <c r="E70" s="187"/>
      <c r="F70" s="187"/>
      <c r="G70" s="187"/>
      <c r="H70" s="187"/>
      <c r="I70" s="187"/>
      <c r="J70" s="187"/>
      <c r="K70" s="187"/>
      <c r="L70" s="187"/>
      <c r="M70" s="187"/>
      <c r="N70" s="187"/>
      <c r="O70" s="187"/>
      <c r="P70" s="187"/>
      <c r="Q70" s="187"/>
      <c r="R70" s="187"/>
      <c r="S70" s="187"/>
      <c r="T70" s="187"/>
      <c r="U70" s="187"/>
      <c r="V70" s="187"/>
      <c r="W70" s="187"/>
      <c r="X70" s="187"/>
      <c r="Y70" s="187"/>
      <c r="Z70" s="187"/>
    </row>
    <row r="71" ht="15.75" customHeight="1">
      <c r="A71" s="203"/>
      <c r="B71" s="187"/>
      <c r="C71" s="187"/>
      <c r="D71" s="187"/>
      <c r="E71" s="187"/>
      <c r="F71" s="187"/>
      <c r="G71" s="187"/>
      <c r="H71" s="187"/>
      <c r="I71" s="187"/>
      <c r="J71" s="187"/>
      <c r="K71" s="187"/>
      <c r="L71" s="187"/>
      <c r="M71" s="187"/>
      <c r="N71" s="187"/>
      <c r="O71" s="187"/>
      <c r="P71" s="187"/>
      <c r="Q71" s="187"/>
      <c r="R71" s="187"/>
      <c r="S71" s="187"/>
      <c r="T71" s="187"/>
      <c r="U71" s="187"/>
      <c r="V71" s="187"/>
      <c r="W71" s="187"/>
      <c r="X71" s="187"/>
      <c r="Y71" s="187"/>
      <c r="Z71" s="187"/>
    </row>
    <row r="72" ht="15.75" customHeight="1">
      <c r="A72" s="203"/>
      <c r="B72" s="187"/>
      <c r="C72" s="187"/>
      <c r="D72" s="187"/>
      <c r="E72" s="187"/>
      <c r="F72" s="187"/>
      <c r="G72" s="187"/>
      <c r="H72" s="187"/>
      <c r="I72" s="187"/>
      <c r="J72" s="187"/>
      <c r="K72" s="187"/>
      <c r="L72" s="187"/>
      <c r="M72" s="187"/>
      <c r="N72" s="187"/>
      <c r="O72" s="187"/>
      <c r="P72" s="187"/>
      <c r="Q72" s="187"/>
      <c r="R72" s="187"/>
      <c r="S72" s="187"/>
      <c r="T72" s="187"/>
      <c r="U72" s="187"/>
      <c r="V72" s="187"/>
      <c r="W72" s="187"/>
      <c r="X72" s="187"/>
      <c r="Y72" s="187"/>
      <c r="Z72" s="187"/>
    </row>
    <row r="73" ht="15.75" customHeight="1">
      <c r="A73" s="203"/>
      <c r="B73" s="187"/>
      <c r="C73" s="187"/>
      <c r="D73" s="187"/>
      <c r="E73" s="187"/>
      <c r="F73" s="187"/>
      <c r="G73" s="187"/>
      <c r="H73" s="187"/>
      <c r="I73" s="187"/>
      <c r="J73" s="187"/>
      <c r="K73" s="187"/>
      <c r="L73" s="187"/>
      <c r="M73" s="187"/>
      <c r="N73" s="187"/>
      <c r="O73" s="187"/>
      <c r="P73" s="187"/>
      <c r="Q73" s="187"/>
      <c r="R73" s="187"/>
      <c r="S73" s="187"/>
      <c r="T73" s="187"/>
      <c r="U73" s="187"/>
      <c r="V73" s="187"/>
      <c r="W73" s="187"/>
      <c r="X73" s="187"/>
      <c r="Y73" s="187"/>
      <c r="Z73" s="187"/>
    </row>
    <row r="74" ht="15.75" customHeight="1">
      <c r="A74" s="203"/>
      <c r="B74" s="187"/>
      <c r="C74" s="187"/>
      <c r="D74" s="187"/>
      <c r="E74" s="187"/>
      <c r="F74" s="187"/>
      <c r="G74" s="187"/>
      <c r="H74" s="187"/>
      <c r="I74" s="187"/>
      <c r="J74" s="187"/>
      <c r="K74" s="187"/>
      <c r="L74" s="187"/>
      <c r="M74" s="187"/>
      <c r="N74" s="187"/>
      <c r="O74" s="187"/>
      <c r="P74" s="187"/>
      <c r="Q74" s="187"/>
      <c r="R74" s="187"/>
      <c r="S74" s="187"/>
      <c r="T74" s="187"/>
      <c r="U74" s="187"/>
      <c r="V74" s="187"/>
      <c r="W74" s="187"/>
      <c r="X74" s="187"/>
      <c r="Y74" s="187"/>
      <c r="Z74" s="187"/>
    </row>
    <row r="75" ht="15.75" customHeight="1">
      <c r="A75" s="203"/>
      <c r="B75" s="187"/>
      <c r="C75" s="187"/>
      <c r="D75" s="187"/>
      <c r="E75" s="187"/>
      <c r="F75" s="187"/>
      <c r="G75" s="187"/>
      <c r="H75" s="187"/>
      <c r="I75" s="187"/>
      <c r="J75" s="187"/>
      <c r="K75" s="187"/>
      <c r="L75" s="187"/>
      <c r="M75" s="187"/>
      <c r="N75" s="187"/>
      <c r="O75" s="187"/>
      <c r="P75" s="187"/>
      <c r="Q75" s="187"/>
      <c r="R75" s="187"/>
      <c r="S75" s="187"/>
      <c r="T75" s="187"/>
      <c r="U75" s="187"/>
      <c r="V75" s="187"/>
      <c r="W75" s="187"/>
      <c r="X75" s="187"/>
      <c r="Y75" s="187"/>
      <c r="Z75" s="187"/>
    </row>
    <row r="76" ht="15.75" customHeight="1">
      <c r="A76" s="203"/>
      <c r="B76" s="187"/>
      <c r="C76" s="187"/>
      <c r="D76" s="187"/>
      <c r="E76" s="187"/>
      <c r="F76" s="187"/>
      <c r="G76" s="187"/>
      <c r="H76" s="187"/>
      <c r="I76" s="187"/>
      <c r="J76" s="187"/>
      <c r="K76" s="187"/>
      <c r="L76" s="187"/>
      <c r="M76" s="187"/>
      <c r="N76" s="187"/>
      <c r="O76" s="187"/>
      <c r="P76" s="187"/>
      <c r="Q76" s="187"/>
      <c r="R76" s="187"/>
      <c r="S76" s="187"/>
      <c r="T76" s="187"/>
      <c r="U76" s="187"/>
      <c r="V76" s="187"/>
      <c r="W76" s="187"/>
      <c r="X76" s="187"/>
      <c r="Y76" s="187"/>
      <c r="Z76" s="187"/>
    </row>
    <row r="77" ht="15.75" customHeight="1">
      <c r="A77" s="203"/>
      <c r="B77" s="187"/>
      <c r="C77" s="187"/>
      <c r="D77" s="187"/>
      <c r="E77" s="187"/>
      <c r="F77" s="187"/>
      <c r="G77" s="187"/>
      <c r="H77" s="187"/>
      <c r="I77" s="187"/>
      <c r="J77" s="187"/>
      <c r="K77" s="187"/>
      <c r="L77" s="187"/>
      <c r="M77" s="187"/>
      <c r="N77" s="187"/>
      <c r="O77" s="187"/>
      <c r="P77" s="187"/>
      <c r="Q77" s="187"/>
      <c r="R77" s="187"/>
      <c r="S77" s="187"/>
      <c r="T77" s="187"/>
      <c r="U77" s="187"/>
      <c r="V77" s="187"/>
      <c r="W77" s="187"/>
      <c r="X77" s="187"/>
      <c r="Y77" s="187"/>
      <c r="Z77" s="187"/>
    </row>
    <row r="78" ht="15.75" customHeight="1">
      <c r="A78" s="203"/>
      <c r="B78" s="187"/>
      <c r="C78" s="187"/>
      <c r="D78" s="187"/>
      <c r="E78" s="187"/>
      <c r="F78" s="187"/>
      <c r="G78" s="187"/>
      <c r="H78" s="187"/>
      <c r="I78" s="187"/>
      <c r="J78" s="187"/>
      <c r="K78" s="187"/>
      <c r="L78" s="187"/>
      <c r="M78" s="187"/>
      <c r="N78" s="187"/>
      <c r="O78" s="187"/>
      <c r="P78" s="187"/>
      <c r="Q78" s="187"/>
      <c r="R78" s="187"/>
      <c r="S78" s="187"/>
      <c r="T78" s="187"/>
      <c r="U78" s="187"/>
      <c r="V78" s="187"/>
      <c r="W78" s="187"/>
      <c r="X78" s="187"/>
      <c r="Y78" s="187"/>
      <c r="Z78" s="187"/>
    </row>
    <row r="79" ht="15.75" customHeight="1">
      <c r="A79" s="203"/>
      <c r="B79" s="187"/>
      <c r="C79" s="187"/>
      <c r="D79" s="187"/>
      <c r="E79" s="187"/>
      <c r="F79" s="187"/>
      <c r="G79" s="187"/>
      <c r="H79" s="187"/>
      <c r="I79" s="187"/>
      <c r="J79" s="187"/>
      <c r="K79" s="187"/>
      <c r="L79" s="187"/>
      <c r="M79" s="187"/>
      <c r="N79" s="187"/>
      <c r="O79" s="187"/>
      <c r="P79" s="187"/>
      <c r="Q79" s="187"/>
      <c r="R79" s="187"/>
      <c r="S79" s="187"/>
      <c r="T79" s="187"/>
      <c r="U79" s="187"/>
      <c r="V79" s="187"/>
      <c r="W79" s="187"/>
      <c r="X79" s="187"/>
      <c r="Y79" s="187"/>
      <c r="Z79" s="187"/>
    </row>
    <row r="80" ht="15.75" customHeight="1">
      <c r="A80" s="203"/>
      <c r="B80" s="187"/>
      <c r="C80" s="187"/>
      <c r="D80" s="187"/>
      <c r="E80" s="187"/>
      <c r="F80" s="187"/>
      <c r="G80" s="187"/>
      <c r="H80" s="187"/>
      <c r="I80" s="187"/>
      <c r="J80" s="187"/>
      <c r="K80" s="187"/>
      <c r="L80" s="187"/>
      <c r="M80" s="187"/>
      <c r="N80" s="187"/>
      <c r="O80" s="187"/>
      <c r="P80" s="187"/>
      <c r="Q80" s="187"/>
      <c r="R80" s="187"/>
      <c r="S80" s="187"/>
      <c r="T80" s="187"/>
      <c r="U80" s="187"/>
      <c r="V80" s="187"/>
      <c r="W80" s="187"/>
      <c r="X80" s="187"/>
      <c r="Y80" s="187"/>
      <c r="Z80" s="187"/>
    </row>
    <row r="81" ht="15.75" customHeight="1">
      <c r="A81" s="203"/>
      <c r="B81" s="187"/>
      <c r="C81" s="187"/>
      <c r="D81" s="187"/>
      <c r="E81" s="187"/>
      <c r="F81" s="187"/>
      <c r="G81" s="187"/>
      <c r="H81" s="187"/>
      <c r="I81" s="187"/>
      <c r="J81" s="187"/>
      <c r="K81" s="187"/>
      <c r="L81" s="187"/>
      <c r="M81" s="187"/>
      <c r="N81" s="187"/>
      <c r="O81" s="187"/>
      <c r="P81" s="187"/>
      <c r="Q81" s="187"/>
      <c r="R81" s="187"/>
      <c r="S81" s="187"/>
      <c r="T81" s="187"/>
      <c r="U81" s="187"/>
      <c r="V81" s="187"/>
      <c r="W81" s="187"/>
      <c r="X81" s="187"/>
      <c r="Y81" s="187"/>
      <c r="Z81" s="187"/>
    </row>
    <row r="82" ht="15.75" customHeight="1">
      <c r="A82" s="203"/>
      <c r="B82" s="187"/>
      <c r="C82" s="187"/>
      <c r="D82" s="187"/>
      <c r="E82" s="187"/>
      <c r="F82" s="187"/>
      <c r="G82" s="187"/>
      <c r="H82" s="187"/>
      <c r="I82" s="187"/>
      <c r="J82" s="187"/>
      <c r="K82" s="187"/>
      <c r="L82" s="187"/>
      <c r="M82" s="187"/>
      <c r="N82" s="187"/>
      <c r="O82" s="187"/>
      <c r="P82" s="187"/>
      <c r="Q82" s="187"/>
      <c r="R82" s="187"/>
      <c r="S82" s="187"/>
      <c r="T82" s="187"/>
      <c r="U82" s="187"/>
      <c r="V82" s="187"/>
      <c r="W82" s="187"/>
      <c r="X82" s="187"/>
      <c r="Y82" s="187"/>
      <c r="Z82" s="187"/>
    </row>
    <row r="83" ht="15.75" customHeight="1">
      <c r="A83" s="203"/>
      <c r="B83" s="187"/>
      <c r="C83" s="187"/>
      <c r="D83" s="187"/>
      <c r="E83" s="187"/>
      <c r="F83" s="187"/>
      <c r="G83" s="187"/>
      <c r="H83" s="187"/>
      <c r="I83" s="187"/>
      <c r="J83" s="187"/>
      <c r="K83" s="187"/>
      <c r="L83" s="187"/>
      <c r="M83" s="187"/>
      <c r="N83" s="187"/>
      <c r="O83" s="187"/>
      <c r="P83" s="187"/>
      <c r="Q83" s="187"/>
      <c r="R83" s="187"/>
      <c r="S83" s="187"/>
      <c r="T83" s="187"/>
      <c r="U83" s="187"/>
      <c r="V83" s="187"/>
      <c r="W83" s="187"/>
      <c r="X83" s="187"/>
      <c r="Y83" s="187"/>
      <c r="Z83" s="187"/>
    </row>
    <row r="84" ht="15.75" customHeight="1">
      <c r="A84" s="203"/>
      <c r="B84" s="187"/>
      <c r="C84" s="187"/>
      <c r="D84" s="187"/>
      <c r="E84" s="187"/>
      <c r="F84" s="187"/>
      <c r="G84" s="187"/>
      <c r="H84" s="187"/>
      <c r="I84" s="187"/>
      <c r="J84" s="187"/>
      <c r="K84" s="187"/>
      <c r="L84" s="187"/>
      <c r="M84" s="187"/>
      <c r="N84" s="187"/>
      <c r="O84" s="187"/>
      <c r="P84" s="187"/>
      <c r="Q84" s="187"/>
      <c r="R84" s="187"/>
      <c r="S84" s="187"/>
      <c r="T84" s="187"/>
      <c r="U84" s="187"/>
      <c r="V84" s="187"/>
      <c r="W84" s="187"/>
      <c r="X84" s="187"/>
      <c r="Y84" s="187"/>
      <c r="Z84" s="187"/>
    </row>
    <row r="85" ht="15.75" customHeight="1">
      <c r="A85" s="203"/>
      <c r="B85" s="187"/>
      <c r="C85" s="187"/>
      <c r="D85" s="187"/>
      <c r="E85" s="187"/>
      <c r="F85" s="187"/>
      <c r="G85" s="187"/>
      <c r="H85" s="187"/>
      <c r="I85" s="187"/>
      <c r="J85" s="187"/>
      <c r="K85" s="187"/>
      <c r="L85" s="187"/>
      <c r="M85" s="187"/>
      <c r="N85" s="187"/>
      <c r="O85" s="187"/>
      <c r="P85" s="187"/>
      <c r="Q85" s="187"/>
      <c r="R85" s="187"/>
      <c r="S85" s="187"/>
      <c r="T85" s="187"/>
      <c r="U85" s="187"/>
      <c r="V85" s="187"/>
      <c r="W85" s="187"/>
      <c r="X85" s="187"/>
      <c r="Y85" s="187"/>
      <c r="Z85" s="187"/>
    </row>
    <row r="86" ht="15.75" customHeight="1">
      <c r="A86" s="203"/>
      <c r="B86" s="187"/>
      <c r="C86" s="187"/>
      <c r="D86" s="187"/>
      <c r="E86" s="187"/>
      <c r="F86" s="187"/>
      <c r="G86" s="187"/>
      <c r="H86" s="187"/>
      <c r="I86" s="187"/>
      <c r="J86" s="187"/>
      <c r="K86" s="187"/>
      <c r="L86" s="187"/>
      <c r="M86" s="187"/>
      <c r="N86" s="187"/>
      <c r="O86" s="187"/>
      <c r="P86" s="187"/>
      <c r="Q86" s="187"/>
      <c r="R86" s="187"/>
      <c r="S86" s="187"/>
      <c r="T86" s="187"/>
      <c r="U86" s="187"/>
      <c r="V86" s="187"/>
      <c r="W86" s="187"/>
      <c r="X86" s="187"/>
      <c r="Y86" s="187"/>
      <c r="Z86" s="187"/>
    </row>
    <row r="87" ht="15.75" customHeight="1">
      <c r="A87" s="203"/>
      <c r="B87" s="187"/>
      <c r="C87" s="187"/>
      <c r="D87" s="187"/>
      <c r="E87" s="187"/>
      <c r="F87" s="187"/>
      <c r="G87" s="187"/>
      <c r="H87" s="187"/>
      <c r="I87" s="187"/>
      <c r="J87" s="187"/>
      <c r="K87" s="187"/>
      <c r="L87" s="187"/>
      <c r="M87" s="187"/>
      <c r="N87" s="187"/>
      <c r="O87" s="187"/>
      <c r="P87" s="187"/>
      <c r="Q87" s="187"/>
      <c r="R87" s="187"/>
      <c r="S87" s="187"/>
      <c r="T87" s="187"/>
      <c r="U87" s="187"/>
      <c r="V87" s="187"/>
      <c r="W87" s="187"/>
      <c r="X87" s="187"/>
      <c r="Y87" s="187"/>
      <c r="Z87" s="187"/>
    </row>
    <row r="88" ht="15.75" customHeight="1">
      <c r="A88" s="203"/>
      <c r="B88" s="187"/>
      <c r="C88" s="187"/>
      <c r="D88" s="187"/>
      <c r="E88" s="187"/>
      <c r="F88" s="187"/>
      <c r="G88" s="187"/>
      <c r="H88" s="187"/>
      <c r="I88" s="187"/>
      <c r="J88" s="187"/>
      <c r="K88" s="187"/>
      <c r="L88" s="187"/>
      <c r="M88" s="187"/>
      <c r="N88" s="187"/>
      <c r="O88" s="187"/>
      <c r="P88" s="187"/>
      <c r="Q88" s="187"/>
      <c r="R88" s="187"/>
      <c r="S88" s="187"/>
      <c r="T88" s="187"/>
      <c r="U88" s="187"/>
      <c r="V88" s="187"/>
      <c r="W88" s="187"/>
      <c r="X88" s="187"/>
      <c r="Y88" s="187"/>
      <c r="Z88" s="187"/>
    </row>
    <row r="89" ht="15.75" customHeight="1">
      <c r="A89" s="203"/>
      <c r="B89" s="187"/>
      <c r="C89" s="187"/>
      <c r="D89" s="187"/>
      <c r="E89" s="187"/>
      <c r="F89" s="187"/>
      <c r="G89" s="187"/>
      <c r="H89" s="187"/>
      <c r="I89" s="187"/>
      <c r="J89" s="187"/>
      <c r="K89" s="187"/>
      <c r="L89" s="187"/>
      <c r="M89" s="187"/>
      <c r="N89" s="187"/>
      <c r="O89" s="187"/>
      <c r="P89" s="187"/>
      <c r="Q89" s="187"/>
      <c r="R89" s="187"/>
      <c r="S89" s="187"/>
      <c r="T89" s="187"/>
      <c r="U89" s="187"/>
      <c r="V89" s="187"/>
      <c r="W89" s="187"/>
      <c r="X89" s="187"/>
      <c r="Y89" s="187"/>
      <c r="Z89" s="187"/>
    </row>
    <row r="90" ht="15.75" customHeight="1">
      <c r="A90" s="203"/>
      <c r="B90" s="187"/>
      <c r="C90" s="187"/>
      <c r="D90" s="187"/>
      <c r="E90" s="187"/>
      <c r="F90" s="187"/>
      <c r="G90" s="187"/>
      <c r="H90" s="187"/>
      <c r="I90" s="187"/>
      <c r="J90" s="187"/>
      <c r="K90" s="187"/>
      <c r="L90" s="187"/>
      <c r="M90" s="187"/>
      <c r="N90" s="187"/>
      <c r="O90" s="187"/>
      <c r="P90" s="187"/>
      <c r="Q90" s="187"/>
      <c r="R90" s="187"/>
      <c r="S90" s="187"/>
      <c r="T90" s="187"/>
      <c r="U90" s="187"/>
      <c r="V90" s="187"/>
      <c r="W90" s="187"/>
      <c r="X90" s="187"/>
      <c r="Y90" s="187"/>
      <c r="Z90" s="187"/>
    </row>
    <row r="91" ht="15.75" customHeight="1">
      <c r="A91" s="203"/>
      <c r="B91" s="187"/>
      <c r="C91" s="187"/>
      <c r="D91" s="187"/>
      <c r="E91" s="187"/>
      <c r="F91" s="187"/>
      <c r="G91" s="187"/>
      <c r="H91" s="187"/>
      <c r="I91" s="187"/>
      <c r="J91" s="187"/>
      <c r="K91" s="187"/>
      <c r="L91" s="187"/>
      <c r="M91" s="187"/>
      <c r="N91" s="187"/>
      <c r="O91" s="187"/>
      <c r="P91" s="187"/>
      <c r="Q91" s="187"/>
      <c r="R91" s="187"/>
      <c r="S91" s="187"/>
      <c r="T91" s="187"/>
      <c r="U91" s="187"/>
      <c r="V91" s="187"/>
      <c r="W91" s="187"/>
      <c r="X91" s="187"/>
      <c r="Y91" s="187"/>
      <c r="Z91" s="187"/>
    </row>
    <row r="92" ht="15.75" customHeight="1">
      <c r="A92" s="203"/>
      <c r="B92" s="187"/>
      <c r="C92" s="187"/>
      <c r="D92" s="187"/>
      <c r="E92" s="187"/>
      <c r="F92" s="187"/>
      <c r="G92" s="187"/>
      <c r="H92" s="187"/>
      <c r="I92" s="187"/>
      <c r="J92" s="187"/>
      <c r="K92" s="187"/>
      <c r="L92" s="187"/>
      <c r="M92" s="187"/>
      <c r="N92" s="187"/>
      <c r="O92" s="187"/>
      <c r="P92" s="187"/>
      <c r="Q92" s="187"/>
      <c r="R92" s="187"/>
      <c r="S92" s="187"/>
      <c r="T92" s="187"/>
      <c r="U92" s="187"/>
      <c r="V92" s="187"/>
      <c r="W92" s="187"/>
      <c r="X92" s="187"/>
      <c r="Y92" s="187"/>
      <c r="Z92" s="187"/>
    </row>
    <row r="93" ht="15.75" customHeight="1">
      <c r="A93" s="203"/>
      <c r="B93" s="187"/>
      <c r="C93" s="187"/>
      <c r="D93" s="187"/>
      <c r="E93" s="187"/>
      <c r="F93" s="187"/>
      <c r="G93" s="187"/>
      <c r="H93" s="187"/>
      <c r="I93" s="187"/>
      <c r="J93" s="187"/>
      <c r="K93" s="187"/>
      <c r="L93" s="187"/>
      <c r="M93" s="187"/>
      <c r="N93" s="187"/>
      <c r="O93" s="187"/>
      <c r="P93" s="187"/>
      <c r="Q93" s="187"/>
      <c r="R93" s="187"/>
      <c r="S93" s="187"/>
      <c r="T93" s="187"/>
      <c r="U93" s="187"/>
      <c r="V93" s="187"/>
      <c r="W93" s="187"/>
      <c r="X93" s="187"/>
      <c r="Y93" s="187"/>
      <c r="Z93" s="187"/>
    </row>
    <row r="94" ht="15.75" customHeight="1">
      <c r="A94" s="203"/>
      <c r="B94" s="187"/>
      <c r="C94" s="187"/>
      <c r="D94" s="187"/>
      <c r="E94" s="187"/>
      <c r="F94" s="187"/>
      <c r="G94" s="187"/>
      <c r="H94" s="187"/>
      <c r="I94" s="187"/>
      <c r="J94" s="187"/>
      <c r="K94" s="187"/>
      <c r="L94" s="187"/>
      <c r="M94" s="187"/>
      <c r="N94" s="187"/>
      <c r="O94" s="187"/>
      <c r="P94" s="187"/>
      <c r="Q94" s="187"/>
      <c r="R94" s="187"/>
      <c r="S94" s="187"/>
      <c r="T94" s="187"/>
      <c r="U94" s="187"/>
      <c r="V94" s="187"/>
      <c r="W94" s="187"/>
      <c r="X94" s="187"/>
      <c r="Y94" s="187"/>
      <c r="Z94" s="187"/>
    </row>
    <row r="95" ht="15.75" customHeight="1">
      <c r="A95" s="203"/>
      <c r="B95" s="187"/>
      <c r="C95" s="187"/>
      <c r="D95" s="187"/>
      <c r="E95" s="187"/>
      <c r="F95" s="187"/>
      <c r="G95" s="187"/>
      <c r="H95" s="187"/>
      <c r="I95" s="187"/>
      <c r="J95" s="187"/>
      <c r="K95" s="187"/>
      <c r="L95" s="187"/>
      <c r="M95" s="187"/>
      <c r="N95" s="187"/>
      <c r="O95" s="187"/>
      <c r="P95" s="187"/>
      <c r="Q95" s="187"/>
      <c r="R95" s="187"/>
      <c r="S95" s="187"/>
      <c r="T95" s="187"/>
      <c r="U95" s="187"/>
      <c r="V95" s="187"/>
      <c r="W95" s="187"/>
      <c r="X95" s="187"/>
      <c r="Y95" s="187"/>
      <c r="Z95" s="187"/>
    </row>
    <row r="96" ht="15.75" customHeight="1">
      <c r="A96" s="203"/>
      <c r="B96" s="187"/>
      <c r="C96" s="187"/>
      <c r="D96" s="187"/>
      <c r="E96" s="187"/>
      <c r="F96" s="187"/>
      <c r="G96" s="187"/>
      <c r="H96" s="187"/>
      <c r="I96" s="187"/>
      <c r="J96" s="187"/>
      <c r="K96" s="187"/>
      <c r="L96" s="187"/>
      <c r="M96" s="187"/>
      <c r="N96" s="187"/>
      <c r="O96" s="187"/>
      <c r="P96" s="187"/>
      <c r="Q96" s="187"/>
      <c r="R96" s="187"/>
      <c r="S96" s="187"/>
      <c r="T96" s="187"/>
      <c r="U96" s="187"/>
      <c r="V96" s="187"/>
      <c r="W96" s="187"/>
      <c r="X96" s="187"/>
      <c r="Y96" s="187"/>
      <c r="Z96" s="187"/>
    </row>
    <row r="97" ht="15.75" customHeight="1">
      <c r="A97" s="203"/>
      <c r="B97" s="187"/>
      <c r="C97" s="187"/>
      <c r="D97" s="187"/>
      <c r="E97" s="187"/>
      <c r="F97" s="187"/>
      <c r="G97" s="187"/>
      <c r="H97" s="187"/>
      <c r="I97" s="187"/>
      <c r="J97" s="187"/>
      <c r="K97" s="187"/>
      <c r="L97" s="187"/>
      <c r="M97" s="187"/>
      <c r="N97" s="187"/>
      <c r="O97" s="187"/>
      <c r="P97" s="187"/>
      <c r="Q97" s="187"/>
      <c r="R97" s="187"/>
      <c r="S97" s="187"/>
      <c r="T97" s="187"/>
      <c r="U97" s="187"/>
      <c r="V97" s="187"/>
      <c r="W97" s="187"/>
      <c r="X97" s="187"/>
      <c r="Y97" s="187"/>
      <c r="Z97" s="187"/>
    </row>
    <row r="98" ht="15.75" customHeight="1">
      <c r="A98" s="203"/>
      <c r="B98" s="187"/>
      <c r="C98" s="187"/>
      <c r="D98" s="187"/>
      <c r="E98" s="187"/>
      <c r="F98" s="187"/>
      <c r="G98" s="187"/>
      <c r="H98" s="187"/>
      <c r="I98" s="187"/>
      <c r="J98" s="187"/>
      <c r="K98" s="187"/>
      <c r="L98" s="187"/>
      <c r="M98" s="187"/>
      <c r="N98" s="187"/>
      <c r="O98" s="187"/>
      <c r="P98" s="187"/>
      <c r="Q98" s="187"/>
      <c r="R98" s="187"/>
      <c r="S98" s="187"/>
      <c r="T98" s="187"/>
      <c r="U98" s="187"/>
      <c r="V98" s="187"/>
      <c r="W98" s="187"/>
      <c r="X98" s="187"/>
      <c r="Y98" s="187"/>
      <c r="Z98" s="187"/>
    </row>
    <row r="99" ht="15.75" customHeight="1">
      <c r="A99" s="203"/>
      <c r="B99" s="187"/>
      <c r="C99" s="187"/>
      <c r="D99" s="187"/>
      <c r="E99" s="187"/>
      <c r="F99" s="187"/>
      <c r="G99" s="187"/>
      <c r="H99" s="187"/>
      <c r="I99" s="187"/>
      <c r="J99" s="187"/>
      <c r="K99" s="187"/>
      <c r="L99" s="187"/>
      <c r="M99" s="187"/>
      <c r="N99" s="187"/>
      <c r="O99" s="187"/>
      <c r="P99" s="187"/>
      <c r="Q99" s="187"/>
      <c r="R99" s="187"/>
      <c r="S99" s="187"/>
      <c r="T99" s="187"/>
      <c r="U99" s="187"/>
      <c r="V99" s="187"/>
      <c r="W99" s="187"/>
      <c r="X99" s="187"/>
      <c r="Y99" s="187"/>
      <c r="Z99" s="187"/>
    </row>
    <row r="100" ht="15.75" customHeight="1">
      <c r="A100" s="203"/>
      <c r="B100" s="187"/>
      <c r="C100" s="187"/>
      <c r="D100" s="187"/>
      <c r="E100" s="187"/>
      <c r="F100" s="187"/>
      <c r="G100" s="187"/>
      <c r="H100" s="187"/>
      <c r="I100" s="187"/>
      <c r="J100" s="187"/>
      <c r="K100" s="187"/>
      <c r="L100" s="187"/>
      <c r="M100" s="187"/>
      <c r="N100" s="187"/>
      <c r="O100" s="187"/>
      <c r="P100" s="187"/>
      <c r="Q100" s="187"/>
      <c r="R100" s="187"/>
      <c r="S100" s="187"/>
      <c r="T100" s="187"/>
      <c r="U100" s="187"/>
      <c r="V100" s="187"/>
      <c r="W100" s="187"/>
      <c r="X100" s="187"/>
      <c r="Y100" s="187"/>
      <c r="Z100" s="187"/>
    </row>
    <row r="101" ht="15.75" customHeight="1">
      <c r="A101" s="203"/>
      <c r="B101" s="187"/>
      <c r="C101" s="187"/>
      <c r="D101" s="187"/>
      <c r="E101" s="187"/>
      <c r="F101" s="187"/>
      <c r="G101" s="187"/>
      <c r="H101" s="187"/>
      <c r="I101" s="187"/>
      <c r="J101" s="187"/>
      <c r="K101" s="187"/>
      <c r="L101" s="187"/>
      <c r="M101" s="187"/>
      <c r="N101" s="187"/>
      <c r="O101" s="187"/>
      <c r="P101" s="187"/>
      <c r="Q101" s="187"/>
      <c r="R101" s="187"/>
      <c r="S101" s="187"/>
      <c r="T101" s="187"/>
      <c r="U101" s="187"/>
      <c r="V101" s="187"/>
      <c r="W101" s="187"/>
      <c r="X101" s="187"/>
      <c r="Y101" s="187"/>
      <c r="Z101" s="187"/>
    </row>
    <row r="102" ht="15.75" customHeight="1">
      <c r="A102" s="203"/>
      <c r="B102" s="187"/>
      <c r="C102" s="187"/>
      <c r="D102" s="187"/>
      <c r="E102" s="187"/>
      <c r="F102" s="187"/>
      <c r="G102" s="187"/>
      <c r="H102" s="187"/>
      <c r="I102" s="187"/>
      <c r="J102" s="187"/>
      <c r="K102" s="187"/>
      <c r="L102" s="187"/>
      <c r="M102" s="187"/>
      <c r="N102" s="187"/>
      <c r="O102" s="187"/>
      <c r="P102" s="187"/>
      <c r="Q102" s="187"/>
      <c r="R102" s="187"/>
      <c r="S102" s="187"/>
      <c r="T102" s="187"/>
      <c r="U102" s="187"/>
      <c r="V102" s="187"/>
      <c r="W102" s="187"/>
      <c r="X102" s="187"/>
      <c r="Y102" s="187"/>
      <c r="Z102" s="187"/>
    </row>
    <row r="103" ht="15.75" customHeight="1">
      <c r="A103" s="203"/>
      <c r="B103" s="187"/>
      <c r="C103" s="187"/>
      <c r="D103" s="187"/>
      <c r="E103" s="187"/>
      <c r="F103" s="187"/>
      <c r="G103" s="187"/>
      <c r="H103" s="187"/>
      <c r="I103" s="187"/>
      <c r="J103" s="187"/>
      <c r="K103" s="187"/>
      <c r="L103" s="187"/>
      <c r="M103" s="187"/>
      <c r="N103" s="187"/>
      <c r="O103" s="187"/>
      <c r="P103" s="187"/>
      <c r="Q103" s="187"/>
      <c r="R103" s="187"/>
      <c r="S103" s="187"/>
      <c r="T103" s="187"/>
      <c r="U103" s="187"/>
      <c r="V103" s="187"/>
      <c r="W103" s="187"/>
      <c r="X103" s="187"/>
      <c r="Y103" s="187"/>
      <c r="Z103" s="187"/>
    </row>
    <row r="104" ht="15.75" customHeight="1">
      <c r="A104" s="203"/>
      <c r="B104" s="187"/>
      <c r="C104" s="187"/>
      <c r="D104" s="187"/>
      <c r="E104" s="187"/>
      <c r="F104" s="187"/>
      <c r="G104" s="187"/>
      <c r="H104" s="187"/>
      <c r="I104" s="187"/>
      <c r="J104" s="187"/>
      <c r="K104" s="187"/>
      <c r="L104" s="187"/>
      <c r="M104" s="187"/>
      <c r="N104" s="187"/>
      <c r="O104" s="187"/>
      <c r="P104" s="187"/>
      <c r="Q104" s="187"/>
      <c r="R104" s="187"/>
      <c r="S104" s="187"/>
      <c r="T104" s="187"/>
      <c r="U104" s="187"/>
      <c r="V104" s="187"/>
      <c r="W104" s="187"/>
      <c r="X104" s="187"/>
      <c r="Y104" s="187"/>
      <c r="Z104" s="187"/>
    </row>
    <row r="105" ht="15.75" customHeight="1">
      <c r="A105" s="203"/>
      <c r="B105" s="187"/>
      <c r="C105" s="187"/>
      <c r="D105" s="187"/>
      <c r="E105" s="187"/>
      <c r="F105" s="187"/>
      <c r="G105" s="187"/>
      <c r="H105" s="187"/>
      <c r="I105" s="187"/>
      <c r="J105" s="187"/>
      <c r="K105" s="187"/>
      <c r="L105" s="187"/>
      <c r="M105" s="187"/>
      <c r="N105" s="187"/>
      <c r="O105" s="187"/>
      <c r="P105" s="187"/>
      <c r="Q105" s="187"/>
      <c r="R105" s="187"/>
      <c r="S105" s="187"/>
      <c r="T105" s="187"/>
      <c r="U105" s="187"/>
      <c r="V105" s="187"/>
      <c r="W105" s="187"/>
      <c r="X105" s="187"/>
      <c r="Y105" s="187"/>
      <c r="Z105" s="187"/>
    </row>
    <row r="106" ht="15.75" customHeight="1">
      <c r="A106" s="203"/>
      <c r="B106" s="187"/>
      <c r="C106" s="187"/>
      <c r="D106" s="187"/>
      <c r="E106" s="187"/>
      <c r="F106" s="187"/>
      <c r="G106" s="187"/>
      <c r="H106" s="187"/>
      <c r="I106" s="187"/>
      <c r="J106" s="187"/>
      <c r="K106" s="187"/>
      <c r="L106" s="187"/>
      <c r="M106" s="187"/>
      <c r="N106" s="187"/>
      <c r="O106" s="187"/>
      <c r="P106" s="187"/>
      <c r="Q106" s="187"/>
      <c r="R106" s="187"/>
      <c r="S106" s="187"/>
      <c r="T106" s="187"/>
      <c r="U106" s="187"/>
      <c r="V106" s="187"/>
      <c r="W106" s="187"/>
      <c r="X106" s="187"/>
      <c r="Y106" s="187"/>
      <c r="Z106" s="187"/>
    </row>
    <row r="107" ht="15.75" customHeight="1">
      <c r="A107" s="203"/>
      <c r="B107" s="187"/>
      <c r="C107" s="187"/>
      <c r="D107" s="187"/>
      <c r="E107" s="187"/>
      <c r="F107" s="187"/>
      <c r="G107" s="187"/>
      <c r="H107" s="187"/>
      <c r="I107" s="187"/>
      <c r="J107" s="187"/>
      <c r="K107" s="187"/>
      <c r="L107" s="187"/>
      <c r="M107" s="187"/>
      <c r="N107" s="187"/>
      <c r="O107" s="187"/>
      <c r="P107" s="187"/>
      <c r="Q107" s="187"/>
      <c r="R107" s="187"/>
      <c r="S107" s="187"/>
      <c r="T107" s="187"/>
      <c r="U107" s="187"/>
      <c r="V107" s="187"/>
      <c r="W107" s="187"/>
      <c r="X107" s="187"/>
      <c r="Y107" s="187"/>
      <c r="Z107" s="187"/>
    </row>
    <row r="108" ht="15.75" customHeight="1">
      <c r="A108" s="203"/>
      <c r="B108" s="187"/>
      <c r="C108" s="187"/>
      <c r="D108" s="187"/>
      <c r="E108" s="187"/>
      <c r="F108" s="187"/>
      <c r="G108" s="187"/>
      <c r="H108" s="187"/>
      <c r="I108" s="187"/>
      <c r="J108" s="187"/>
      <c r="K108" s="187"/>
      <c r="L108" s="187"/>
      <c r="M108" s="187"/>
      <c r="N108" s="187"/>
      <c r="O108" s="187"/>
      <c r="P108" s="187"/>
      <c r="Q108" s="187"/>
      <c r="R108" s="187"/>
      <c r="S108" s="187"/>
      <c r="T108" s="187"/>
      <c r="U108" s="187"/>
      <c r="V108" s="187"/>
      <c r="W108" s="187"/>
      <c r="X108" s="187"/>
      <c r="Y108" s="187"/>
      <c r="Z108" s="187"/>
    </row>
    <row r="109" ht="15.75" customHeight="1">
      <c r="A109" s="203"/>
      <c r="B109" s="187"/>
      <c r="C109" s="187"/>
      <c r="D109" s="187"/>
      <c r="E109" s="187"/>
      <c r="F109" s="187"/>
      <c r="G109" s="187"/>
      <c r="H109" s="187"/>
      <c r="I109" s="187"/>
      <c r="J109" s="187"/>
      <c r="K109" s="187"/>
      <c r="L109" s="187"/>
      <c r="M109" s="187"/>
      <c r="N109" s="187"/>
      <c r="O109" s="187"/>
      <c r="P109" s="187"/>
      <c r="Q109" s="187"/>
      <c r="R109" s="187"/>
      <c r="S109" s="187"/>
      <c r="T109" s="187"/>
      <c r="U109" s="187"/>
      <c r="V109" s="187"/>
      <c r="W109" s="187"/>
      <c r="X109" s="187"/>
      <c r="Y109" s="187"/>
      <c r="Z109" s="187"/>
    </row>
    <row r="110" ht="15.75" customHeight="1">
      <c r="A110" s="203"/>
      <c r="B110" s="187"/>
      <c r="C110" s="187"/>
      <c r="D110" s="187"/>
      <c r="E110" s="187"/>
      <c r="F110" s="187"/>
      <c r="G110" s="187"/>
      <c r="H110" s="187"/>
      <c r="I110" s="187"/>
      <c r="J110" s="187"/>
      <c r="K110" s="187"/>
      <c r="L110" s="187"/>
      <c r="M110" s="187"/>
      <c r="N110" s="187"/>
      <c r="O110" s="187"/>
      <c r="P110" s="187"/>
      <c r="Q110" s="187"/>
      <c r="R110" s="187"/>
      <c r="S110" s="187"/>
      <c r="T110" s="187"/>
      <c r="U110" s="187"/>
      <c r="V110" s="187"/>
      <c r="W110" s="187"/>
      <c r="X110" s="187"/>
      <c r="Y110" s="187"/>
      <c r="Z110" s="187"/>
    </row>
    <row r="111" ht="15.75" customHeight="1">
      <c r="A111" s="203"/>
      <c r="B111" s="187"/>
      <c r="C111" s="187"/>
      <c r="D111" s="187"/>
      <c r="E111" s="187"/>
      <c r="F111" s="187"/>
      <c r="G111" s="187"/>
      <c r="H111" s="187"/>
      <c r="I111" s="187"/>
      <c r="J111" s="187"/>
      <c r="K111" s="187"/>
      <c r="L111" s="187"/>
      <c r="M111" s="187"/>
      <c r="N111" s="187"/>
      <c r="O111" s="187"/>
      <c r="P111" s="187"/>
      <c r="Q111" s="187"/>
      <c r="R111" s="187"/>
      <c r="S111" s="187"/>
      <c r="T111" s="187"/>
      <c r="U111" s="187"/>
      <c r="V111" s="187"/>
      <c r="W111" s="187"/>
      <c r="X111" s="187"/>
      <c r="Y111" s="187"/>
      <c r="Z111" s="187"/>
    </row>
    <row r="112" ht="15.75" customHeight="1">
      <c r="A112" s="203"/>
      <c r="B112" s="187"/>
      <c r="C112" s="187"/>
      <c r="D112" s="187"/>
      <c r="E112" s="187"/>
      <c r="F112" s="187"/>
      <c r="G112" s="187"/>
      <c r="H112" s="187"/>
      <c r="I112" s="187"/>
      <c r="J112" s="187"/>
      <c r="K112" s="187"/>
      <c r="L112" s="187"/>
      <c r="M112" s="187"/>
      <c r="N112" s="187"/>
      <c r="O112" s="187"/>
      <c r="P112" s="187"/>
      <c r="Q112" s="187"/>
      <c r="R112" s="187"/>
      <c r="S112" s="187"/>
      <c r="T112" s="187"/>
      <c r="U112" s="187"/>
      <c r="V112" s="187"/>
      <c r="W112" s="187"/>
      <c r="X112" s="187"/>
      <c r="Y112" s="187"/>
      <c r="Z112" s="187"/>
    </row>
    <row r="113" ht="15.75" customHeight="1">
      <c r="A113" s="203"/>
      <c r="B113" s="187"/>
      <c r="C113" s="187"/>
      <c r="D113" s="187"/>
      <c r="E113" s="187"/>
      <c r="F113" s="187"/>
      <c r="G113" s="187"/>
      <c r="H113" s="187"/>
      <c r="I113" s="187"/>
      <c r="J113" s="187"/>
      <c r="K113" s="187"/>
      <c r="L113" s="187"/>
      <c r="M113" s="187"/>
      <c r="N113" s="187"/>
      <c r="O113" s="187"/>
      <c r="P113" s="187"/>
      <c r="Q113" s="187"/>
      <c r="R113" s="187"/>
      <c r="S113" s="187"/>
      <c r="T113" s="187"/>
      <c r="U113" s="187"/>
      <c r="V113" s="187"/>
      <c r="W113" s="187"/>
      <c r="X113" s="187"/>
      <c r="Y113" s="187"/>
      <c r="Z113" s="187"/>
    </row>
    <row r="114" ht="15.75" customHeight="1">
      <c r="A114" s="203"/>
      <c r="B114" s="187"/>
      <c r="C114" s="187"/>
      <c r="D114" s="187"/>
      <c r="E114" s="187"/>
      <c r="F114" s="187"/>
      <c r="G114" s="187"/>
      <c r="H114" s="187"/>
      <c r="I114" s="187"/>
      <c r="J114" s="187"/>
      <c r="K114" s="187"/>
      <c r="L114" s="187"/>
      <c r="M114" s="187"/>
      <c r="N114" s="187"/>
      <c r="O114" s="187"/>
      <c r="P114" s="187"/>
      <c r="Q114" s="187"/>
      <c r="R114" s="187"/>
      <c r="S114" s="187"/>
      <c r="T114" s="187"/>
      <c r="U114" s="187"/>
      <c r="V114" s="187"/>
      <c r="W114" s="187"/>
      <c r="X114" s="187"/>
      <c r="Y114" s="187"/>
      <c r="Z114" s="187"/>
    </row>
    <row r="115" ht="15.75" customHeight="1">
      <c r="A115" s="203"/>
      <c r="B115" s="187"/>
      <c r="C115" s="187"/>
      <c r="D115" s="187"/>
      <c r="E115" s="187"/>
      <c r="F115" s="187"/>
      <c r="G115" s="187"/>
      <c r="H115" s="187"/>
      <c r="I115" s="187"/>
      <c r="J115" s="187"/>
      <c r="K115" s="187"/>
      <c r="L115" s="187"/>
      <c r="M115" s="187"/>
      <c r="N115" s="187"/>
      <c r="O115" s="187"/>
      <c r="P115" s="187"/>
      <c r="Q115" s="187"/>
      <c r="R115" s="187"/>
      <c r="S115" s="187"/>
      <c r="T115" s="187"/>
      <c r="U115" s="187"/>
      <c r="V115" s="187"/>
      <c r="W115" s="187"/>
      <c r="X115" s="187"/>
      <c r="Y115" s="187"/>
      <c r="Z115" s="187"/>
    </row>
    <row r="116" ht="15.75" customHeight="1">
      <c r="A116" s="203"/>
      <c r="B116" s="187"/>
      <c r="C116" s="187"/>
      <c r="D116" s="187"/>
      <c r="E116" s="187"/>
      <c r="F116" s="187"/>
      <c r="G116" s="187"/>
      <c r="H116" s="187"/>
      <c r="I116" s="187"/>
      <c r="J116" s="187"/>
      <c r="K116" s="187"/>
      <c r="L116" s="187"/>
      <c r="M116" s="187"/>
      <c r="N116" s="187"/>
      <c r="O116" s="187"/>
      <c r="P116" s="187"/>
      <c r="Q116" s="187"/>
      <c r="R116" s="187"/>
      <c r="S116" s="187"/>
      <c r="T116" s="187"/>
      <c r="U116" s="187"/>
      <c r="V116" s="187"/>
      <c r="W116" s="187"/>
      <c r="X116" s="187"/>
      <c r="Y116" s="187"/>
      <c r="Z116" s="187"/>
    </row>
    <row r="117" ht="15.75" customHeight="1">
      <c r="A117" s="203"/>
      <c r="B117" s="187"/>
      <c r="C117" s="187"/>
      <c r="D117" s="187"/>
      <c r="E117" s="187"/>
      <c r="F117" s="187"/>
      <c r="G117" s="187"/>
      <c r="H117" s="187"/>
      <c r="I117" s="187"/>
      <c r="J117" s="187"/>
      <c r="K117" s="187"/>
      <c r="L117" s="187"/>
      <c r="M117" s="187"/>
      <c r="N117" s="187"/>
      <c r="O117" s="187"/>
      <c r="P117" s="187"/>
      <c r="Q117" s="187"/>
      <c r="R117" s="187"/>
      <c r="S117" s="187"/>
      <c r="T117" s="187"/>
      <c r="U117" s="187"/>
      <c r="V117" s="187"/>
      <c r="W117" s="187"/>
      <c r="X117" s="187"/>
      <c r="Y117" s="187"/>
      <c r="Z117" s="187"/>
    </row>
    <row r="118" ht="15.75" customHeight="1">
      <c r="A118" s="203"/>
      <c r="B118" s="187"/>
      <c r="C118" s="187"/>
      <c r="D118" s="187"/>
      <c r="E118" s="187"/>
      <c r="F118" s="187"/>
      <c r="G118" s="187"/>
      <c r="H118" s="187"/>
      <c r="I118" s="187"/>
      <c r="J118" s="187"/>
      <c r="K118" s="187"/>
      <c r="L118" s="187"/>
      <c r="M118" s="187"/>
      <c r="N118" s="187"/>
      <c r="O118" s="187"/>
      <c r="P118" s="187"/>
      <c r="Q118" s="187"/>
      <c r="R118" s="187"/>
      <c r="S118" s="187"/>
      <c r="T118" s="187"/>
      <c r="U118" s="187"/>
      <c r="V118" s="187"/>
      <c r="W118" s="187"/>
      <c r="X118" s="187"/>
      <c r="Y118" s="187"/>
      <c r="Z118" s="187"/>
    </row>
    <row r="119" ht="15.75" customHeight="1">
      <c r="A119" s="203"/>
      <c r="B119" s="187"/>
      <c r="C119" s="187"/>
      <c r="D119" s="187"/>
      <c r="E119" s="187"/>
      <c r="F119" s="187"/>
      <c r="G119" s="187"/>
      <c r="H119" s="187"/>
      <c r="I119" s="187"/>
      <c r="J119" s="187"/>
      <c r="K119" s="187"/>
      <c r="L119" s="187"/>
      <c r="M119" s="187"/>
      <c r="N119" s="187"/>
      <c r="O119" s="187"/>
      <c r="P119" s="187"/>
      <c r="Q119" s="187"/>
      <c r="R119" s="187"/>
      <c r="S119" s="187"/>
      <c r="T119" s="187"/>
      <c r="U119" s="187"/>
      <c r="V119" s="187"/>
      <c r="W119" s="187"/>
      <c r="X119" s="187"/>
      <c r="Y119" s="187"/>
      <c r="Z119" s="187"/>
    </row>
    <row r="120" ht="15.75" customHeight="1">
      <c r="A120" s="203"/>
      <c r="B120" s="187"/>
      <c r="C120" s="187"/>
      <c r="D120" s="187"/>
      <c r="E120" s="187"/>
      <c r="F120" s="187"/>
      <c r="G120" s="187"/>
      <c r="H120" s="187"/>
      <c r="I120" s="187"/>
      <c r="J120" s="187"/>
      <c r="K120" s="187"/>
      <c r="L120" s="187"/>
      <c r="M120" s="187"/>
      <c r="N120" s="187"/>
      <c r="O120" s="187"/>
      <c r="P120" s="187"/>
      <c r="Q120" s="187"/>
      <c r="R120" s="187"/>
      <c r="S120" s="187"/>
      <c r="T120" s="187"/>
      <c r="U120" s="187"/>
      <c r="V120" s="187"/>
      <c r="W120" s="187"/>
      <c r="X120" s="187"/>
      <c r="Y120" s="187"/>
      <c r="Z120" s="187"/>
    </row>
    <row r="121" ht="15.75" customHeight="1">
      <c r="A121" s="203"/>
      <c r="B121" s="187"/>
      <c r="C121" s="187"/>
      <c r="D121" s="187"/>
      <c r="E121" s="187"/>
      <c r="F121" s="187"/>
      <c r="G121" s="187"/>
      <c r="H121" s="187"/>
      <c r="I121" s="187"/>
      <c r="J121" s="187"/>
      <c r="K121" s="187"/>
      <c r="L121" s="187"/>
      <c r="M121" s="187"/>
      <c r="N121" s="187"/>
      <c r="O121" s="187"/>
      <c r="P121" s="187"/>
      <c r="Q121" s="187"/>
      <c r="R121" s="187"/>
      <c r="S121" s="187"/>
      <c r="T121" s="187"/>
      <c r="U121" s="187"/>
      <c r="V121" s="187"/>
      <c r="W121" s="187"/>
      <c r="X121" s="187"/>
      <c r="Y121" s="187"/>
      <c r="Z121" s="187"/>
    </row>
    <row r="122" ht="15.75" customHeight="1">
      <c r="A122" s="203"/>
      <c r="B122" s="187"/>
      <c r="C122" s="187"/>
      <c r="D122" s="187"/>
      <c r="E122" s="187"/>
      <c r="F122" s="187"/>
      <c r="G122" s="187"/>
      <c r="H122" s="187"/>
      <c r="I122" s="187"/>
      <c r="J122" s="187"/>
      <c r="K122" s="187"/>
      <c r="L122" s="187"/>
      <c r="M122" s="187"/>
      <c r="N122" s="187"/>
      <c r="O122" s="187"/>
      <c r="P122" s="187"/>
      <c r="Q122" s="187"/>
      <c r="R122" s="187"/>
      <c r="S122" s="187"/>
      <c r="T122" s="187"/>
      <c r="U122" s="187"/>
      <c r="V122" s="187"/>
      <c r="W122" s="187"/>
      <c r="X122" s="187"/>
      <c r="Y122" s="187"/>
      <c r="Z122" s="187"/>
    </row>
    <row r="123" ht="15.75" customHeight="1">
      <c r="A123" s="203"/>
      <c r="B123" s="187"/>
      <c r="C123" s="187"/>
      <c r="D123" s="187"/>
      <c r="E123" s="187"/>
      <c r="F123" s="187"/>
      <c r="G123" s="187"/>
      <c r="H123" s="187"/>
      <c r="I123" s="187"/>
      <c r="J123" s="187"/>
      <c r="K123" s="187"/>
      <c r="L123" s="187"/>
      <c r="M123" s="187"/>
      <c r="N123" s="187"/>
      <c r="O123" s="187"/>
      <c r="P123" s="187"/>
      <c r="Q123" s="187"/>
      <c r="R123" s="187"/>
      <c r="S123" s="187"/>
      <c r="T123" s="187"/>
      <c r="U123" s="187"/>
      <c r="V123" s="187"/>
      <c r="W123" s="187"/>
      <c r="X123" s="187"/>
      <c r="Y123" s="187"/>
      <c r="Z123" s="187"/>
    </row>
    <row r="124" ht="15.75" customHeight="1">
      <c r="A124" s="203"/>
      <c r="B124" s="187"/>
      <c r="C124" s="187"/>
      <c r="D124" s="187"/>
      <c r="E124" s="187"/>
      <c r="F124" s="187"/>
      <c r="G124" s="187"/>
      <c r="H124" s="187"/>
      <c r="I124" s="187"/>
      <c r="J124" s="187"/>
      <c r="K124" s="187"/>
      <c r="L124" s="187"/>
      <c r="M124" s="187"/>
      <c r="N124" s="187"/>
      <c r="O124" s="187"/>
      <c r="P124" s="187"/>
      <c r="Q124" s="187"/>
      <c r="R124" s="187"/>
      <c r="S124" s="187"/>
      <c r="T124" s="187"/>
      <c r="U124" s="187"/>
      <c r="V124" s="187"/>
      <c r="W124" s="187"/>
      <c r="X124" s="187"/>
      <c r="Y124" s="187"/>
      <c r="Z124" s="187"/>
    </row>
    <row r="125" ht="15.75" customHeight="1">
      <c r="A125" s="203"/>
      <c r="B125" s="187"/>
      <c r="C125" s="187"/>
      <c r="D125" s="187"/>
      <c r="E125" s="187"/>
      <c r="F125" s="187"/>
      <c r="G125" s="187"/>
      <c r="H125" s="187"/>
      <c r="I125" s="187"/>
      <c r="J125" s="187"/>
      <c r="K125" s="187"/>
      <c r="L125" s="187"/>
      <c r="M125" s="187"/>
      <c r="N125" s="187"/>
      <c r="O125" s="187"/>
      <c r="P125" s="187"/>
      <c r="Q125" s="187"/>
      <c r="R125" s="187"/>
      <c r="S125" s="187"/>
      <c r="T125" s="187"/>
      <c r="U125" s="187"/>
      <c r="V125" s="187"/>
      <c r="W125" s="187"/>
      <c r="X125" s="187"/>
      <c r="Y125" s="187"/>
      <c r="Z125" s="187"/>
    </row>
    <row r="126" ht="15.75" customHeight="1">
      <c r="A126" s="203"/>
      <c r="B126" s="187"/>
      <c r="C126" s="187"/>
      <c r="D126" s="187"/>
      <c r="E126" s="187"/>
      <c r="F126" s="187"/>
      <c r="G126" s="187"/>
      <c r="H126" s="187"/>
      <c r="I126" s="187"/>
      <c r="J126" s="187"/>
      <c r="K126" s="187"/>
      <c r="L126" s="187"/>
      <c r="M126" s="187"/>
      <c r="N126" s="187"/>
      <c r="O126" s="187"/>
      <c r="P126" s="187"/>
      <c r="Q126" s="187"/>
      <c r="R126" s="187"/>
      <c r="S126" s="187"/>
      <c r="T126" s="187"/>
      <c r="U126" s="187"/>
      <c r="V126" s="187"/>
      <c r="W126" s="187"/>
      <c r="X126" s="187"/>
      <c r="Y126" s="187"/>
      <c r="Z126" s="187"/>
    </row>
    <row r="127" ht="15.75" customHeight="1">
      <c r="A127" s="203"/>
      <c r="B127" s="187"/>
      <c r="C127" s="187"/>
      <c r="D127" s="187"/>
      <c r="E127" s="187"/>
      <c r="F127" s="187"/>
      <c r="G127" s="187"/>
      <c r="H127" s="187"/>
      <c r="I127" s="187"/>
      <c r="J127" s="187"/>
      <c r="K127" s="187"/>
      <c r="L127" s="187"/>
      <c r="M127" s="187"/>
      <c r="N127" s="187"/>
      <c r="O127" s="187"/>
      <c r="P127" s="187"/>
      <c r="Q127" s="187"/>
      <c r="R127" s="187"/>
      <c r="S127" s="187"/>
      <c r="T127" s="187"/>
      <c r="U127" s="187"/>
      <c r="V127" s="187"/>
      <c r="W127" s="187"/>
      <c r="X127" s="187"/>
      <c r="Y127" s="187"/>
      <c r="Z127" s="187"/>
    </row>
    <row r="128" ht="15.75" customHeight="1">
      <c r="A128" s="203"/>
      <c r="B128" s="187"/>
      <c r="C128" s="187"/>
      <c r="D128" s="187"/>
      <c r="E128" s="187"/>
      <c r="F128" s="187"/>
      <c r="G128" s="187"/>
      <c r="H128" s="187"/>
      <c r="I128" s="187"/>
      <c r="J128" s="187"/>
      <c r="K128" s="187"/>
      <c r="L128" s="187"/>
      <c r="M128" s="187"/>
      <c r="N128" s="187"/>
      <c r="O128" s="187"/>
      <c r="P128" s="187"/>
      <c r="Q128" s="187"/>
      <c r="R128" s="187"/>
      <c r="S128" s="187"/>
      <c r="T128" s="187"/>
      <c r="U128" s="187"/>
      <c r="V128" s="187"/>
      <c r="W128" s="187"/>
      <c r="X128" s="187"/>
      <c r="Y128" s="187"/>
      <c r="Z128" s="187"/>
    </row>
    <row r="129" ht="15.75" customHeight="1">
      <c r="A129" s="203"/>
      <c r="B129" s="187"/>
      <c r="C129" s="187"/>
      <c r="D129" s="187"/>
      <c r="E129" s="187"/>
      <c r="F129" s="187"/>
      <c r="G129" s="187"/>
      <c r="H129" s="187"/>
      <c r="I129" s="187"/>
      <c r="J129" s="187"/>
      <c r="K129" s="187"/>
      <c r="L129" s="187"/>
      <c r="M129" s="187"/>
      <c r="N129" s="187"/>
      <c r="O129" s="187"/>
      <c r="P129" s="187"/>
      <c r="Q129" s="187"/>
      <c r="R129" s="187"/>
      <c r="S129" s="187"/>
      <c r="T129" s="187"/>
      <c r="U129" s="187"/>
      <c r="V129" s="187"/>
      <c r="W129" s="187"/>
      <c r="X129" s="187"/>
      <c r="Y129" s="187"/>
      <c r="Z129" s="187"/>
    </row>
    <row r="130" ht="15.75" customHeight="1">
      <c r="A130" s="203"/>
      <c r="B130" s="187"/>
      <c r="C130" s="187"/>
      <c r="D130" s="187"/>
      <c r="E130" s="187"/>
      <c r="F130" s="187"/>
      <c r="G130" s="187"/>
      <c r="H130" s="187"/>
      <c r="I130" s="187"/>
      <c r="J130" s="187"/>
      <c r="K130" s="187"/>
      <c r="L130" s="187"/>
      <c r="M130" s="187"/>
      <c r="N130" s="187"/>
      <c r="O130" s="187"/>
      <c r="P130" s="187"/>
      <c r="Q130" s="187"/>
      <c r="R130" s="187"/>
      <c r="S130" s="187"/>
      <c r="T130" s="187"/>
      <c r="U130" s="187"/>
      <c r="V130" s="187"/>
      <c r="W130" s="187"/>
      <c r="X130" s="187"/>
      <c r="Y130" s="187"/>
      <c r="Z130" s="187"/>
    </row>
    <row r="131" ht="15.75" customHeight="1">
      <c r="A131" s="203"/>
      <c r="B131" s="187"/>
      <c r="C131" s="187"/>
      <c r="D131" s="187"/>
      <c r="E131" s="187"/>
      <c r="F131" s="187"/>
      <c r="G131" s="187"/>
      <c r="H131" s="187"/>
      <c r="I131" s="187"/>
      <c r="J131" s="187"/>
      <c r="K131" s="187"/>
      <c r="L131" s="187"/>
      <c r="M131" s="187"/>
      <c r="N131" s="187"/>
      <c r="O131" s="187"/>
      <c r="P131" s="187"/>
      <c r="Q131" s="187"/>
      <c r="R131" s="187"/>
      <c r="S131" s="187"/>
      <c r="T131" s="187"/>
      <c r="U131" s="187"/>
      <c r="V131" s="187"/>
      <c r="W131" s="187"/>
      <c r="X131" s="187"/>
      <c r="Y131" s="187"/>
      <c r="Z131" s="187"/>
    </row>
    <row r="132" ht="15.75" customHeight="1">
      <c r="A132" s="203"/>
      <c r="B132" s="187"/>
      <c r="C132" s="187"/>
      <c r="D132" s="187"/>
      <c r="E132" s="187"/>
      <c r="F132" s="187"/>
      <c r="G132" s="187"/>
      <c r="H132" s="187"/>
      <c r="I132" s="187"/>
      <c r="J132" s="187"/>
      <c r="K132" s="187"/>
      <c r="L132" s="187"/>
      <c r="M132" s="187"/>
      <c r="N132" s="187"/>
      <c r="O132" s="187"/>
      <c r="P132" s="187"/>
      <c r="Q132" s="187"/>
      <c r="R132" s="187"/>
      <c r="S132" s="187"/>
      <c r="T132" s="187"/>
      <c r="U132" s="187"/>
      <c r="V132" s="187"/>
      <c r="W132" s="187"/>
      <c r="X132" s="187"/>
      <c r="Y132" s="187"/>
      <c r="Z132" s="187"/>
    </row>
    <row r="133" ht="15.75" customHeight="1">
      <c r="A133" s="203"/>
      <c r="B133" s="187"/>
      <c r="C133" s="187"/>
      <c r="D133" s="187"/>
      <c r="E133" s="187"/>
      <c r="F133" s="187"/>
      <c r="G133" s="187"/>
      <c r="H133" s="187"/>
      <c r="I133" s="187"/>
      <c r="J133" s="187"/>
      <c r="K133" s="187"/>
      <c r="L133" s="187"/>
      <c r="M133" s="187"/>
      <c r="N133" s="187"/>
      <c r="O133" s="187"/>
      <c r="P133" s="187"/>
      <c r="Q133" s="187"/>
      <c r="R133" s="187"/>
      <c r="S133" s="187"/>
      <c r="T133" s="187"/>
      <c r="U133" s="187"/>
      <c r="V133" s="187"/>
      <c r="W133" s="187"/>
      <c r="X133" s="187"/>
      <c r="Y133" s="187"/>
      <c r="Z133" s="187"/>
    </row>
    <row r="134" ht="15.75" customHeight="1">
      <c r="A134" s="203"/>
      <c r="B134" s="187"/>
      <c r="C134" s="187"/>
      <c r="D134" s="187"/>
      <c r="E134" s="187"/>
      <c r="F134" s="187"/>
      <c r="G134" s="187"/>
      <c r="H134" s="187"/>
      <c r="I134" s="187"/>
      <c r="J134" s="187"/>
      <c r="K134" s="187"/>
      <c r="L134" s="187"/>
      <c r="M134" s="187"/>
      <c r="N134" s="187"/>
      <c r="O134" s="187"/>
      <c r="P134" s="187"/>
      <c r="Q134" s="187"/>
      <c r="R134" s="187"/>
      <c r="S134" s="187"/>
      <c r="T134" s="187"/>
      <c r="U134" s="187"/>
      <c r="V134" s="187"/>
      <c r="W134" s="187"/>
      <c r="X134" s="187"/>
      <c r="Y134" s="187"/>
      <c r="Z134" s="187"/>
    </row>
    <row r="135" ht="15.75" customHeight="1">
      <c r="A135" s="203"/>
      <c r="B135" s="187"/>
      <c r="C135" s="187"/>
      <c r="D135" s="187"/>
      <c r="E135" s="187"/>
      <c r="F135" s="187"/>
      <c r="G135" s="187"/>
      <c r="H135" s="187"/>
      <c r="I135" s="187"/>
      <c r="J135" s="187"/>
      <c r="K135" s="187"/>
      <c r="L135" s="187"/>
      <c r="M135" s="187"/>
      <c r="N135" s="187"/>
      <c r="O135" s="187"/>
      <c r="P135" s="187"/>
      <c r="Q135" s="187"/>
      <c r="R135" s="187"/>
      <c r="S135" s="187"/>
      <c r="T135" s="187"/>
      <c r="U135" s="187"/>
      <c r="V135" s="187"/>
      <c r="W135" s="187"/>
      <c r="X135" s="187"/>
      <c r="Y135" s="187"/>
      <c r="Z135" s="187"/>
    </row>
    <row r="136" ht="15.75" customHeight="1">
      <c r="A136" s="203"/>
      <c r="B136" s="187"/>
      <c r="C136" s="187"/>
      <c r="D136" s="187"/>
      <c r="E136" s="187"/>
      <c r="F136" s="187"/>
      <c r="G136" s="187"/>
      <c r="H136" s="187"/>
      <c r="I136" s="187"/>
      <c r="J136" s="187"/>
      <c r="K136" s="187"/>
      <c r="L136" s="187"/>
      <c r="M136" s="187"/>
      <c r="N136" s="187"/>
      <c r="O136" s="187"/>
      <c r="P136" s="187"/>
      <c r="Q136" s="187"/>
      <c r="R136" s="187"/>
      <c r="S136" s="187"/>
      <c r="T136" s="187"/>
      <c r="U136" s="187"/>
      <c r="V136" s="187"/>
      <c r="W136" s="187"/>
      <c r="X136" s="187"/>
      <c r="Y136" s="187"/>
      <c r="Z136" s="187"/>
    </row>
    <row r="137" ht="15.75" customHeight="1">
      <c r="A137" s="203"/>
      <c r="B137" s="187"/>
      <c r="C137" s="187"/>
      <c r="D137" s="187"/>
      <c r="E137" s="187"/>
      <c r="F137" s="187"/>
      <c r="G137" s="187"/>
      <c r="H137" s="187"/>
      <c r="I137" s="187"/>
      <c r="J137" s="187"/>
      <c r="K137" s="187"/>
      <c r="L137" s="187"/>
      <c r="M137" s="187"/>
      <c r="N137" s="187"/>
      <c r="O137" s="187"/>
      <c r="P137" s="187"/>
      <c r="Q137" s="187"/>
      <c r="R137" s="187"/>
      <c r="S137" s="187"/>
      <c r="T137" s="187"/>
      <c r="U137" s="187"/>
      <c r="V137" s="187"/>
      <c r="W137" s="187"/>
      <c r="X137" s="187"/>
      <c r="Y137" s="187"/>
      <c r="Z137" s="187"/>
    </row>
    <row r="138" ht="15.75" customHeight="1">
      <c r="A138" s="203"/>
      <c r="B138" s="187"/>
      <c r="C138" s="187"/>
      <c r="D138" s="187"/>
      <c r="E138" s="187"/>
      <c r="F138" s="187"/>
      <c r="G138" s="187"/>
      <c r="H138" s="187"/>
      <c r="I138" s="187"/>
      <c r="J138" s="187"/>
      <c r="K138" s="187"/>
      <c r="L138" s="187"/>
      <c r="M138" s="187"/>
      <c r="N138" s="187"/>
      <c r="O138" s="187"/>
      <c r="P138" s="187"/>
      <c r="Q138" s="187"/>
      <c r="R138" s="187"/>
      <c r="S138" s="187"/>
      <c r="T138" s="187"/>
      <c r="U138" s="187"/>
      <c r="V138" s="187"/>
      <c r="W138" s="187"/>
      <c r="X138" s="187"/>
      <c r="Y138" s="187"/>
      <c r="Z138" s="187"/>
    </row>
    <row r="139" ht="15.75" customHeight="1">
      <c r="A139" s="203"/>
      <c r="B139" s="187"/>
      <c r="C139" s="187"/>
      <c r="D139" s="187"/>
      <c r="E139" s="187"/>
      <c r="F139" s="187"/>
      <c r="G139" s="187"/>
      <c r="H139" s="187"/>
      <c r="I139" s="187"/>
      <c r="J139" s="187"/>
      <c r="K139" s="187"/>
      <c r="L139" s="187"/>
      <c r="M139" s="187"/>
      <c r="N139" s="187"/>
      <c r="O139" s="187"/>
      <c r="P139" s="187"/>
      <c r="Q139" s="187"/>
      <c r="R139" s="187"/>
      <c r="S139" s="187"/>
      <c r="T139" s="187"/>
      <c r="U139" s="187"/>
      <c r="V139" s="187"/>
      <c r="W139" s="187"/>
      <c r="X139" s="187"/>
      <c r="Y139" s="187"/>
      <c r="Z139" s="187"/>
    </row>
    <row r="140" ht="15.75" customHeight="1">
      <c r="A140" s="203"/>
      <c r="B140" s="187"/>
      <c r="C140" s="187"/>
      <c r="D140" s="187"/>
      <c r="E140" s="187"/>
      <c r="F140" s="187"/>
      <c r="G140" s="187"/>
      <c r="H140" s="187"/>
      <c r="I140" s="187"/>
      <c r="J140" s="187"/>
      <c r="K140" s="187"/>
      <c r="L140" s="187"/>
      <c r="M140" s="187"/>
      <c r="N140" s="187"/>
      <c r="O140" s="187"/>
      <c r="P140" s="187"/>
      <c r="Q140" s="187"/>
      <c r="R140" s="187"/>
      <c r="S140" s="187"/>
      <c r="T140" s="187"/>
      <c r="U140" s="187"/>
      <c r="V140" s="187"/>
      <c r="W140" s="187"/>
      <c r="X140" s="187"/>
      <c r="Y140" s="187"/>
      <c r="Z140" s="187"/>
    </row>
    <row r="141" ht="15.75" customHeight="1">
      <c r="A141" s="203"/>
      <c r="B141" s="187"/>
      <c r="C141" s="187"/>
      <c r="D141" s="187"/>
      <c r="E141" s="187"/>
      <c r="F141" s="187"/>
      <c r="G141" s="187"/>
      <c r="H141" s="187"/>
      <c r="I141" s="187"/>
      <c r="J141" s="187"/>
      <c r="K141" s="187"/>
      <c r="L141" s="187"/>
      <c r="M141" s="187"/>
      <c r="N141" s="187"/>
      <c r="O141" s="187"/>
      <c r="P141" s="187"/>
      <c r="Q141" s="187"/>
      <c r="R141" s="187"/>
      <c r="S141" s="187"/>
      <c r="T141" s="187"/>
      <c r="U141" s="187"/>
      <c r="V141" s="187"/>
      <c r="W141" s="187"/>
      <c r="X141" s="187"/>
      <c r="Y141" s="187"/>
      <c r="Z141" s="187"/>
    </row>
    <row r="142" ht="15.75" customHeight="1">
      <c r="A142" s="203"/>
      <c r="B142" s="187"/>
      <c r="C142" s="187"/>
      <c r="D142" s="187"/>
      <c r="E142" s="187"/>
      <c r="F142" s="187"/>
      <c r="G142" s="187"/>
      <c r="H142" s="187"/>
      <c r="I142" s="187"/>
      <c r="J142" s="187"/>
      <c r="K142" s="187"/>
      <c r="L142" s="187"/>
      <c r="M142" s="187"/>
      <c r="N142" s="187"/>
      <c r="O142" s="187"/>
      <c r="P142" s="187"/>
      <c r="Q142" s="187"/>
      <c r="R142" s="187"/>
      <c r="S142" s="187"/>
      <c r="T142" s="187"/>
      <c r="U142" s="187"/>
      <c r="V142" s="187"/>
      <c r="W142" s="187"/>
      <c r="X142" s="187"/>
      <c r="Y142" s="187"/>
      <c r="Z142" s="187"/>
    </row>
    <row r="143" ht="15.75" customHeight="1">
      <c r="A143" s="203"/>
      <c r="B143" s="187"/>
      <c r="C143" s="187"/>
      <c r="D143" s="187"/>
      <c r="E143" s="187"/>
      <c r="F143" s="187"/>
      <c r="G143" s="187"/>
      <c r="H143" s="187"/>
      <c r="I143" s="187"/>
      <c r="J143" s="187"/>
      <c r="K143" s="187"/>
      <c r="L143" s="187"/>
      <c r="M143" s="187"/>
      <c r="N143" s="187"/>
      <c r="O143" s="187"/>
      <c r="P143" s="187"/>
      <c r="Q143" s="187"/>
      <c r="R143" s="187"/>
      <c r="S143" s="187"/>
      <c r="T143" s="187"/>
      <c r="U143" s="187"/>
      <c r="V143" s="187"/>
      <c r="W143" s="187"/>
      <c r="X143" s="187"/>
      <c r="Y143" s="187"/>
      <c r="Z143" s="187"/>
    </row>
    <row r="144" ht="15.75" customHeight="1">
      <c r="A144" s="203"/>
      <c r="B144" s="187"/>
      <c r="C144" s="187"/>
      <c r="D144" s="187"/>
      <c r="E144" s="187"/>
      <c r="F144" s="187"/>
      <c r="G144" s="187"/>
      <c r="H144" s="187"/>
      <c r="I144" s="187"/>
      <c r="J144" s="187"/>
      <c r="K144" s="187"/>
      <c r="L144" s="187"/>
      <c r="M144" s="187"/>
      <c r="N144" s="187"/>
      <c r="O144" s="187"/>
      <c r="P144" s="187"/>
      <c r="Q144" s="187"/>
      <c r="R144" s="187"/>
      <c r="S144" s="187"/>
      <c r="T144" s="187"/>
      <c r="U144" s="187"/>
      <c r="V144" s="187"/>
      <c r="W144" s="187"/>
      <c r="X144" s="187"/>
      <c r="Y144" s="187"/>
      <c r="Z144" s="187"/>
    </row>
    <row r="145" ht="15.75" customHeight="1">
      <c r="A145" s="203"/>
      <c r="B145" s="187"/>
      <c r="C145" s="187"/>
      <c r="D145" s="187"/>
      <c r="E145" s="187"/>
      <c r="F145" s="187"/>
      <c r="G145" s="187"/>
      <c r="H145" s="187"/>
      <c r="I145" s="187"/>
      <c r="J145" s="187"/>
      <c r="K145" s="187"/>
      <c r="L145" s="187"/>
      <c r="M145" s="187"/>
      <c r="N145" s="187"/>
      <c r="O145" s="187"/>
      <c r="P145" s="187"/>
      <c r="Q145" s="187"/>
      <c r="R145" s="187"/>
      <c r="S145" s="187"/>
      <c r="T145" s="187"/>
      <c r="U145" s="187"/>
      <c r="V145" s="187"/>
      <c r="W145" s="187"/>
      <c r="X145" s="187"/>
      <c r="Y145" s="187"/>
      <c r="Z145" s="187"/>
    </row>
    <row r="146" ht="15.75" customHeight="1">
      <c r="A146" s="203"/>
      <c r="B146" s="187"/>
      <c r="C146" s="187"/>
      <c r="D146" s="187"/>
      <c r="E146" s="187"/>
      <c r="F146" s="187"/>
      <c r="G146" s="187"/>
      <c r="H146" s="187"/>
      <c r="I146" s="187"/>
      <c r="J146" s="187"/>
      <c r="K146" s="187"/>
      <c r="L146" s="187"/>
      <c r="M146" s="187"/>
      <c r="N146" s="187"/>
      <c r="O146" s="187"/>
      <c r="P146" s="187"/>
      <c r="Q146" s="187"/>
      <c r="R146" s="187"/>
      <c r="S146" s="187"/>
      <c r="T146" s="187"/>
      <c r="U146" s="187"/>
      <c r="V146" s="187"/>
      <c r="W146" s="187"/>
      <c r="X146" s="187"/>
      <c r="Y146" s="187"/>
      <c r="Z146" s="187"/>
    </row>
    <row r="147" ht="15.75" customHeight="1">
      <c r="A147" s="203"/>
      <c r="B147" s="187"/>
      <c r="C147" s="187"/>
      <c r="D147" s="187"/>
      <c r="E147" s="187"/>
      <c r="F147" s="187"/>
      <c r="G147" s="187"/>
      <c r="H147" s="187"/>
      <c r="I147" s="187"/>
      <c r="J147" s="187"/>
      <c r="K147" s="187"/>
      <c r="L147" s="187"/>
      <c r="M147" s="187"/>
      <c r="N147" s="187"/>
      <c r="O147" s="187"/>
      <c r="P147" s="187"/>
      <c r="Q147" s="187"/>
      <c r="R147" s="187"/>
      <c r="S147" s="187"/>
      <c r="T147" s="187"/>
      <c r="U147" s="187"/>
      <c r="V147" s="187"/>
      <c r="W147" s="187"/>
      <c r="X147" s="187"/>
      <c r="Y147" s="187"/>
      <c r="Z147" s="187"/>
    </row>
    <row r="148" ht="15.75" customHeight="1">
      <c r="A148" s="203"/>
      <c r="B148" s="187"/>
      <c r="C148" s="187"/>
      <c r="D148" s="187"/>
      <c r="E148" s="187"/>
      <c r="F148" s="187"/>
      <c r="G148" s="187"/>
      <c r="H148" s="187"/>
      <c r="I148" s="187"/>
      <c r="J148" s="187"/>
      <c r="K148" s="187"/>
      <c r="L148" s="187"/>
      <c r="M148" s="187"/>
      <c r="N148" s="187"/>
      <c r="O148" s="187"/>
      <c r="P148" s="187"/>
      <c r="Q148" s="187"/>
      <c r="R148" s="187"/>
      <c r="S148" s="187"/>
      <c r="T148" s="187"/>
      <c r="U148" s="187"/>
      <c r="V148" s="187"/>
      <c r="W148" s="187"/>
      <c r="X148" s="187"/>
      <c r="Y148" s="187"/>
      <c r="Z148" s="187"/>
    </row>
    <row r="149" ht="15.75" customHeight="1">
      <c r="A149" s="203"/>
      <c r="B149" s="187"/>
      <c r="C149" s="187"/>
      <c r="D149" s="187"/>
      <c r="E149" s="187"/>
      <c r="F149" s="187"/>
      <c r="G149" s="187"/>
      <c r="H149" s="187"/>
      <c r="I149" s="187"/>
      <c r="J149" s="187"/>
      <c r="K149" s="187"/>
      <c r="L149" s="187"/>
      <c r="M149" s="187"/>
      <c r="N149" s="187"/>
      <c r="O149" s="187"/>
      <c r="P149" s="187"/>
      <c r="Q149" s="187"/>
      <c r="R149" s="187"/>
      <c r="S149" s="187"/>
      <c r="T149" s="187"/>
      <c r="U149" s="187"/>
      <c r="V149" s="187"/>
      <c r="W149" s="187"/>
      <c r="X149" s="187"/>
      <c r="Y149" s="187"/>
      <c r="Z149" s="187"/>
    </row>
    <row r="150" ht="15.75" customHeight="1">
      <c r="A150" s="203"/>
      <c r="B150" s="187"/>
      <c r="C150" s="187"/>
      <c r="D150" s="187"/>
      <c r="E150" s="187"/>
      <c r="F150" s="187"/>
      <c r="G150" s="187"/>
      <c r="H150" s="187"/>
      <c r="I150" s="187"/>
      <c r="J150" s="187"/>
      <c r="K150" s="187"/>
      <c r="L150" s="187"/>
      <c r="M150" s="187"/>
      <c r="N150" s="187"/>
      <c r="O150" s="187"/>
      <c r="P150" s="187"/>
      <c r="Q150" s="187"/>
      <c r="R150" s="187"/>
      <c r="S150" s="187"/>
      <c r="T150" s="187"/>
      <c r="U150" s="187"/>
      <c r="V150" s="187"/>
      <c r="W150" s="187"/>
      <c r="X150" s="187"/>
      <c r="Y150" s="187"/>
      <c r="Z150" s="187"/>
    </row>
    <row r="151" ht="15.75" customHeight="1">
      <c r="A151" s="203"/>
      <c r="B151" s="187"/>
      <c r="C151" s="187"/>
      <c r="D151" s="187"/>
      <c r="E151" s="187"/>
      <c r="F151" s="187"/>
      <c r="G151" s="187"/>
      <c r="H151" s="187"/>
      <c r="I151" s="187"/>
      <c r="J151" s="187"/>
      <c r="K151" s="187"/>
      <c r="L151" s="187"/>
      <c r="M151" s="187"/>
      <c r="N151" s="187"/>
      <c r="O151" s="187"/>
      <c r="P151" s="187"/>
      <c r="Q151" s="187"/>
      <c r="R151" s="187"/>
      <c r="S151" s="187"/>
      <c r="T151" s="187"/>
      <c r="U151" s="187"/>
      <c r="V151" s="187"/>
      <c r="W151" s="187"/>
      <c r="X151" s="187"/>
      <c r="Y151" s="187"/>
      <c r="Z151" s="187"/>
    </row>
    <row r="152" ht="15.75" customHeight="1">
      <c r="A152" s="203"/>
      <c r="B152" s="187"/>
      <c r="C152" s="187"/>
      <c r="D152" s="187"/>
      <c r="E152" s="187"/>
      <c r="F152" s="187"/>
      <c r="G152" s="187"/>
      <c r="H152" s="187"/>
      <c r="I152" s="187"/>
      <c r="J152" s="187"/>
      <c r="K152" s="187"/>
      <c r="L152" s="187"/>
      <c r="M152" s="187"/>
      <c r="N152" s="187"/>
      <c r="O152" s="187"/>
      <c r="P152" s="187"/>
      <c r="Q152" s="187"/>
      <c r="R152" s="187"/>
      <c r="S152" s="187"/>
      <c r="T152" s="187"/>
      <c r="U152" s="187"/>
      <c r="V152" s="187"/>
      <c r="W152" s="187"/>
      <c r="X152" s="187"/>
      <c r="Y152" s="187"/>
      <c r="Z152" s="187"/>
    </row>
    <row r="153" ht="15.75" customHeight="1">
      <c r="A153" s="203"/>
      <c r="B153" s="187"/>
      <c r="C153" s="187"/>
      <c r="D153" s="187"/>
      <c r="E153" s="187"/>
      <c r="F153" s="187"/>
      <c r="G153" s="187"/>
      <c r="H153" s="187"/>
      <c r="I153" s="187"/>
      <c r="J153" s="187"/>
      <c r="K153" s="187"/>
      <c r="L153" s="187"/>
      <c r="M153" s="187"/>
      <c r="N153" s="187"/>
      <c r="O153" s="187"/>
      <c r="P153" s="187"/>
      <c r="Q153" s="187"/>
      <c r="R153" s="187"/>
      <c r="S153" s="187"/>
      <c r="T153" s="187"/>
      <c r="U153" s="187"/>
      <c r="V153" s="187"/>
      <c r="W153" s="187"/>
      <c r="X153" s="187"/>
      <c r="Y153" s="187"/>
      <c r="Z153" s="187"/>
    </row>
    <row r="154" ht="15.75" customHeight="1">
      <c r="A154" s="203"/>
      <c r="B154" s="187"/>
      <c r="C154" s="187"/>
      <c r="D154" s="187"/>
      <c r="E154" s="187"/>
      <c r="F154" s="187"/>
      <c r="G154" s="187"/>
      <c r="H154" s="187"/>
      <c r="I154" s="187"/>
      <c r="J154" s="187"/>
      <c r="K154" s="187"/>
      <c r="L154" s="187"/>
      <c r="M154" s="187"/>
      <c r="N154" s="187"/>
      <c r="O154" s="187"/>
      <c r="P154" s="187"/>
      <c r="Q154" s="187"/>
      <c r="R154" s="187"/>
      <c r="S154" s="187"/>
      <c r="T154" s="187"/>
      <c r="U154" s="187"/>
      <c r="V154" s="187"/>
      <c r="W154" s="187"/>
      <c r="X154" s="187"/>
      <c r="Y154" s="187"/>
      <c r="Z154" s="187"/>
    </row>
    <row r="155" ht="15.75" customHeight="1">
      <c r="A155" s="203"/>
      <c r="B155" s="187"/>
      <c r="C155" s="187"/>
      <c r="D155" s="187"/>
      <c r="E155" s="187"/>
      <c r="F155" s="187"/>
      <c r="G155" s="187"/>
      <c r="H155" s="187"/>
      <c r="I155" s="187"/>
      <c r="J155" s="187"/>
      <c r="K155" s="187"/>
      <c r="L155" s="187"/>
      <c r="M155" s="187"/>
      <c r="N155" s="187"/>
      <c r="O155" s="187"/>
      <c r="P155" s="187"/>
      <c r="Q155" s="187"/>
      <c r="R155" s="187"/>
      <c r="S155" s="187"/>
      <c r="T155" s="187"/>
      <c r="U155" s="187"/>
      <c r="V155" s="187"/>
      <c r="W155" s="187"/>
      <c r="X155" s="187"/>
      <c r="Y155" s="187"/>
      <c r="Z155" s="187"/>
    </row>
    <row r="156" ht="15.75" customHeight="1">
      <c r="A156" s="203"/>
      <c r="B156" s="187"/>
      <c r="C156" s="187"/>
      <c r="D156" s="187"/>
      <c r="E156" s="187"/>
      <c r="F156" s="187"/>
      <c r="G156" s="187"/>
      <c r="H156" s="187"/>
      <c r="I156" s="187"/>
      <c r="J156" s="187"/>
      <c r="K156" s="187"/>
      <c r="L156" s="187"/>
      <c r="M156" s="187"/>
      <c r="N156" s="187"/>
      <c r="O156" s="187"/>
      <c r="P156" s="187"/>
      <c r="Q156" s="187"/>
      <c r="R156" s="187"/>
      <c r="S156" s="187"/>
      <c r="T156" s="187"/>
      <c r="U156" s="187"/>
      <c r="V156" s="187"/>
      <c r="W156" s="187"/>
      <c r="X156" s="187"/>
      <c r="Y156" s="187"/>
      <c r="Z156" s="187"/>
    </row>
    <row r="157" ht="15.75" customHeight="1">
      <c r="A157" s="203"/>
      <c r="B157" s="187"/>
      <c r="C157" s="187"/>
      <c r="D157" s="187"/>
      <c r="E157" s="187"/>
      <c r="F157" s="187"/>
      <c r="G157" s="187"/>
      <c r="H157" s="187"/>
      <c r="I157" s="187"/>
      <c r="J157" s="187"/>
      <c r="K157" s="187"/>
      <c r="L157" s="187"/>
      <c r="M157" s="187"/>
      <c r="N157" s="187"/>
      <c r="O157" s="187"/>
      <c r="P157" s="187"/>
      <c r="Q157" s="187"/>
      <c r="R157" s="187"/>
      <c r="S157" s="187"/>
      <c r="T157" s="187"/>
      <c r="U157" s="187"/>
      <c r="V157" s="187"/>
      <c r="W157" s="187"/>
      <c r="X157" s="187"/>
      <c r="Y157" s="187"/>
      <c r="Z157" s="187"/>
    </row>
    <row r="158" ht="15.75" customHeight="1">
      <c r="A158" s="203"/>
      <c r="B158" s="187"/>
      <c r="C158" s="187"/>
      <c r="D158" s="187"/>
      <c r="E158" s="187"/>
      <c r="F158" s="187"/>
      <c r="G158" s="187"/>
      <c r="H158" s="187"/>
      <c r="I158" s="187"/>
      <c r="J158" s="187"/>
      <c r="K158" s="187"/>
      <c r="L158" s="187"/>
      <c r="M158" s="187"/>
      <c r="N158" s="187"/>
      <c r="O158" s="187"/>
      <c r="P158" s="187"/>
      <c r="Q158" s="187"/>
      <c r="R158" s="187"/>
      <c r="S158" s="187"/>
      <c r="T158" s="187"/>
      <c r="U158" s="187"/>
      <c r="V158" s="187"/>
      <c r="W158" s="187"/>
      <c r="X158" s="187"/>
      <c r="Y158" s="187"/>
      <c r="Z158" s="187"/>
    </row>
    <row r="159" ht="15.75" customHeight="1">
      <c r="A159" s="203"/>
      <c r="B159" s="187"/>
      <c r="C159" s="187"/>
      <c r="D159" s="187"/>
      <c r="E159" s="187"/>
      <c r="F159" s="187"/>
      <c r="G159" s="187"/>
      <c r="H159" s="187"/>
      <c r="I159" s="187"/>
      <c r="J159" s="187"/>
      <c r="K159" s="187"/>
      <c r="L159" s="187"/>
      <c r="M159" s="187"/>
      <c r="N159" s="187"/>
      <c r="O159" s="187"/>
      <c r="P159" s="187"/>
      <c r="Q159" s="187"/>
      <c r="R159" s="187"/>
      <c r="S159" s="187"/>
      <c r="T159" s="187"/>
      <c r="U159" s="187"/>
      <c r="V159" s="187"/>
      <c r="W159" s="187"/>
      <c r="X159" s="187"/>
      <c r="Y159" s="187"/>
      <c r="Z159" s="187"/>
    </row>
    <row r="160" ht="15.75" customHeight="1">
      <c r="A160" s="203"/>
      <c r="B160" s="187"/>
      <c r="C160" s="187"/>
      <c r="D160" s="187"/>
      <c r="E160" s="187"/>
      <c r="F160" s="187"/>
      <c r="G160" s="187"/>
      <c r="H160" s="187"/>
      <c r="I160" s="187"/>
      <c r="J160" s="187"/>
      <c r="K160" s="187"/>
      <c r="L160" s="187"/>
      <c r="M160" s="187"/>
      <c r="N160" s="187"/>
      <c r="O160" s="187"/>
      <c r="P160" s="187"/>
      <c r="Q160" s="187"/>
      <c r="R160" s="187"/>
      <c r="S160" s="187"/>
      <c r="T160" s="187"/>
      <c r="U160" s="187"/>
      <c r="V160" s="187"/>
      <c r="W160" s="187"/>
      <c r="X160" s="187"/>
      <c r="Y160" s="187"/>
      <c r="Z160" s="187"/>
    </row>
    <row r="161" ht="15.75" customHeight="1">
      <c r="A161" s="203"/>
      <c r="B161" s="187"/>
      <c r="C161" s="187"/>
      <c r="D161" s="187"/>
      <c r="E161" s="187"/>
      <c r="F161" s="187"/>
      <c r="G161" s="187"/>
      <c r="H161" s="187"/>
      <c r="I161" s="187"/>
      <c r="J161" s="187"/>
      <c r="K161" s="187"/>
      <c r="L161" s="187"/>
      <c r="M161" s="187"/>
      <c r="N161" s="187"/>
      <c r="O161" s="187"/>
      <c r="P161" s="187"/>
      <c r="Q161" s="187"/>
      <c r="R161" s="187"/>
      <c r="S161" s="187"/>
      <c r="T161" s="187"/>
      <c r="U161" s="187"/>
      <c r="V161" s="187"/>
      <c r="W161" s="187"/>
      <c r="X161" s="187"/>
      <c r="Y161" s="187"/>
      <c r="Z161" s="187"/>
    </row>
    <row r="162" ht="15.75" customHeight="1">
      <c r="A162" s="203"/>
      <c r="B162" s="187"/>
      <c r="C162" s="187"/>
      <c r="D162" s="187"/>
      <c r="E162" s="187"/>
      <c r="F162" s="187"/>
      <c r="G162" s="187"/>
      <c r="H162" s="187"/>
      <c r="I162" s="187"/>
      <c r="J162" s="187"/>
      <c r="K162" s="187"/>
      <c r="L162" s="187"/>
      <c r="M162" s="187"/>
      <c r="N162" s="187"/>
      <c r="O162" s="187"/>
      <c r="P162" s="187"/>
      <c r="Q162" s="187"/>
      <c r="R162" s="187"/>
      <c r="S162" s="187"/>
      <c r="T162" s="187"/>
      <c r="U162" s="187"/>
      <c r="V162" s="187"/>
      <c r="W162" s="187"/>
      <c r="X162" s="187"/>
      <c r="Y162" s="187"/>
      <c r="Z162" s="187"/>
    </row>
    <row r="163" ht="15.75" customHeight="1">
      <c r="A163" s="203"/>
      <c r="B163" s="187"/>
      <c r="C163" s="187"/>
      <c r="D163" s="187"/>
      <c r="E163" s="187"/>
      <c r="F163" s="187"/>
      <c r="G163" s="187"/>
      <c r="H163" s="187"/>
      <c r="I163" s="187"/>
      <c r="J163" s="187"/>
      <c r="K163" s="187"/>
      <c r="L163" s="187"/>
      <c r="M163" s="187"/>
      <c r="N163" s="187"/>
      <c r="O163" s="187"/>
      <c r="P163" s="187"/>
      <c r="Q163" s="187"/>
      <c r="R163" s="187"/>
      <c r="S163" s="187"/>
      <c r="T163" s="187"/>
      <c r="U163" s="187"/>
      <c r="V163" s="187"/>
      <c r="W163" s="187"/>
      <c r="X163" s="187"/>
      <c r="Y163" s="187"/>
      <c r="Z163" s="187"/>
    </row>
    <row r="164" ht="15.75" customHeight="1">
      <c r="A164" s="203"/>
      <c r="B164" s="187"/>
      <c r="C164" s="187"/>
      <c r="D164" s="187"/>
      <c r="E164" s="187"/>
      <c r="F164" s="187"/>
      <c r="G164" s="187"/>
      <c r="H164" s="187"/>
      <c r="I164" s="187"/>
      <c r="J164" s="187"/>
      <c r="K164" s="187"/>
      <c r="L164" s="187"/>
      <c r="M164" s="187"/>
      <c r="N164" s="187"/>
      <c r="O164" s="187"/>
      <c r="P164" s="187"/>
      <c r="Q164" s="187"/>
      <c r="R164" s="187"/>
      <c r="S164" s="187"/>
      <c r="T164" s="187"/>
      <c r="U164" s="187"/>
      <c r="V164" s="187"/>
      <c r="W164" s="187"/>
      <c r="X164" s="187"/>
      <c r="Y164" s="187"/>
      <c r="Z164" s="187"/>
    </row>
    <row r="165" ht="15.75" customHeight="1">
      <c r="A165" s="203"/>
      <c r="B165" s="187"/>
      <c r="C165" s="187"/>
      <c r="D165" s="187"/>
      <c r="E165" s="187"/>
      <c r="F165" s="187"/>
      <c r="G165" s="187"/>
      <c r="H165" s="187"/>
      <c r="I165" s="187"/>
      <c r="J165" s="187"/>
      <c r="K165" s="187"/>
      <c r="L165" s="187"/>
      <c r="M165" s="187"/>
      <c r="N165" s="187"/>
      <c r="O165" s="187"/>
      <c r="P165" s="187"/>
      <c r="Q165" s="187"/>
      <c r="R165" s="187"/>
      <c r="S165" s="187"/>
      <c r="T165" s="187"/>
      <c r="U165" s="187"/>
      <c r="V165" s="187"/>
      <c r="W165" s="187"/>
      <c r="X165" s="187"/>
      <c r="Y165" s="187"/>
      <c r="Z165" s="187"/>
    </row>
    <row r="166" ht="15.75" customHeight="1">
      <c r="A166" s="203"/>
      <c r="B166" s="187"/>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row>
    <row r="167" ht="15.75" customHeight="1">
      <c r="A167" s="203"/>
      <c r="B167" s="187"/>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row>
    <row r="168" ht="15.75" customHeight="1">
      <c r="A168" s="203"/>
      <c r="B168" s="18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row>
    <row r="169" ht="15.75" customHeight="1">
      <c r="A169" s="203"/>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row>
    <row r="170" ht="15.75" customHeight="1">
      <c r="A170" s="203"/>
      <c r="B170" s="187"/>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row>
    <row r="171" ht="15.75" customHeight="1">
      <c r="A171" s="203"/>
      <c r="B171" s="187"/>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row>
    <row r="172" ht="15.75" customHeight="1">
      <c r="A172" s="203"/>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row>
    <row r="173" ht="15.75" customHeight="1">
      <c r="A173" s="203"/>
      <c r="B173" s="187"/>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row>
    <row r="174" ht="15.75" customHeight="1">
      <c r="A174" s="203"/>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row>
    <row r="175" ht="15.75" customHeight="1">
      <c r="A175" s="203"/>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row>
    <row r="176" ht="15.75" customHeight="1">
      <c r="A176" s="203"/>
      <c r="B176" s="187"/>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row>
    <row r="177" ht="15.75" customHeight="1">
      <c r="A177" s="203"/>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row>
    <row r="178" ht="15.75" customHeight="1">
      <c r="A178" s="203"/>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row>
    <row r="179" ht="15.75" customHeight="1">
      <c r="A179" s="203"/>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row>
    <row r="180" ht="15.75" customHeight="1">
      <c r="A180" s="203"/>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row>
    <row r="181" ht="15.75" customHeight="1">
      <c r="A181" s="203"/>
      <c r="B181" s="187"/>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row>
    <row r="182" ht="15.75" customHeight="1">
      <c r="A182" s="203"/>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row>
    <row r="183" ht="15.75" customHeight="1">
      <c r="A183" s="203"/>
      <c r="B183" s="187"/>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row>
    <row r="184" ht="15.75" customHeight="1">
      <c r="A184" s="203"/>
      <c r="B184" s="187"/>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row>
    <row r="185" ht="15.75" customHeight="1">
      <c r="A185" s="203"/>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row>
    <row r="186" ht="15.75" customHeight="1">
      <c r="A186" s="203"/>
      <c r="B186" s="187"/>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row>
    <row r="187" ht="15.75" customHeight="1">
      <c r="A187" s="203"/>
      <c r="B187" s="187"/>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row>
    <row r="188" ht="15.75" customHeight="1">
      <c r="A188" s="203"/>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row>
    <row r="189" ht="15.75" customHeight="1">
      <c r="A189" s="203"/>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row>
    <row r="190" ht="15.75" customHeight="1">
      <c r="A190" s="203"/>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row>
    <row r="191" ht="15.75" customHeight="1">
      <c r="A191" s="203"/>
      <c r="B191" s="187"/>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row>
    <row r="192" ht="15.75" customHeight="1">
      <c r="A192" s="203"/>
      <c r="B192" s="187"/>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row>
    <row r="193" ht="15.75" customHeight="1">
      <c r="A193" s="203"/>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row>
    <row r="194" ht="15.75" customHeight="1">
      <c r="A194" s="203"/>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row>
    <row r="195" ht="15.75" customHeight="1">
      <c r="A195" s="203"/>
      <c r="B195" s="187"/>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row>
    <row r="196" ht="15.75" customHeight="1">
      <c r="A196" s="203"/>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row>
    <row r="197" ht="15.75" customHeight="1">
      <c r="A197" s="203"/>
      <c r="B197" s="187"/>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row>
    <row r="198" ht="15.75" customHeight="1">
      <c r="A198" s="203"/>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row>
    <row r="199" ht="15.75" customHeight="1">
      <c r="A199" s="203"/>
      <c r="B199" s="187"/>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row>
    <row r="200" ht="15.75" customHeight="1">
      <c r="A200" s="203"/>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row>
    <row r="201" ht="15.75" customHeight="1">
      <c r="A201" s="203"/>
      <c r="B201" s="187"/>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row>
    <row r="202" ht="15.75" customHeight="1">
      <c r="A202" s="203"/>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row>
    <row r="203" ht="15.75" customHeight="1">
      <c r="A203" s="203"/>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row>
    <row r="204" ht="15.75" customHeight="1">
      <c r="A204" s="203"/>
      <c r="B204" s="187"/>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row>
    <row r="205" ht="15.75" customHeight="1">
      <c r="A205" s="203"/>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row>
    <row r="206" ht="15.75" customHeight="1">
      <c r="A206" s="203"/>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row>
    <row r="207" ht="15.75" customHeight="1">
      <c r="A207" s="203"/>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row>
    <row r="208" ht="15.75" customHeight="1">
      <c r="A208" s="203"/>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row>
    <row r="209" ht="15.75" customHeight="1">
      <c r="A209" s="203"/>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row>
    <row r="210" ht="15.75" customHeight="1">
      <c r="A210" s="203"/>
      <c r="B210" s="187"/>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row>
    <row r="211" ht="15.75" customHeight="1">
      <c r="A211" s="203"/>
      <c r="B211" s="187"/>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row>
    <row r="212" ht="15.75" customHeight="1">
      <c r="A212" s="203"/>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row>
    <row r="213" ht="15.75" customHeight="1">
      <c r="A213" s="203"/>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row>
    <row r="214" ht="15.75" customHeight="1">
      <c r="A214" s="203"/>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row>
    <row r="215" ht="15.75" customHeight="1">
      <c r="A215" s="203"/>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row>
    <row r="216" ht="15.75" customHeight="1">
      <c r="A216" s="203"/>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row>
    <row r="217" ht="15.75" customHeight="1">
      <c r="A217" s="203"/>
      <c r="B217" s="187"/>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row>
    <row r="218" ht="15.75" customHeight="1">
      <c r="A218" s="203"/>
      <c r="B218" s="187"/>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row>
    <row r="219" ht="15.75" customHeight="1">
      <c r="A219" s="203"/>
      <c r="B219" s="187"/>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row>
    <row r="220" ht="15.75" customHeight="1">
      <c r="A220" s="203"/>
      <c r="B220" s="187"/>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row>
    <row r="221" ht="15.75" customHeight="1">
      <c r="A221" s="203"/>
      <c r="B221" s="187"/>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row>
    <row r="222" ht="15.75" customHeight="1">
      <c r="A222" s="203"/>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row>
    <row r="223" ht="15.75" customHeight="1">
      <c r="A223" s="203"/>
      <c r="B223" s="187"/>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row>
    <row r="224" ht="15.75" customHeight="1">
      <c r="A224" s="203"/>
      <c r="B224" s="187"/>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row>
    <row r="225" ht="15.75" customHeight="1">
      <c r="A225" s="203"/>
      <c r="B225" s="187"/>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row>
    <row r="226" ht="15.75" customHeight="1">
      <c r="A226" s="203"/>
      <c r="B226" s="187"/>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row>
    <row r="227" ht="15.75" customHeight="1">
      <c r="A227" s="203"/>
      <c r="B227" s="187"/>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row>
    <row r="228" ht="15.75" customHeight="1">
      <c r="A228" s="203"/>
      <c r="B228" s="187"/>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row>
    <row r="229" ht="15.75" customHeight="1">
      <c r="A229" s="203"/>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row>
    <row r="230" ht="15.75" customHeight="1">
      <c r="A230" s="203"/>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row>
    <row r="231" ht="15.75" customHeight="1">
      <c r="A231" s="203"/>
      <c r="B231" s="187"/>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row>
    <row r="232" ht="15.75" customHeight="1">
      <c r="A232" s="203"/>
      <c r="B232" s="187"/>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row>
    <row r="233" ht="15.75" customHeight="1">
      <c r="A233" s="203"/>
      <c r="B233" s="187"/>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row>
    <row r="234" ht="15.75" customHeight="1">
      <c r="A234" s="203"/>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row>
    <row r="235" ht="15.75" customHeight="1">
      <c r="A235" s="203"/>
      <c r="B235" s="187"/>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row>
    <row r="236" ht="15.75" customHeight="1">
      <c r="A236" s="203"/>
      <c r="B236" s="187"/>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row>
    <row r="237" ht="15.75" customHeight="1">
      <c r="A237" s="203"/>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row>
    <row r="238" ht="15.75" customHeight="1">
      <c r="A238" s="203"/>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row>
    <row r="239" ht="15.75" customHeight="1">
      <c r="A239" s="203"/>
      <c r="B239" s="187"/>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row>
    <row r="240" ht="15.75" customHeight="1">
      <c r="A240" s="203"/>
      <c r="B240" s="187"/>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row>
    <row r="241" ht="15.75" customHeight="1">
      <c r="A241" s="203"/>
      <c r="B241" s="187"/>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row>
    <row r="242" ht="15.75" customHeight="1">
      <c r="A242" s="203"/>
      <c r="B242" s="187"/>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row>
    <row r="243" ht="15.75" customHeight="1">
      <c r="A243" s="203"/>
      <c r="B243" s="187"/>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row>
    <row r="244" ht="15.75" customHeight="1">
      <c r="A244" s="203"/>
      <c r="B244" s="187"/>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row>
    <row r="245" ht="15.75" customHeight="1">
      <c r="A245" s="203"/>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row>
    <row r="246" ht="15.75" customHeight="1">
      <c r="A246" s="203"/>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row>
    <row r="247" ht="15.75" customHeight="1">
      <c r="A247" s="203"/>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row>
    <row r="248" ht="15.75" customHeight="1">
      <c r="A248" s="203"/>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row>
    <row r="249" ht="15.75" customHeight="1">
      <c r="A249" s="203"/>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row>
    <row r="250" ht="15.75" customHeight="1">
      <c r="A250" s="203"/>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row>
    <row r="251" ht="15.75" customHeight="1">
      <c r="A251" s="203"/>
      <c r="B251" s="187"/>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c r="Y251" s="187"/>
      <c r="Z251" s="187"/>
    </row>
    <row r="252" ht="15.75" customHeight="1">
      <c r="A252" s="203"/>
      <c r="B252" s="187"/>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row>
    <row r="253" ht="15.75" customHeight="1">
      <c r="A253" s="203"/>
      <c r="B253" s="187"/>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row>
    <row r="254" ht="15.75" customHeight="1">
      <c r="A254" s="203"/>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row>
    <row r="255" ht="15.75" customHeight="1">
      <c r="A255" s="203"/>
      <c r="B255" s="187"/>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c r="Y255" s="187"/>
      <c r="Z255" s="187"/>
    </row>
    <row r="256" ht="15.75" customHeight="1">
      <c r="A256" s="203"/>
      <c r="B256" s="187"/>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row>
    <row r="257" ht="15.75" customHeight="1">
      <c r="A257" s="203"/>
      <c r="B257" s="187"/>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row>
    <row r="258" ht="15.75" customHeight="1">
      <c r="A258" s="203"/>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row>
    <row r="259" ht="15.75" customHeight="1">
      <c r="A259" s="203"/>
      <c r="B259" s="187"/>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row>
    <row r="260" ht="15.75" customHeight="1">
      <c r="A260" s="203"/>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row>
    <row r="261" ht="15.75" customHeight="1">
      <c r="A261" s="203"/>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row>
    <row r="262" ht="15.75" customHeight="1">
      <c r="A262" s="203"/>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row>
    <row r="263" ht="15.75" customHeight="1">
      <c r="A263" s="203"/>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row>
    <row r="264" ht="15.75" customHeight="1">
      <c r="A264" s="203"/>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row>
    <row r="265" ht="15.75" customHeight="1">
      <c r="A265" s="203"/>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row>
    <row r="266" ht="15.75" customHeight="1">
      <c r="A266" s="203"/>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row>
    <row r="267" ht="15.75" customHeight="1">
      <c r="A267" s="203"/>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row>
    <row r="268" ht="15.75" customHeight="1">
      <c r="A268" s="203"/>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row>
    <row r="269" ht="15.75" customHeight="1">
      <c r="A269" s="203"/>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row>
    <row r="270" ht="15.75" customHeight="1">
      <c r="A270" s="203"/>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row>
    <row r="271" ht="15.75" customHeight="1">
      <c r="A271" s="203"/>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row>
    <row r="272" ht="15.75" customHeight="1">
      <c r="A272" s="203"/>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row>
    <row r="273" ht="15.75" customHeight="1">
      <c r="A273" s="203"/>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row>
    <row r="274" ht="15.75" customHeight="1">
      <c r="A274" s="203"/>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row>
    <row r="275" ht="15.75" customHeight="1">
      <c r="A275" s="203"/>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row>
    <row r="276" ht="15.75" customHeight="1">
      <c r="A276" s="203"/>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row>
    <row r="277" ht="15.75" customHeight="1">
      <c r="A277" s="203"/>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row>
    <row r="278" ht="15.75" customHeight="1">
      <c r="A278" s="203"/>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row>
    <row r="279" ht="15.75" customHeight="1">
      <c r="A279" s="203"/>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row>
    <row r="280" ht="15.75" customHeight="1">
      <c r="A280" s="203"/>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row>
    <row r="281" ht="15.75" customHeight="1">
      <c r="A281" s="203"/>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row>
    <row r="282" ht="15.75" customHeight="1">
      <c r="A282" s="203"/>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row>
    <row r="283" ht="15.75" customHeight="1">
      <c r="A283" s="203"/>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row>
    <row r="284" ht="15.75" customHeight="1">
      <c r="A284" s="203"/>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row>
    <row r="285" ht="15.75" customHeight="1">
      <c r="A285" s="203"/>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row>
    <row r="286" ht="15.75" customHeight="1">
      <c r="A286" s="203"/>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row>
    <row r="287" ht="15.75" customHeight="1">
      <c r="A287" s="203"/>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row>
    <row r="288" ht="15.75" customHeight="1">
      <c r="A288" s="203"/>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row>
    <row r="289" ht="15.75" customHeight="1">
      <c r="A289" s="203"/>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row>
    <row r="290" ht="15.75" customHeight="1">
      <c r="A290" s="203"/>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row>
    <row r="291" ht="15.75" customHeight="1">
      <c r="A291" s="203"/>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row>
    <row r="292" ht="15.75" customHeight="1">
      <c r="A292" s="203"/>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row>
    <row r="293" ht="15.75" customHeight="1">
      <c r="A293" s="203"/>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row>
    <row r="294" ht="15.75" customHeight="1">
      <c r="A294" s="203"/>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row>
    <row r="295" ht="15.75" customHeight="1">
      <c r="A295" s="203"/>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row>
    <row r="296" ht="15.75" customHeight="1">
      <c r="A296" s="203"/>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row>
    <row r="297" ht="15.75" customHeight="1">
      <c r="A297" s="203"/>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row>
    <row r="298" ht="15.75" customHeight="1">
      <c r="A298" s="203"/>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row>
    <row r="299" ht="15.75" customHeight="1">
      <c r="A299" s="203"/>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row>
    <row r="300" ht="15.75" customHeight="1">
      <c r="A300" s="203"/>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row>
    <row r="301" ht="15.75" customHeight="1">
      <c r="A301" s="203"/>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row>
    <row r="302" ht="15.75" customHeight="1">
      <c r="A302" s="203"/>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row>
    <row r="303" ht="15.75" customHeight="1">
      <c r="A303" s="203"/>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row>
    <row r="304" ht="15.75" customHeight="1">
      <c r="A304" s="203"/>
      <c r="B304" s="187"/>
      <c r="C304" s="187"/>
      <c r="D304" s="187"/>
      <c r="E304" s="187"/>
      <c r="F304" s="187"/>
      <c r="G304" s="187"/>
      <c r="H304" s="187"/>
      <c r="I304" s="187"/>
      <c r="J304" s="187"/>
      <c r="K304" s="187"/>
      <c r="L304" s="187"/>
      <c r="M304" s="187"/>
      <c r="N304" s="187"/>
      <c r="O304" s="187"/>
      <c r="P304" s="187"/>
      <c r="Q304" s="187"/>
      <c r="R304" s="187"/>
      <c r="S304" s="187"/>
      <c r="T304" s="187"/>
      <c r="U304" s="187"/>
      <c r="V304" s="187"/>
      <c r="W304" s="187"/>
      <c r="X304" s="187"/>
      <c r="Y304" s="187"/>
      <c r="Z304" s="187"/>
    </row>
    <row r="305" ht="15.75" customHeight="1">
      <c r="A305" s="203"/>
      <c r="B305" s="187"/>
      <c r="C305" s="187"/>
      <c r="D305" s="187"/>
      <c r="E305" s="187"/>
      <c r="F305" s="187"/>
      <c r="G305" s="187"/>
      <c r="H305" s="187"/>
      <c r="I305" s="187"/>
      <c r="J305" s="187"/>
      <c r="K305" s="187"/>
      <c r="L305" s="187"/>
      <c r="M305" s="187"/>
      <c r="N305" s="187"/>
      <c r="O305" s="187"/>
      <c r="P305" s="187"/>
      <c r="Q305" s="187"/>
      <c r="R305" s="187"/>
      <c r="S305" s="187"/>
      <c r="T305" s="187"/>
      <c r="U305" s="187"/>
      <c r="V305" s="187"/>
      <c r="W305" s="187"/>
      <c r="X305" s="187"/>
      <c r="Y305" s="187"/>
      <c r="Z305" s="187"/>
    </row>
    <row r="306" ht="15.75" customHeight="1">
      <c r="A306" s="203"/>
      <c r="B306" s="187"/>
      <c r="C306" s="187"/>
      <c r="D306" s="187"/>
      <c r="E306" s="187"/>
      <c r="F306" s="187"/>
      <c r="G306" s="187"/>
      <c r="H306" s="187"/>
      <c r="I306" s="187"/>
      <c r="J306" s="187"/>
      <c r="K306" s="187"/>
      <c r="L306" s="187"/>
      <c r="M306" s="187"/>
      <c r="N306" s="187"/>
      <c r="O306" s="187"/>
      <c r="P306" s="187"/>
      <c r="Q306" s="187"/>
      <c r="R306" s="187"/>
      <c r="S306" s="187"/>
      <c r="T306" s="187"/>
      <c r="U306" s="187"/>
      <c r="V306" s="187"/>
      <c r="W306" s="187"/>
      <c r="X306" s="187"/>
      <c r="Y306" s="187"/>
      <c r="Z306" s="187"/>
    </row>
    <row r="307" ht="15.75" customHeight="1">
      <c r="A307" s="203"/>
      <c r="B307" s="187"/>
      <c r="C307" s="187"/>
      <c r="D307" s="187"/>
      <c r="E307" s="187"/>
      <c r="F307" s="187"/>
      <c r="G307" s="187"/>
      <c r="H307" s="187"/>
      <c r="I307" s="187"/>
      <c r="J307" s="187"/>
      <c r="K307" s="187"/>
      <c r="L307" s="187"/>
      <c r="M307" s="187"/>
      <c r="N307" s="187"/>
      <c r="O307" s="187"/>
      <c r="P307" s="187"/>
      <c r="Q307" s="187"/>
      <c r="R307" s="187"/>
      <c r="S307" s="187"/>
      <c r="T307" s="187"/>
      <c r="U307" s="187"/>
      <c r="V307" s="187"/>
      <c r="W307" s="187"/>
      <c r="X307" s="187"/>
      <c r="Y307" s="187"/>
      <c r="Z307" s="187"/>
    </row>
    <row r="308" ht="15.75" customHeight="1">
      <c r="A308" s="203"/>
      <c r="B308" s="187"/>
      <c r="C308" s="187"/>
      <c r="D308" s="187"/>
      <c r="E308" s="187"/>
      <c r="F308" s="187"/>
      <c r="G308" s="187"/>
      <c r="H308" s="187"/>
      <c r="I308" s="187"/>
      <c r="J308" s="187"/>
      <c r="K308" s="187"/>
      <c r="L308" s="187"/>
      <c r="M308" s="187"/>
      <c r="N308" s="187"/>
      <c r="O308" s="187"/>
      <c r="P308" s="187"/>
      <c r="Q308" s="187"/>
      <c r="R308" s="187"/>
      <c r="S308" s="187"/>
      <c r="T308" s="187"/>
      <c r="U308" s="187"/>
      <c r="V308" s="187"/>
      <c r="W308" s="187"/>
      <c r="X308" s="187"/>
      <c r="Y308" s="187"/>
      <c r="Z308" s="187"/>
    </row>
    <row r="309" ht="15.75" customHeight="1">
      <c r="A309" s="203"/>
      <c r="B309" s="187"/>
      <c r="C309" s="187"/>
      <c r="D309" s="187"/>
      <c r="E309" s="187"/>
      <c r="F309" s="187"/>
      <c r="G309" s="187"/>
      <c r="H309" s="187"/>
      <c r="I309" s="187"/>
      <c r="J309" s="187"/>
      <c r="K309" s="187"/>
      <c r="L309" s="187"/>
      <c r="M309" s="187"/>
      <c r="N309" s="187"/>
      <c r="O309" s="187"/>
      <c r="P309" s="187"/>
      <c r="Q309" s="187"/>
      <c r="R309" s="187"/>
      <c r="S309" s="187"/>
      <c r="T309" s="187"/>
      <c r="U309" s="187"/>
      <c r="V309" s="187"/>
      <c r="W309" s="187"/>
      <c r="X309" s="187"/>
      <c r="Y309" s="187"/>
      <c r="Z309" s="187"/>
    </row>
    <row r="310" ht="15.75" customHeight="1">
      <c r="A310" s="203"/>
      <c r="B310" s="187"/>
      <c r="C310" s="187"/>
      <c r="D310" s="187"/>
      <c r="E310" s="187"/>
      <c r="F310" s="187"/>
      <c r="G310" s="187"/>
      <c r="H310" s="187"/>
      <c r="I310" s="187"/>
      <c r="J310" s="187"/>
      <c r="K310" s="187"/>
      <c r="L310" s="187"/>
      <c r="M310" s="187"/>
      <c r="N310" s="187"/>
      <c r="O310" s="187"/>
      <c r="P310" s="187"/>
      <c r="Q310" s="187"/>
      <c r="R310" s="187"/>
      <c r="S310" s="187"/>
      <c r="T310" s="187"/>
      <c r="U310" s="187"/>
      <c r="V310" s="187"/>
      <c r="W310" s="187"/>
      <c r="X310" s="187"/>
      <c r="Y310" s="187"/>
      <c r="Z310" s="187"/>
    </row>
    <row r="311" ht="15.75" customHeight="1">
      <c r="A311" s="203"/>
      <c r="B311" s="187"/>
      <c r="C311" s="187"/>
      <c r="D311" s="187"/>
      <c r="E311" s="187"/>
      <c r="F311" s="187"/>
      <c r="G311" s="187"/>
      <c r="H311" s="187"/>
      <c r="I311" s="187"/>
      <c r="J311" s="187"/>
      <c r="K311" s="187"/>
      <c r="L311" s="187"/>
      <c r="M311" s="187"/>
      <c r="N311" s="187"/>
      <c r="O311" s="187"/>
      <c r="P311" s="187"/>
      <c r="Q311" s="187"/>
      <c r="R311" s="187"/>
      <c r="S311" s="187"/>
      <c r="T311" s="187"/>
      <c r="U311" s="187"/>
      <c r="V311" s="187"/>
      <c r="W311" s="187"/>
      <c r="X311" s="187"/>
      <c r="Y311" s="187"/>
      <c r="Z311" s="187"/>
    </row>
    <row r="312" ht="15.75" customHeight="1">
      <c r="A312" s="203"/>
      <c r="B312" s="187"/>
      <c r="C312" s="187"/>
      <c r="D312" s="187"/>
      <c r="E312" s="187"/>
      <c r="F312" s="187"/>
      <c r="G312" s="187"/>
      <c r="H312" s="187"/>
      <c r="I312" s="187"/>
      <c r="J312" s="187"/>
      <c r="K312" s="187"/>
      <c r="L312" s="187"/>
      <c r="M312" s="187"/>
      <c r="N312" s="187"/>
      <c r="O312" s="187"/>
      <c r="P312" s="187"/>
      <c r="Q312" s="187"/>
      <c r="R312" s="187"/>
      <c r="S312" s="187"/>
      <c r="T312" s="187"/>
      <c r="U312" s="187"/>
      <c r="V312" s="187"/>
      <c r="W312" s="187"/>
      <c r="X312" s="187"/>
      <c r="Y312" s="187"/>
      <c r="Z312" s="187"/>
    </row>
    <row r="313" ht="15.75" customHeight="1">
      <c r="A313" s="203"/>
      <c r="B313" s="187"/>
      <c r="C313" s="187"/>
      <c r="D313" s="187"/>
      <c r="E313" s="187"/>
      <c r="F313" s="187"/>
      <c r="G313" s="187"/>
      <c r="H313" s="187"/>
      <c r="I313" s="187"/>
      <c r="J313" s="187"/>
      <c r="K313" s="187"/>
      <c r="L313" s="187"/>
      <c r="M313" s="187"/>
      <c r="N313" s="187"/>
      <c r="O313" s="187"/>
      <c r="P313" s="187"/>
      <c r="Q313" s="187"/>
      <c r="R313" s="187"/>
      <c r="S313" s="187"/>
      <c r="T313" s="187"/>
      <c r="U313" s="187"/>
      <c r="V313" s="187"/>
      <c r="W313" s="187"/>
      <c r="X313" s="187"/>
      <c r="Y313" s="187"/>
      <c r="Z313" s="187"/>
    </row>
    <row r="314" ht="15.75" customHeight="1">
      <c r="A314" s="203"/>
      <c r="B314" s="187"/>
      <c r="C314" s="187"/>
      <c r="D314" s="187"/>
      <c r="E314" s="187"/>
      <c r="F314" s="187"/>
      <c r="G314" s="187"/>
      <c r="H314" s="187"/>
      <c r="I314" s="187"/>
      <c r="J314" s="187"/>
      <c r="K314" s="187"/>
      <c r="L314" s="187"/>
      <c r="M314" s="187"/>
      <c r="N314" s="187"/>
      <c r="O314" s="187"/>
      <c r="P314" s="187"/>
      <c r="Q314" s="187"/>
      <c r="R314" s="187"/>
      <c r="S314" s="187"/>
      <c r="T314" s="187"/>
      <c r="U314" s="187"/>
      <c r="V314" s="187"/>
      <c r="W314" s="187"/>
      <c r="X314" s="187"/>
      <c r="Y314" s="187"/>
      <c r="Z314" s="187"/>
    </row>
    <row r="315" ht="15.75" customHeight="1">
      <c r="A315" s="203"/>
      <c r="B315" s="187"/>
      <c r="C315" s="187"/>
      <c r="D315" s="187"/>
      <c r="E315" s="187"/>
      <c r="F315" s="187"/>
      <c r="G315" s="187"/>
      <c r="H315" s="187"/>
      <c r="I315" s="187"/>
      <c r="J315" s="187"/>
      <c r="K315" s="187"/>
      <c r="L315" s="187"/>
      <c r="M315" s="187"/>
      <c r="N315" s="187"/>
      <c r="O315" s="187"/>
      <c r="P315" s="187"/>
      <c r="Q315" s="187"/>
      <c r="R315" s="187"/>
      <c r="S315" s="187"/>
      <c r="T315" s="187"/>
      <c r="U315" s="187"/>
      <c r="V315" s="187"/>
      <c r="W315" s="187"/>
      <c r="X315" s="187"/>
      <c r="Y315" s="187"/>
      <c r="Z315" s="187"/>
    </row>
    <row r="316" ht="15.75" customHeight="1">
      <c r="A316" s="203"/>
      <c r="B316" s="187"/>
      <c r="C316" s="187"/>
      <c r="D316" s="187"/>
      <c r="E316" s="187"/>
      <c r="F316" s="187"/>
      <c r="G316" s="187"/>
      <c r="H316" s="187"/>
      <c r="I316" s="187"/>
      <c r="J316" s="187"/>
      <c r="K316" s="187"/>
      <c r="L316" s="187"/>
      <c r="M316" s="187"/>
      <c r="N316" s="187"/>
      <c r="O316" s="187"/>
      <c r="P316" s="187"/>
      <c r="Q316" s="187"/>
      <c r="R316" s="187"/>
      <c r="S316" s="187"/>
      <c r="T316" s="187"/>
      <c r="U316" s="187"/>
      <c r="V316" s="187"/>
      <c r="W316" s="187"/>
      <c r="X316" s="187"/>
      <c r="Y316" s="187"/>
      <c r="Z316" s="187"/>
    </row>
    <row r="317" ht="15.75" customHeight="1">
      <c r="A317" s="203"/>
      <c r="B317" s="187"/>
      <c r="C317" s="187"/>
      <c r="D317" s="187"/>
      <c r="E317" s="187"/>
      <c r="F317" s="187"/>
      <c r="G317" s="187"/>
      <c r="H317" s="187"/>
      <c r="I317" s="187"/>
      <c r="J317" s="187"/>
      <c r="K317" s="187"/>
      <c r="L317" s="187"/>
      <c r="M317" s="187"/>
      <c r="N317" s="187"/>
      <c r="O317" s="187"/>
      <c r="P317" s="187"/>
      <c r="Q317" s="187"/>
      <c r="R317" s="187"/>
      <c r="S317" s="187"/>
      <c r="T317" s="187"/>
      <c r="U317" s="187"/>
      <c r="V317" s="187"/>
      <c r="W317" s="187"/>
      <c r="X317" s="187"/>
      <c r="Y317" s="187"/>
      <c r="Z317" s="187"/>
    </row>
    <row r="318" ht="15.75" customHeight="1">
      <c r="A318" s="203"/>
      <c r="B318" s="187"/>
      <c r="C318" s="187"/>
      <c r="D318" s="187"/>
      <c r="E318" s="187"/>
      <c r="F318" s="187"/>
      <c r="G318" s="187"/>
      <c r="H318" s="187"/>
      <c r="I318" s="187"/>
      <c r="J318" s="187"/>
      <c r="K318" s="187"/>
      <c r="L318" s="187"/>
      <c r="M318" s="187"/>
      <c r="N318" s="187"/>
      <c r="O318" s="187"/>
      <c r="P318" s="187"/>
      <c r="Q318" s="187"/>
      <c r="R318" s="187"/>
      <c r="S318" s="187"/>
      <c r="T318" s="187"/>
      <c r="U318" s="187"/>
      <c r="V318" s="187"/>
      <c r="W318" s="187"/>
      <c r="X318" s="187"/>
      <c r="Y318" s="187"/>
      <c r="Z318" s="187"/>
    </row>
    <row r="319" ht="15.75" customHeight="1">
      <c r="A319" s="203"/>
      <c r="B319" s="187"/>
      <c r="C319" s="187"/>
      <c r="D319" s="187"/>
      <c r="E319" s="187"/>
      <c r="F319" s="187"/>
      <c r="G319" s="187"/>
      <c r="H319" s="187"/>
      <c r="I319" s="187"/>
      <c r="J319" s="187"/>
      <c r="K319" s="187"/>
      <c r="L319" s="187"/>
      <c r="M319" s="187"/>
      <c r="N319" s="187"/>
      <c r="O319" s="187"/>
      <c r="P319" s="187"/>
      <c r="Q319" s="187"/>
      <c r="R319" s="187"/>
      <c r="S319" s="187"/>
      <c r="T319" s="187"/>
      <c r="U319" s="187"/>
      <c r="V319" s="187"/>
      <c r="W319" s="187"/>
      <c r="X319" s="187"/>
      <c r="Y319" s="187"/>
      <c r="Z319" s="187"/>
    </row>
    <row r="320" ht="15.75" customHeight="1">
      <c r="A320" s="203"/>
      <c r="B320" s="187"/>
      <c r="C320" s="187"/>
      <c r="D320" s="187"/>
      <c r="E320" s="187"/>
      <c r="F320" s="187"/>
      <c r="G320" s="187"/>
      <c r="H320" s="187"/>
      <c r="I320" s="187"/>
      <c r="J320" s="187"/>
      <c r="K320" s="187"/>
      <c r="L320" s="187"/>
      <c r="M320" s="187"/>
      <c r="N320" s="187"/>
      <c r="O320" s="187"/>
      <c r="P320" s="187"/>
      <c r="Q320" s="187"/>
      <c r="R320" s="187"/>
      <c r="S320" s="187"/>
      <c r="T320" s="187"/>
      <c r="U320" s="187"/>
      <c r="V320" s="187"/>
      <c r="W320" s="187"/>
      <c r="X320" s="187"/>
      <c r="Y320" s="187"/>
      <c r="Z320" s="187"/>
    </row>
    <row r="321" ht="15.75" customHeight="1">
      <c r="A321" s="203"/>
      <c r="B321" s="187"/>
      <c r="C321" s="187"/>
      <c r="D321" s="187"/>
      <c r="E321" s="187"/>
      <c r="F321" s="187"/>
      <c r="G321" s="187"/>
      <c r="H321" s="187"/>
      <c r="I321" s="187"/>
      <c r="J321" s="187"/>
      <c r="K321" s="187"/>
      <c r="L321" s="187"/>
      <c r="M321" s="187"/>
      <c r="N321" s="187"/>
      <c r="O321" s="187"/>
      <c r="P321" s="187"/>
      <c r="Q321" s="187"/>
      <c r="R321" s="187"/>
      <c r="S321" s="187"/>
      <c r="T321" s="187"/>
      <c r="U321" s="187"/>
      <c r="V321" s="187"/>
      <c r="W321" s="187"/>
      <c r="X321" s="187"/>
      <c r="Y321" s="187"/>
      <c r="Z321" s="187"/>
    </row>
    <row r="322" ht="15.75" customHeight="1">
      <c r="A322" s="203"/>
      <c r="B322" s="187"/>
      <c r="C322" s="187"/>
      <c r="D322" s="187"/>
      <c r="E322" s="187"/>
      <c r="F322" s="187"/>
      <c r="G322" s="187"/>
      <c r="H322" s="187"/>
      <c r="I322" s="187"/>
      <c r="J322" s="187"/>
      <c r="K322" s="187"/>
      <c r="L322" s="187"/>
      <c r="M322" s="187"/>
      <c r="N322" s="187"/>
      <c r="O322" s="187"/>
      <c r="P322" s="187"/>
      <c r="Q322" s="187"/>
      <c r="R322" s="187"/>
      <c r="S322" s="187"/>
      <c r="T322" s="187"/>
      <c r="U322" s="187"/>
      <c r="V322" s="187"/>
      <c r="W322" s="187"/>
      <c r="X322" s="187"/>
      <c r="Y322" s="187"/>
      <c r="Z322" s="187"/>
    </row>
    <row r="323" ht="15.75" customHeight="1">
      <c r="A323" s="203"/>
      <c r="B323" s="187"/>
      <c r="C323" s="187"/>
      <c r="D323" s="187"/>
      <c r="E323" s="187"/>
      <c r="F323" s="187"/>
      <c r="G323" s="187"/>
      <c r="H323" s="187"/>
      <c r="I323" s="187"/>
      <c r="J323" s="187"/>
      <c r="K323" s="187"/>
      <c r="L323" s="187"/>
      <c r="M323" s="187"/>
      <c r="N323" s="187"/>
      <c r="O323" s="187"/>
      <c r="P323" s="187"/>
      <c r="Q323" s="187"/>
      <c r="R323" s="187"/>
      <c r="S323" s="187"/>
      <c r="T323" s="187"/>
      <c r="U323" s="187"/>
      <c r="V323" s="187"/>
      <c r="W323" s="187"/>
      <c r="X323" s="187"/>
      <c r="Y323" s="187"/>
      <c r="Z323" s="187"/>
    </row>
    <row r="324" ht="15.75" customHeight="1">
      <c r="A324" s="203"/>
      <c r="B324" s="187"/>
      <c r="C324" s="187"/>
      <c r="D324" s="187"/>
      <c r="E324" s="187"/>
      <c r="F324" s="187"/>
      <c r="G324" s="187"/>
      <c r="H324" s="187"/>
      <c r="I324" s="187"/>
      <c r="J324" s="187"/>
      <c r="K324" s="187"/>
      <c r="L324" s="187"/>
      <c r="M324" s="187"/>
      <c r="N324" s="187"/>
      <c r="O324" s="187"/>
      <c r="P324" s="187"/>
      <c r="Q324" s="187"/>
      <c r="R324" s="187"/>
      <c r="S324" s="187"/>
      <c r="T324" s="187"/>
      <c r="U324" s="187"/>
      <c r="V324" s="187"/>
      <c r="W324" s="187"/>
      <c r="X324" s="187"/>
      <c r="Y324" s="187"/>
      <c r="Z324" s="187"/>
    </row>
    <row r="325" ht="15.75" customHeight="1">
      <c r="A325" s="203"/>
      <c r="B325" s="187"/>
      <c r="C325" s="187"/>
      <c r="D325" s="187"/>
      <c r="E325" s="187"/>
      <c r="F325" s="187"/>
      <c r="G325" s="187"/>
      <c r="H325" s="187"/>
      <c r="I325" s="187"/>
      <c r="J325" s="187"/>
      <c r="K325" s="187"/>
      <c r="L325" s="187"/>
      <c r="M325" s="187"/>
      <c r="N325" s="187"/>
      <c r="O325" s="187"/>
      <c r="P325" s="187"/>
      <c r="Q325" s="187"/>
      <c r="R325" s="187"/>
      <c r="S325" s="187"/>
      <c r="T325" s="187"/>
      <c r="U325" s="187"/>
      <c r="V325" s="187"/>
      <c r="W325" s="187"/>
      <c r="X325" s="187"/>
      <c r="Y325" s="187"/>
      <c r="Z325" s="187"/>
    </row>
    <row r="326" ht="15.75" customHeight="1">
      <c r="A326" s="203"/>
      <c r="B326" s="187"/>
      <c r="C326" s="187"/>
      <c r="D326" s="187"/>
      <c r="E326" s="187"/>
      <c r="F326" s="187"/>
      <c r="G326" s="187"/>
      <c r="H326" s="187"/>
      <c r="I326" s="187"/>
      <c r="J326" s="187"/>
      <c r="K326" s="187"/>
      <c r="L326" s="187"/>
      <c r="M326" s="187"/>
      <c r="N326" s="187"/>
      <c r="O326" s="187"/>
      <c r="P326" s="187"/>
      <c r="Q326" s="187"/>
      <c r="R326" s="187"/>
      <c r="S326" s="187"/>
      <c r="T326" s="187"/>
      <c r="U326" s="187"/>
      <c r="V326" s="187"/>
      <c r="W326" s="187"/>
      <c r="X326" s="187"/>
      <c r="Y326" s="187"/>
      <c r="Z326" s="187"/>
    </row>
    <row r="327" ht="15.75" customHeight="1">
      <c r="A327" s="203"/>
      <c r="B327" s="187"/>
      <c r="C327" s="187"/>
      <c r="D327" s="187"/>
      <c r="E327" s="187"/>
      <c r="F327" s="187"/>
      <c r="G327" s="187"/>
      <c r="H327" s="187"/>
      <c r="I327" s="187"/>
      <c r="J327" s="187"/>
      <c r="K327" s="187"/>
      <c r="L327" s="187"/>
      <c r="M327" s="187"/>
      <c r="N327" s="187"/>
      <c r="O327" s="187"/>
      <c r="P327" s="187"/>
      <c r="Q327" s="187"/>
      <c r="R327" s="187"/>
      <c r="S327" s="187"/>
      <c r="T327" s="187"/>
      <c r="U327" s="187"/>
      <c r="V327" s="187"/>
      <c r="W327" s="187"/>
      <c r="X327" s="187"/>
      <c r="Y327" s="187"/>
      <c r="Z327" s="187"/>
    </row>
    <row r="328" ht="15.75" customHeight="1">
      <c r="A328" s="203"/>
      <c r="B328" s="187"/>
      <c r="C328" s="187"/>
      <c r="D328" s="187"/>
      <c r="E328" s="187"/>
      <c r="F328" s="187"/>
      <c r="G328" s="187"/>
      <c r="H328" s="187"/>
      <c r="I328" s="187"/>
      <c r="J328" s="187"/>
      <c r="K328" s="187"/>
      <c r="L328" s="187"/>
      <c r="M328" s="187"/>
      <c r="N328" s="187"/>
      <c r="O328" s="187"/>
      <c r="P328" s="187"/>
      <c r="Q328" s="187"/>
      <c r="R328" s="187"/>
      <c r="S328" s="187"/>
      <c r="T328" s="187"/>
      <c r="U328" s="187"/>
      <c r="V328" s="187"/>
      <c r="W328" s="187"/>
      <c r="X328" s="187"/>
      <c r="Y328" s="187"/>
      <c r="Z328" s="187"/>
    </row>
    <row r="329" ht="15.75" customHeight="1">
      <c r="A329" s="203"/>
      <c r="B329" s="187"/>
      <c r="C329" s="187"/>
      <c r="D329" s="187"/>
      <c r="E329" s="187"/>
      <c r="F329" s="187"/>
      <c r="G329" s="187"/>
      <c r="H329" s="187"/>
      <c r="I329" s="187"/>
      <c r="J329" s="187"/>
      <c r="K329" s="187"/>
      <c r="L329" s="187"/>
      <c r="M329" s="187"/>
      <c r="N329" s="187"/>
      <c r="O329" s="187"/>
      <c r="P329" s="187"/>
      <c r="Q329" s="187"/>
      <c r="R329" s="187"/>
      <c r="S329" s="187"/>
      <c r="T329" s="187"/>
      <c r="U329" s="187"/>
      <c r="V329" s="187"/>
      <c r="W329" s="187"/>
      <c r="X329" s="187"/>
      <c r="Y329" s="187"/>
      <c r="Z329" s="187"/>
    </row>
    <row r="330" ht="15.75" customHeight="1">
      <c r="A330" s="203"/>
      <c r="B330" s="187"/>
      <c r="C330" s="187"/>
      <c r="D330" s="187"/>
      <c r="E330" s="187"/>
      <c r="F330" s="187"/>
      <c r="G330" s="187"/>
      <c r="H330" s="187"/>
      <c r="I330" s="187"/>
      <c r="J330" s="187"/>
      <c r="K330" s="187"/>
      <c r="L330" s="187"/>
      <c r="M330" s="187"/>
      <c r="N330" s="187"/>
      <c r="O330" s="187"/>
      <c r="P330" s="187"/>
      <c r="Q330" s="187"/>
      <c r="R330" s="187"/>
      <c r="S330" s="187"/>
      <c r="T330" s="187"/>
      <c r="U330" s="187"/>
      <c r="V330" s="187"/>
      <c r="W330" s="187"/>
      <c r="X330" s="187"/>
      <c r="Y330" s="187"/>
      <c r="Z330" s="187"/>
    </row>
    <row r="331" ht="15.75" customHeight="1">
      <c r="A331" s="203"/>
      <c r="B331" s="187"/>
      <c r="C331" s="187"/>
      <c r="D331" s="187"/>
      <c r="E331" s="187"/>
      <c r="F331" s="187"/>
      <c r="G331" s="187"/>
      <c r="H331" s="187"/>
      <c r="I331" s="187"/>
      <c r="J331" s="187"/>
      <c r="K331" s="187"/>
      <c r="L331" s="187"/>
      <c r="M331" s="187"/>
      <c r="N331" s="187"/>
      <c r="O331" s="187"/>
      <c r="P331" s="187"/>
      <c r="Q331" s="187"/>
      <c r="R331" s="187"/>
      <c r="S331" s="187"/>
      <c r="T331" s="187"/>
      <c r="U331" s="187"/>
      <c r="V331" s="187"/>
      <c r="W331" s="187"/>
      <c r="X331" s="187"/>
      <c r="Y331" s="187"/>
      <c r="Z331" s="187"/>
    </row>
    <row r="332" ht="15.75" customHeight="1">
      <c r="A332" s="203"/>
      <c r="B332" s="187"/>
      <c r="C332" s="187"/>
      <c r="D332" s="187"/>
      <c r="E332" s="187"/>
      <c r="F332" s="187"/>
      <c r="G332" s="187"/>
      <c r="H332" s="187"/>
      <c r="I332" s="187"/>
      <c r="J332" s="187"/>
      <c r="K332" s="187"/>
      <c r="L332" s="187"/>
      <c r="M332" s="187"/>
      <c r="N332" s="187"/>
      <c r="O332" s="187"/>
      <c r="P332" s="187"/>
      <c r="Q332" s="187"/>
      <c r="R332" s="187"/>
      <c r="S332" s="187"/>
      <c r="T332" s="187"/>
      <c r="U332" s="187"/>
      <c r="V332" s="187"/>
      <c r="W332" s="187"/>
      <c r="X332" s="187"/>
      <c r="Y332" s="187"/>
      <c r="Z332" s="187"/>
    </row>
    <row r="333" ht="15.75" customHeight="1">
      <c r="A333" s="203"/>
      <c r="B333" s="187"/>
      <c r="C333" s="187"/>
      <c r="D333" s="187"/>
      <c r="E333" s="187"/>
      <c r="F333" s="187"/>
      <c r="G333" s="187"/>
      <c r="H333" s="187"/>
      <c r="I333" s="187"/>
      <c r="J333" s="187"/>
      <c r="K333" s="187"/>
      <c r="L333" s="187"/>
      <c r="M333" s="187"/>
      <c r="N333" s="187"/>
      <c r="O333" s="187"/>
      <c r="P333" s="187"/>
      <c r="Q333" s="187"/>
      <c r="R333" s="187"/>
      <c r="S333" s="187"/>
      <c r="T333" s="187"/>
      <c r="U333" s="187"/>
      <c r="V333" s="187"/>
      <c r="W333" s="187"/>
      <c r="X333" s="187"/>
      <c r="Y333" s="187"/>
      <c r="Z333" s="187"/>
    </row>
    <row r="334" ht="15.75" customHeight="1">
      <c r="A334" s="203"/>
      <c r="B334" s="187"/>
      <c r="C334" s="187"/>
      <c r="D334" s="187"/>
      <c r="E334" s="187"/>
      <c r="F334" s="187"/>
      <c r="G334" s="187"/>
      <c r="H334" s="187"/>
      <c r="I334" s="187"/>
      <c r="J334" s="187"/>
      <c r="K334" s="187"/>
      <c r="L334" s="187"/>
      <c r="M334" s="187"/>
      <c r="N334" s="187"/>
      <c r="O334" s="187"/>
      <c r="P334" s="187"/>
      <c r="Q334" s="187"/>
      <c r="R334" s="187"/>
      <c r="S334" s="187"/>
      <c r="T334" s="187"/>
      <c r="U334" s="187"/>
      <c r="V334" s="187"/>
      <c r="W334" s="187"/>
      <c r="X334" s="187"/>
      <c r="Y334" s="187"/>
      <c r="Z334" s="187"/>
    </row>
    <row r="335" ht="15.75" customHeight="1">
      <c r="A335" s="203"/>
      <c r="B335" s="187"/>
      <c r="C335" s="187"/>
      <c r="D335" s="187"/>
      <c r="E335" s="187"/>
      <c r="F335" s="187"/>
      <c r="G335" s="187"/>
      <c r="H335" s="187"/>
      <c r="I335" s="187"/>
      <c r="J335" s="187"/>
      <c r="K335" s="187"/>
      <c r="L335" s="187"/>
      <c r="M335" s="187"/>
      <c r="N335" s="187"/>
      <c r="O335" s="187"/>
      <c r="P335" s="187"/>
      <c r="Q335" s="187"/>
      <c r="R335" s="187"/>
      <c r="S335" s="187"/>
      <c r="T335" s="187"/>
      <c r="U335" s="187"/>
      <c r="V335" s="187"/>
      <c r="W335" s="187"/>
      <c r="X335" s="187"/>
      <c r="Y335" s="187"/>
      <c r="Z335" s="187"/>
    </row>
    <row r="336" ht="15.75" customHeight="1">
      <c r="A336" s="203"/>
      <c r="B336" s="187"/>
      <c r="C336" s="187"/>
      <c r="D336" s="187"/>
      <c r="E336" s="187"/>
      <c r="F336" s="187"/>
      <c r="G336" s="187"/>
      <c r="H336" s="187"/>
      <c r="I336" s="187"/>
      <c r="J336" s="187"/>
      <c r="K336" s="187"/>
      <c r="L336" s="187"/>
      <c r="M336" s="187"/>
      <c r="N336" s="187"/>
      <c r="O336" s="187"/>
      <c r="P336" s="187"/>
      <c r="Q336" s="187"/>
      <c r="R336" s="187"/>
      <c r="S336" s="187"/>
      <c r="T336" s="187"/>
      <c r="U336" s="187"/>
      <c r="V336" s="187"/>
      <c r="W336" s="187"/>
      <c r="X336" s="187"/>
      <c r="Y336" s="187"/>
      <c r="Z336" s="187"/>
    </row>
    <row r="337" ht="15.75" customHeight="1">
      <c r="A337" s="203"/>
      <c r="B337" s="187"/>
      <c r="C337" s="187"/>
      <c r="D337" s="187"/>
      <c r="E337" s="187"/>
      <c r="F337" s="187"/>
      <c r="G337" s="187"/>
      <c r="H337" s="187"/>
      <c r="I337" s="187"/>
      <c r="J337" s="187"/>
      <c r="K337" s="187"/>
      <c r="L337" s="187"/>
      <c r="M337" s="187"/>
      <c r="N337" s="187"/>
      <c r="O337" s="187"/>
      <c r="P337" s="187"/>
      <c r="Q337" s="187"/>
      <c r="R337" s="187"/>
      <c r="S337" s="187"/>
      <c r="T337" s="187"/>
      <c r="U337" s="187"/>
      <c r="V337" s="187"/>
      <c r="W337" s="187"/>
      <c r="X337" s="187"/>
      <c r="Y337" s="187"/>
      <c r="Z337" s="187"/>
    </row>
    <row r="338" ht="15.75" customHeight="1">
      <c r="A338" s="203"/>
      <c r="B338" s="187"/>
      <c r="C338" s="187"/>
      <c r="D338" s="187"/>
      <c r="E338" s="187"/>
      <c r="F338" s="187"/>
      <c r="G338" s="187"/>
      <c r="H338" s="187"/>
      <c r="I338" s="187"/>
      <c r="J338" s="187"/>
      <c r="K338" s="187"/>
      <c r="L338" s="187"/>
      <c r="M338" s="187"/>
      <c r="N338" s="187"/>
      <c r="O338" s="187"/>
      <c r="P338" s="187"/>
      <c r="Q338" s="187"/>
      <c r="R338" s="187"/>
      <c r="S338" s="187"/>
      <c r="T338" s="187"/>
      <c r="U338" s="187"/>
      <c r="V338" s="187"/>
      <c r="W338" s="187"/>
      <c r="X338" s="187"/>
      <c r="Y338" s="187"/>
      <c r="Z338" s="187"/>
    </row>
    <row r="339" ht="15.75" customHeight="1">
      <c r="A339" s="203"/>
      <c r="B339" s="187"/>
      <c r="C339" s="187"/>
      <c r="D339" s="187"/>
      <c r="E339" s="187"/>
      <c r="F339" s="187"/>
      <c r="G339" s="187"/>
      <c r="H339" s="187"/>
      <c r="I339" s="187"/>
      <c r="J339" s="187"/>
      <c r="K339" s="187"/>
      <c r="L339" s="187"/>
      <c r="M339" s="187"/>
      <c r="N339" s="187"/>
      <c r="O339" s="187"/>
      <c r="P339" s="187"/>
      <c r="Q339" s="187"/>
      <c r="R339" s="187"/>
      <c r="S339" s="187"/>
      <c r="T339" s="187"/>
      <c r="U339" s="187"/>
      <c r="V339" s="187"/>
      <c r="W339" s="187"/>
      <c r="X339" s="187"/>
      <c r="Y339" s="187"/>
      <c r="Z339" s="187"/>
    </row>
    <row r="340" ht="15.75" customHeight="1">
      <c r="A340" s="203"/>
      <c r="B340" s="187"/>
      <c r="C340" s="187"/>
      <c r="D340" s="187"/>
      <c r="E340" s="187"/>
      <c r="F340" s="187"/>
      <c r="G340" s="187"/>
      <c r="H340" s="187"/>
      <c r="I340" s="187"/>
      <c r="J340" s="187"/>
      <c r="K340" s="187"/>
      <c r="L340" s="187"/>
      <c r="M340" s="187"/>
      <c r="N340" s="187"/>
      <c r="O340" s="187"/>
      <c r="P340" s="187"/>
      <c r="Q340" s="187"/>
      <c r="R340" s="187"/>
      <c r="S340" s="187"/>
      <c r="T340" s="187"/>
      <c r="U340" s="187"/>
      <c r="V340" s="187"/>
      <c r="W340" s="187"/>
      <c r="X340" s="187"/>
      <c r="Y340" s="187"/>
      <c r="Z340" s="187"/>
    </row>
    <row r="341" ht="15.75" customHeight="1">
      <c r="A341" s="203"/>
      <c r="B341" s="187"/>
      <c r="C341" s="187"/>
      <c r="D341" s="187"/>
      <c r="E341" s="187"/>
      <c r="F341" s="187"/>
      <c r="G341" s="187"/>
      <c r="H341" s="187"/>
      <c r="I341" s="187"/>
      <c r="J341" s="187"/>
      <c r="K341" s="187"/>
      <c r="L341" s="187"/>
      <c r="M341" s="187"/>
      <c r="N341" s="187"/>
      <c r="O341" s="187"/>
      <c r="P341" s="187"/>
      <c r="Q341" s="187"/>
      <c r="R341" s="187"/>
      <c r="S341" s="187"/>
      <c r="T341" s="187"/>
      <c r="U341" s="187"/>
      <c r="V341" s="187"/>
      <c r="W341" s="187"/>
      <c r="X341" s="187"/>
      <c r="Y341" s="187"/>
      <c r="Z341" s="187"/>
    </row>
    <row r="342" ht="15.75" customHeight="1">
      <c r="A342" s="203"/>
      <c r="B342" s="187"/>
      <c r="C342" s="187"/>
      <c r="D342" s="187"/>
      <c r="E342" s="187"/>
      <c r="F342" s="187"/>
      <c r="G342" s="187"/>
      <c r="H342" s="187"/>
      <c r="I342" s="187"/>
      <c r="J342" s="187"/>
      <c r="K342" s="187"/>
      <c r="L342" s="187"/>
      <c r="M342" s="187"/>
      <c r="N342" s="187"/>
      <c r="O342" s="187"/>
      <c r="P342" s="187"/>
      <c r="Q342" s="187"/>
      <c r="R342" s="187"/>
      <c r="S342" s="187"/>
      <c r="T342" s="187"/>
      <c r="U342" s="187"/>
      <c r="V342" s="187"/>
      <c r="W342" s="187"/>
      <c r="X342" s="187"/>
      <c r="Y342" s="187"/>
      <c r="Z342" s="187"/>
    </row>
    <row r="343" ht="15.75" customHeight="1">
      <c r="A343" s="203"/>
      <c r="B343" s="187"/>
      <c r="C343" s="187"/>
      <c r="D343" s="187"/>
      <c r="E343" s="187"/>
      <c r="F343" s="187"/>
      <c r="G343" s="187"/>
      <c r="H343" s="187"/>
      <c r="I343" s="187"/>
      <c r="J343" s="187"/>
      <c r="K343" s="187"/>
      <c r="L343" s="187"/>
      <c r="M343" s="187"/>
      <c r="N343" s="187"/>
      <c r="O343" s="187"/>
      <c r="P343" s="187"/>
      <c r="Q343" s="187"/>
      <c r="R343" s="187"/>
      <c r="S343" s="187"/>
      <c r="T343" s="187"/>
      <c r="U343" s="187"/>
      <c r="V343" s="187"/>
      <c r="W343" s="187"/>
      <c r="X343" s="187"/>
      <c r="Y343" s="187"/>
      <c r="Z343" s="187"/>
    </row>
    <row r="344" ht="15.75" customHeight="1">
      <c r="A344" s="203"/>
      <c r="B344" s="187"/>
      <c r="C344" s="187"/>
      <c r="D344" s="187"/>
      <c r="E344" s="187"/>
      <c r="F344" s="187"/>
      <c r="G344" s="187"/>
      <c r="H344" s="187"/>
      <c r="I344" s="187"/>
      <c r="J344" s="187"/>
      <c r="K344" s="187"/>
      <c r="L344" s="187"/>
      <c r="M344" s="187"/>
      <c r="N344" s="187"/>
      <c r="O344" s="187"/>
      <c r="P344" s="187"/>
      <c r="Q344" s="187"/>
      <c r="R344" s="187"/>
      <c r="S344" s="187"/>
      <c r="T344" s="187"/>
      <c r="U344" s="187"/>
      <c r="V344" s="187"/>
      <c r="W344" s="187"/>
      <c r="X344" s="187"/>
      <c r="Y344" s="187"/>
      <c r="Z344" s="187"/>
    </row>
    <row r="345" ht="15.75" customHeight="1">
      <c r="A345" s="203"/>
      <c r="B345" s="187"/>
      <c r="C345" s="187"/>
      <c r="D345" s="187"/>
      <c r="E345" s="187"/>
      <c r="F345" s="187"/>
      <c r="G345" s="187"/>
      <c r="H345" s="187"/>
      <c r="I345" s="187"/>
      <c r="J345" s="187"/>
      <c r="K345" s="187"/>
      <c r="L345" s="187"/>
      <c r="M345" s="187"/>
      <c r="N345" s="187"/>
      <c r="O345" s="187"/>
      <c r="P345" s="187"/>
      <c r="Q345" s="187"/>
      <c r="R345" s="187"/>
      <c r="S345" s="187"/>
      <c r="T345" s="187"/>
      <c r="U345" s="187"/>
      <c r="V345" s="187"/>
      <c r="W345" s="187"/>
      <c r="X345" s="187"/>
      <c r="Y345" s="187"/>
      <c r="Z345" s="187"/>
    </row>
    <row r="346" ht="15.75" customHeight="1">
      <c r="A346" s="203"/>
      <c r="B346" s="187"/>
      <c r="C346" s="187"/>
      <c r="D346" s="187"/>
      <c r="E346" s="187"/>
      <c r="F346" s="187"/>
      <c r="G346" s="187"/>
      <c r="H346" s="187"/>
      <c r="I346" s="187"/>
      <c r="J346" s="187"/>
      <c r="K346" s="187"/>
      <c r="L346" s="187"/>
      <c r="M346" s="187"/>
      <c r="N346" s="187"/>
      <c r="O346" s="187"/>
      <c r="P346" s="187"/>
      <c r="Q346" s="187"/>
      <c r="R346" s="187"/>
      <c r="S346" s="187"/>
      <c r="T346" s="187"/>
      <c r="U346" s="187"/>
      <c r="V346" s="187"/>
      <c r="W346" s="187"/>
      <c r="X346" s="187"/>
      <c r="Y346" s="187"/>
      <c r="Z346" s="187"/>
    </row>
    <row r="347" ht="15.75" customHeight="1">
      <c r="A347" s="203"/>
      <c r="B347" s="187"/>
      <c r="C347" s="187"/>
      <c r="D347" s="187"/>
      <c r="E347" s="187"/>
      <c r="F347" s="187"/>
      <c r="G347" s="187"/>
      <c r="H347" s="187"/>
      <c r="I347" s="187"/>
      <c r="J347" s="187"/>
      <c r="K347" s="187"/>
      <c r="L347" s="187"/>
      <c r="M347" s="187"/>
      <c r="N347" s="187"/>
      <c r="O347" s="187"/>
      <c r="P347" s="187"/>
      <c r="Q347" s="187"/>
      <c r="R347" s="187"/>
      <c r="S347" s="187"/>
      <c r="T347" s="187"/>
      <c r="U347" s="187"/>
      <c r="V347" s="187"/>
      <c r="W347" s="187"/>
      <c r="X347" s="187"/>
      <c r="Y347" s="187"/>
      <c r="Z347" s="187"/>
    </row>
    <row r="348" ht="15.75" customHeight="1">
      <c r="A348" s="203"/>
      <c r="B348" s="187"/>
      <c r="C348" s="187"/>
      <c r="D348" s="187"/>
      <c r="E348" s="187"/>
      <c r="F348" s="187"/>
      <c r="G348" s="187"/>
      <c r="H348" s="187"/>
      <c r="I348" s="187"/>
      <c r="J348" s="187"/>
      <c r="K348" s="187"/>
      <c r="L348" s="187"/>
      <c r="M348" s="187"/>
      <c r="N348" s="187"/>
      <c r="O348" s="187"/>
      <c r="P348" s="187"/>
      <c r="Q348" s="187"/>
      <c r="R348" s="187"/>
      <c r="S348" s="187"/>
      <c r="T348" s="187"/>
      <c r="U348" s="187"/>
      <c r="V348" s="187"/>
      <c r="W348" s="187"/>
      <c r="X348" s="187"/>
      <c r="Y348" s="187"/>
      <c r="Z348" s="187"/>
    </row>
    <row r="349" ht="15.75" customHeight="1">
      <c r="A349" s="203"/>
      <c r="B349" s="187"/>
      <c r="C349" s="187"/>
      <c r="D349" s="187"/>
      <c r="E349" s="187"/>
      <c r="F349" s="187"/>
      <c r="G349" s="187"/>
      <c r="H349" s="187"/>
      <c r="I349" s="187"/>
      <c r="J349" s="187"/>
      <c r="K349" s="187"/>
      <c r="L349" s="187"/>
      <c r="M349" s="187"/>
      <c r="N349" s="187"/>
      <c r="O349" s="187"/>
      <c r="P349" s="187"/>
      <c r="Q349" s="187"/>
      <c r="R349" s="187"/>
      <c r="S349" s="187"/>
      <c r="T349" s="187"/>
      <c r="U349" s="187"/>
      <c r="V349" s="187"/>
      <c r="W349" s="187"/>
      <c r="X349" s="187"/>
      <c r="Y349" s="187"/>
      <c r="Z349" s="187"/>
    </row>
    <row r="350" ht="15.75" customHeight="1">
      <c r="A350" s="203"/>
      <c r="B350" s="187"/>
      <c r="C350" s="187"/>
      <c r="D350" s="187"/>
      <c r="E350" s="187"/>
      <c r="F350" s="187"/>
      <c r="G350" s="187"/>
      <c r="H350" s="187"/>
      <c r="I350" s="187"/>
      <c r="J350" s="187"/>
      <c r="K350" s="187"/>
      <c r="L350" s="187"/>
      <c r="M350" s="187"/>
      <c r="N350" s="187"/>
      <c r="O350" s="187"/>
      <c r="P350" s="187"/>
      <c r="Q350" s="187"/>
      <c r="R350" s="187"/>
      <c r="S350" s="187"/>
      <c r="T350" s="187"/>
      <c r="U350" s="187"/>
      <c r="V350" s="187"/>
      <c r="W350" s="187"/>
      <c r="X350" s="187"/>
      <c r="Y350" s="187"/>
      <c r="Z350" s="187"/>
    </row>
    <row r="351" ht="15.75" customHeight="1">
      <c r="A351" s="203"/>
      <c r="B351" s="187"/>
      <c r="C351" s="187"/>
      <c r="D351" s="187"/>
      <c r="E351" s="187"/>
      <c r="F351" s="187"/>
      <c r="G351" s="187"/>
      <c r="H351" s="187"/>
      <c r="I351" s="187"/>
      <c r="J351" s="187"/>
      <c r="K351" s="187"/>
      <c r="L351" s="187"/>
      <c r="M351" s="187"/>
      <c r="N351" s="187"/>
      <c r="O351" s="187"/>
      <c r="P351" s="187"/>
      <c r="Q351" s="187"/>
      <c r="R351" s="187"/>
      <c r="S351" s="187"/>
      <c r="T351" s="187"/>
      <c r="U351" s="187"/>
      <c r="V351" s="187"/>
      <c r="W351" s="187"/>
      <c r="X351" s="187"/>
      <c r="Y351" s="187"/>
      <c r="Z351" s="187"/>
    </row>
    <row r="352" ht="15.75" customHeight="1">
      <c r="A352" s="203"/>
      <c r="B352" s="187"/>
      <c r="C352" s="187"/>
      <c r="D352" s="187"/>
      <c r="E352" s="187"/>
      <c r="F352" s="187"/>
      <c r="G352" s="187"/>
      <c r="H352" s="187"/>
      <c r="I352" s="187"/>
      <c r="J352" s="187"/>
      <c r="K352" s="187"/>
      <c r="L352" s="187"/>
      <c r="M352" s="187"/>
      <c r="N352" s="187"/>
      <c r="O352" s="187"/>
      <c r="P352" s="187"/>
      <c r="Q352" s="187"/>
      <c r="R352" s="187"/>
      <c r="S352" s="187"/>
      <c r="T352" s="187"/>
      <c r="U352" s="187"/>
      <c r="V352" s="187"/>
      <c r="W352" s="187"/>
      <c r="X352" s="187"/>
      <c r="Y352" s="187"/>
      <c r="Z352" s="187"/>
    </row>
    <row r="353" ht="15.75" customHeight="1">
      <c r="A353" s="203"/>
      <c r="B353" s="187"/>
      <c r="C353" s="187"/>
      <c r="D353" s="187"/>
      <c r="E353" s="187"/>
      <c r="F353" s="187"/>
      <c r="G353" s="187"/>
      <c r="H353" s="187"/>
      <c r="I353" s="187"/>
      <c r="J353" s="187"/>
      <c r="K353" s="187"/>
      <c r="L353" s="187"/>
      <c r="M353" s="187"/>
      <c r="N353" s="187"/>
      <c r="O353" s="187"/>
      <c r="P353" s="187"/>
      <c r="Q353" s="187"/>
      <c r="R353" s="187"/>
      <c r="S353" s="187"/>
      <c r="T353" s="187"/>
      <c r="U353" s="187"/>
      <c r="V353" s="187"/>
      <c r="W353" s="187"/>
      <c r="X353" s="187"/>
      <c r="Y353" s="187"/>
      <c r="Z353" s="187"/>
    </row>
    <row r="354" ht="15.75" customHeight="1">
      <c r="A354" s="203"/>
      <c r="B354" s="187"/>
      <c r="C354" s="187"/>
      <c r="D354" s="187"/>
      <c r="E354" s="187"/>
      <c r="F354" s="187"/>
      <c r="G354" s="187"/>
      <c r="H354" s="187"/>
      <c r="I354" s="187"/>
      <c r="J354" s="187"/>
      <c r="K354" s="187"/>
      <c r="L354" s="187"/>
      <c r="M354" s="187"/>
      <c r="N354" s="187"/>
      <c r="O354" s="187"/>
      <c r="P354" s="187"/>
      <c r="Q354" s="187"/>
      <c r="R354" s="187"/>
      <c r="S354" s="187"/>
      <c r="T354" s="187"/>
      <c r="U354" s="187"/>
      <c r="V354" s="187"/>
      <c r="W354" s="187"/>
      <c r="X354" s="187"/>
      <c r="Y354" s="187"/>
      <c r="Z354" s="187"/>
    </row>
    <row r="355" ht="15.75" customHeight="1">
      <c r="A355" s="203"/>
      <c r="B355" s="187"/>
      <c r="C355" s="187"/>
      <c r="D355" s="187"/>
      <c r="E355" s="187"/>
      <c r="F355" s="187"/>
      <c r="G355" s="187"/>
      <c r="H355" s="187"/>
      <c r="I355" s="187"/>
      <c r="J355" s="187"/>
      <c r="K355" s="187"/>
      <c r="L355" s="187"/>
      <c r="M355" s="187"/>
      <c r="N355" s="187"/>
      <c r="O355" s="187"/>
      <c r="P355" s="187"/>
      <c r="Q355" s="187"/>
      <c r="R355" s="187"/>
      <c r="S355" s="187"/>
      <c r="T355" s="187"/>
      <c r="U355" s="187"/>
      <c r="V355" s="187"/>
      <c r="W355" s="187"/>
      <c r="X355" s="187"/>
      <c r="Y355" s="187"/>
      <c r="Z355" s="187"/>
    </row>
    <row r="356" ht="15.75" customHeight="1">
      <c r="A356" s="203"/>
      <c r="B356" s="187"/>
      <c r="C356" s="187"/>
      <c r="D356" s="187"/>
      <c r="E356" s="187"/>
      <c r="F356" s="187"/>
      <c r="G356" s="187"/>
      <c r="H356" s="187"/>
      <c r="I356" s="187"/>
      <c r="J356" s="187"/>
      <c r="K356" s="187"/>
      <c r="L356" s="187"/>
      <c r="M356" s="187"/>
      <c r="N356" s="187"/>
      <c r="O356" s="187"/>
      <c r="P356" s="187"/>
      <c r="Q356" s="187"/>
      <c r="R356" s="187"/>
      <c r="S356" s="187"/>
      <c r="T356" s="187"/>
      <c r="U356" s="187"/>
      <c r="V356" s="187"/>
      <c r="W356" s="187"/>
      <c r="X356" s="187"/>
      <c r="Y356" s="187"/>
      <c r="Z356" s="187"/>
    </row>
    <row r="357" ht="15.75" customHeight="1">
      <c r="A357" s="203"/>
      <c r="B357" s="187"/>
      <c r="C357" s="187"/>
      <c r="D357" s="187"/>
      <c r="E357" s="187"/>
      <c r="F357" s="187"/>
      <c r="G357" s="187"/>
      <c r="H357" s="187"/>
      <c r="I357" s="187"/>
      <c r="J357" s="187"/>
      <c r="K357" s="187"/>
      <c r="L357" s="187"/>
      <c r="M357" s="187"/>
      <c r="N357" s="187"/>
      <c r="O357" s="187"/>
      <c r="P357" s="187"/>
      <c r="Q357" s="187"/>
      <c r="R357" s="187"/>
      <c r="S357" s="187"/>
      <c r="T357" s="187"/>
      <c r="U357" s="187"/>
      <c r="V357" s="187"/>
      <c r="W357" s="187"/>
      <c r="X357" s="187"/>
      <c r="Y357" s="187"/>
      <c r="Z357" s="187"/>
    </row>
    <row r="358" ht="15.75" customHeight="1">
      <c r="A358" s="203"/>
      <c r="B358" s="187"/>
      <c r="C358" s="187"/>
      <c r="D358" s="187"/>
      <c r="E358" s="187"/>
      <c r="F358" s="187"/>
      <c r="G358" s="187"/>
      <c r="H358" s="187"/>
      <c r="I358" s="187"/>
      <c r="J358" s="187"/>
      <c r="K358" s="187"/>
      <c r="L358" s="187"/>
      <c r="M358" s="187"/>
      <c r="N358" s="187"/>
      <c r="O358" s="187"/>
      <c r="P358" s="187"/>
      <c r="Q358" s="187"/>
      <c r="R358" s="187"/>
      <c r="S358" s="187"/>
      <c r="T358" s="187"/>
      <c r="U358" s="187"/>
      <c r="V358" s="187"/>
      <c r="W358" s="187"/>
      <c r="X358" s="187"/>
      <c r="Y358" s="187"/>
      <c r="Z358" s="187"/>
    </row>
    <row r="359" ht="15.75" customHeight="1">
      <c r="A359" s="203"/>
      <c r="B359" s="187"/>
      <c r="C359" s="187"/>
      <c r="D359" s="187"/>
      <c r="E359" s="187"/>
      <c r="F359" s="187"/>
      <c r="G359" s="187"/>
      <c r="H359" s="187"/>
      <c r="I359" s="187"/>
      <c r="J359" s="187"/>
      <c r="K359" s="187"/>
      <c r="L359" s="187"/>
      <c r="M359" s="187"/>
      <c r="N359" s="187"/>
      <c r="O359" s="187"/>
      <c r="P359" s="187"/>
      <c r="Q359" s="187"/>
      <c r="R359" s="187"/>
      <c r="S359" s="187"/>
      <c r="T359" s="187"/>
      <c r="U359" s="187"/>
      <c r="V359" s="187"/>
      <c r="W359" s="187"/>
      <c r="X359" s="187"/>
      <c r="Y359" s="187"/>
      <c r="Z359" s="187"/>
    </row>
    <row r="360" ht="15.75" customHeight="1">
      <c r="A360" s="203"/>
      <c r="B360" s="187"/>
      <c r="C360" s="187"/>
      <c r="D360" s="187"/>
      <c r="E360" s="187"/>
      <c r="F360" s="187"/>
      <c r="G360" s="187"/>
      <c r="H360" s="187"/>
      <c r="I360" s="187"/>
      <c r="J360" s="187"/>
      <c r="K360" s="187"/>
      <c r="L360" s="187"/>
      <c r="M360" s="187"/>
      <c r="N360" s="187"/>
      <c r="O360" s="187"/>
      <c r="P360" s="187"/>
      <c r="Q360" s="187"/>
      <c r="R360" s="187"/>
      <c r="S360" s="187"/>
      <c r="T360" s="187"/>
      <c r="U360" s="187"/>
      <c r="V360" s="187"/>
      <c r="W360" s="187"/>
      <c r="X360" s="187"/>
      <c r="Y360" s="187"/>
      <c r="Z360" s="187"/>
    </row>
    <row r="361" ht="15.75" customHeight="1">
      <c r="A361" s="203"/>
      <c r="B361" s="187"/>
      <c r="C361" s="187"/>
      <c r="D361" s="187"/>
      <c r="E361" s="187"/>
      <c r="F361" s="187"/>
      <c r="G361" s="187"/>
      <c r="H361" s="187"/>
      <c r="I361" s="187"/>
      <c r="J361" s="187"/>
      <c r="K361" s="187"/>
      <c r="L361" s="187"/>
      <c r="M361" s="187"/>
      <c r="N361" s="187"/>
      <c r="O361" s="187"/>
      <c r="P361" s="187"/>
      <c r="Q361" s="187"/>
      <c r="R361" s="187"/>
      <c r="S361" s="187"/>
      <c r="T361" s="187"/>
      <c r="U361" s="187"/>
      <c r="V361" s="187"/>
      <c r="W361" s="187"/>
      <c r="X361" s="187"/>
      <c r="Y361" s="187"/>
      <c r="Z361" s="187"/>
    </row>
    <row r="362" ht="15.75" customHeight="1">
      <c r="A362" s="203"/>
      <c r="B362" s="187"/>
      <c r="C362" s="187"/>
      <c r="D362" s="187"/>
      <c r="E362" s="187"/>
      <c r="F362" s="187"/>
      <c r="G362" s="187"/>
      <c r="H362" s="187"/>
      <c r="I362" s="187"/>
      <c r="J362" s="187"/>
      <c r="K362" s="187"/>
      <c r="L362" s="187"/>
      <c r="M362" s="187"/>
      <c r="N362" s="187"/>
      <c r="O362" s="187"/>
      <c r="P362" s="187"/>
      <c r="Q362" s="187"/>
      <c r="R362" s="187"/>
      <c r="S362" s="187"/>
      <c r="T362" s="187"/>
      <c r="U362" s="187"/>
      <c r="V362" s="187"/>
      <c r="W362" s="187"/>
      <c r="X362" s="187"/>
      <c r="Y362" s="187"/>
      <c r="Z362" s="187"/>
    </row>
    <row r="363" ht="15.75" customHeight="1">
      <c r="A363" s="203"/>
      <c r="B363" s="187"/>
      <c r="C363" s="187"/>
      <c r="D363" s="187"/>
      <c r="E363" s="187"/>
      <c r="F363" s="187"/>
      <c r="G363" s="187"/>
      <c r="H363" s="187"/>
      <c r="I363" s="187"/>
      <c r="J363" s="187"/>
      <c r="K363" s="187"/>
      <c r="L363" s="187"/>
      <c r="M363" s="187"/>
      <c r="N363" s="187"/>
      <c r="O363" s="187"/>
      <c r="P363" s="187"/>
      <c r="Q363" s="187"/>
      <c r="R363" s="187"/>
      <c r="S363" s="187"/>
      <c r="T363" s="187"/>
      <c r="U363" s="187"/>
      <c r="V363" s="187"/>
      <c r="W363" s="187"/>
      <c r="X363" s="187"/>
      <c r="Y363" s="187"/>
      <c r="Z363" s="187"/>
    </row>
    <row r="364" ht="15.75" customHeight="1">
      <c r="A364" s="203"/>
      <c r="B364" s="187"/>
      <c r="C364" s="187"/>
      <c r="D364" s="187"/>
      <c r="E364" s="187"/>
      <c r="F364" s="187"/>
      <c r="G364" s="187"/>
      <c r="H364" s="187"/>
      <c r="I364" s="187"/>
      <c r="J364" s="187"/>
      <c r="K364" s="187"/>
      <c r="L364" s="187"/>
      <c r="M364" s="187"/>
      <c r="N364" s="187"/>
      <c r="O364" s="187"/>
      <c r="P364" s="187"/>
      <c r="Q364" s="187"/>
      <c r="R364" s="187"/>
      <c r="S364" s="187"/>
      <c r="T364" s="187"/>
      <c r="U364" s="187"/>
      <c r="V364" s="187"/>
      <c r="W364" s="187"/>
      <c r="X364" s="187"/>
      <c r="Y364" s="187"/>
      <c r="Z364" s="187"/>
    </row>
    <row r="365" ht="15.75" customHeight="1">
      <c r="A365" s="203"/>
      <c r="B365" s="187"/>
      <c r="C365" s="187"/>
      <c r="D365" s="187"/>
      <c r="E365" s="187"/>
      <c r="F365" s="187"/>
      <c r="G365" s="187"/>
      <c r="H365" s="187"/>
      <c r="I365" s="187"/>
      <c r="J365" s="187"/>
      <c r="K365" s="187"/>
      <c r="L365" s="187"/>
      <c r="M365" s="187"/>
      <c r="N365" s="187"/>
      <c r="O365" s="187"/>
      <c r="P365" s="187"/>
      <c r="Q365" s="187"/>
      <c r="R365" s="187"/>
      <c r="S365" s="187"/>
      <c r="T365" s="187"/>
      <c r="U365" s="187"/>
      <c r="V365" s="187"/>
      <c r="W365" s="187"/>
      <c r="X365" s="187"/>
      <c r="Y365" s="187"/>
      <c r="Z365" s="187"/>
    </row>
    <row r="366" ht="15.75" customHeight="1">
      <c r="A366" s="203"/>
      <c r="B366" s="187"/>
      <c r="C366" s="187"/>
      <c r="D366" s="187"/>
      <c r="E366" s="187"/>
      <c r="F366" s="187"/>
      <c r="G366" s="187"/>
      <c r="H366" s="187"/>
      <c r="I366" s="187"/>
      <c r="J366" s="187"/>
      <c r="K366" s="187"/>
      <c r="L366" s="187"/>
      <c r="M366" s="187"/>
      <c r="N366" s="187"/>
      <c r="O366" s="187"/>
      <c r="P366" s="187"/>
      <c r="Q366" s="187"/>
      <c r="R366" s="187"/>
      <c r="S366" s="187"/>
      <c r="T366" s="187"/>
      <c r="U366" s="187"/>
      <c r="V366" s="187"/>
      <c r="W366" s="187"/>
      <c r="X366" s="187"/>
      <c r="Y366" s="187"/>
      <c r="Z366" s="187"/>
    </row>
    <row r="367" ht="15.75" customHeight="1">
      <c r="A367" s="203"/>
      <c r="B367" s="187"/>
      <c r="C367" s="187"/>
      <c r="D367" s="187"/>
      <c r="E367" s="187"/>
      <c r="F367" s="187"/>
      <c r="G367" s="187"/>
      <c r="H367" s="187"/>
      <c r="I367" s="187"/>
      <c r="J367" s="187"/>
      <c r="K367" s="187"/>
      <c r="L367" s="187"/>
      <c r="M367" s="187"/>
      <c r="N367" s="187"/>
      <c r="O367" s="187"/>
      <c r="P367" s="187"/>
      <c r="Q367" s="187"/>
      <c r="R367" s="187"/>
      <c r="S367" s="187"/>
      <c r="T367" s="187"/>
      <c r="U367" s="187"/>
      <c r="V367" s="187"/>
      <c r="W367" s="187"/>
      <c r="X367" s="187"/>
      <c r="Y367" s="187"/>
      <c r="Z367" s="187"/>
    </row>
    <row r="368" ht="15.75" customHeight="1">
      <c r="A368" s="203"/>
      <c r="B368" s="187"/>
      <c r="C368" s="187"/>
      <c r="D368" s="187"/>
      <c r="E368" s="187"/>
      <c r="F368" s="187"/>
      <c r="G368" s="187"/>
      <c r="H368" s="187"/>
      <c r="I368" s="187"/>
      <c r="J368" s="187"/>
      <c r="K368" s="187"/>
      <c r="L368" s="187"/>
      <c r="M368" s="187"/>
      <c r="N368" s="187"/>
      <c r="O368" s="187"/>
      <c r="P368" s="187"/>
      <c r="Q368" s="187"/>
      <c r="R368" s="187"/>
      <c r="S368" s="187"/>
      <c r="T368" s="187"/>
      <c r="U368" s="187"/>
      <c r="V368" s="187"/>
      <c r="W368" s="187"/>
      <c r="X368" s="187"/>
      <c r="Y368" s="187"/>
      <c r="Z368" s="187"/>
    </row>
    <row r="369" ht="15.75" customHeight="1">
      <c r="A369" s="203"/>
      <c r="B369" s="187"/>
      <c r="C369" s="187"/>
      <c r="D369" s="187"/>
      <c r="E369" s="187"/>
      <c r="F369" s="187"/>
      <c r="G369" s="187"/>
      <c r="H369" s="187"/>
      <c r="I369" s="187"/>
      <c r="J369" s="187"/>
      <c r="K369" s="187"/>
      <c r="L369" s="187"/>
      <c r="M369" s="187"/>
      <c r="N369" s="187"/>
      <c r="O369" s="187"/>
      <c r="P369" s="187"/>
      <c r="Q369" s="187"/>
      <c r="R369" s="187"/>
      <c r="S369" s="187"/>
      <c r="T369" s="187"/>
      <c r="U369" s="187"/>
      <c r="V369" s="187"/>
      <c r="W369" s="187"/>
      <c r="X369" s="187"/>
      <c r="Y369" s="187"/>
      <c r="Z369" s="187"/>
    </row>
    <row r="370" ht="15.75" customHeight="1">
      <c r="A370" s="203"/>
      <c r="B370" s="187"/>
      <c r="C370" s="187"/>
      <c r="D370" s="187"/>
      <c r="E370" s="187"/>
      <c r="F370" s="187"/>
      <c r="G370" s="187"/>
      <c r="H370" s="187"/>
      <c r="I370" s="187"/>
      <c r="J370" s="187"/>
      <c r="K370" s="187"/>
      <c r="L370" s="187"/>
      <c r="M370" s="187"/>
      <c r="N370" s="187"/>
      <c r="O370" s="187"/>
      <c r="P370" s="187"/>
      <c r="Q370" s="187"/>
      <c r="R370" s="187"/>
      <c r="S370" s="187"/>
      <c r="T370" s="187"/>
      <c r="U370" s="187"/>
      <c r="V370" s="187"/>
      <c r="W370" s="187"/>
      <c r="X370" s="187"/>
      <c r="Y370" s="187"/>
      <c r="Z370" s="187"/>
    </row>
    <row r="371" ht="15.75" customHeight="1">
      <c r="A371" s="203"/>
      <c r="B371" s="187"/>
      <c r="C371" s="187"/>
      <c r="D371" s="187"/>
      <c r="E371" s="187"/>
      <c r="F371" s="187"/>
      <c r="G371" s="187"/>
      <c r="H371" s="187"/>
      <c r="I371" s="187"/>
      <c r="J371" s="187"/>
      <c r="K371" s="187"/>
      <c r="L371" s="187"/>
      <c r="M371" s="187"/>
      <c r="N371" s="187"/>
      <c r="O371" s="187"/>
      <c r="P371" s="187"/>
      <c r="Q371" s="187"/>
      <c r="R371" s="187"/>
      <c r="S371" s="187"/>
      <c r="T371" s="187"/>
      <c r="U371" s="187"/>
      <c r="V371" s="187"/>
      <c r="W371" s="187"/>
      <c r="X371" s="187"/>
      <c r="Y371" s="187"/>
      <c r="Z371" s="187"/>
    </row>
    <row r="372" ht="15.75" customHeight="1">
      <c r="A372" s="203"/>
      <c r="B372" s="187"/>
      <c r="C372" s="187"/>
      <c r="D372" s="187"/>
      <c r="E372" s="187"/>
      <c r="F372" s="187"/>
      <c r="G372" s="187"/>
      <c r="H372" s="187"/>
      <c r="I372" s="187"/>
      <c r="J372" s="187"/>
      <c r="K372" s="187"/>
      <c r="L372" s="187"/>
      <c r="M372" s="187"/>
      <c r="N372" s="187"/>
      <c r="O372" s="187"/>
      <c r="P372" s="187"/>
      <c r="Q372" s="187"/>
      <c r="R372" s="187"/>
      <c r="S372" s="187"/>
      <c r="T372" s="187"/>
      <c r="U372" s="187"/>
      <c r="V372" s="187"/>
      <c r="W372" s="187"/>
      <c r="X372" s="187"/>
      <c r="Y372" s="187"/>
      <c r="Z372" s="187"/>
    </row>
    <row r="373" ht="15.75" customHeight="1">
      <c r="A373" s="203"/>
      <c r="B373" s="187"/>
      <c r="C373" s="187"/>
      <c r="D373" s="187"/>
      <c r="E373" s="187"/>
      <c r="F373" s="187"/>
      <c r="G373" s="187"/>
      <c r="H373" s="187"/>
      <c r="I373" s="187"/>
      <c r="J373" s="187"/>
      <c r="K373" s="187"/>
      <c r="L373" s="187"/>
      <c r="M373" s="187"/>
      <c r="N373" s="187"/>
      <c r="O373" s="187"/>
      <c r="P373" s="187"/>
      <c r="Q373" s="187"/>
      <c r="R373" s="187"/>
      <c r="S373" s="187"/>
      <c r="T373" s="187"/>
      <c r="U373" s="187"/>
      <c r="V373" s="187"/>
      <c r="W373" s="187"/>
      <c r="X373" s="187"/>
      <c r="Y373" s="187"/>
      <c r="Z373" s="187"/>
    </row>
    <row r="374" ht="15.75" customHeight="1">
      <c r="A374" s="203"/>
      <c r="B374" s="187"/>
      <c r="C374" s="187"/>
      <c r="D374" s="187"/>
      <c r="E374" s="187"/>
      <c r="F374" s="187"/>
      <c r="G374" s="187"/>
      <c r="H374" s="187"/>
      <c r="I374" s="187"/>
      <c r="J374" s="187"/>
      <c r="K374" s="187"/>
      <c r="L374" s="187"/>
      <c r="M374" s="187"/>
      <c r="N374" s="187"/>
      <c r="O374" s="187"/>
      <c r="P374" s="187"/>
      <c r="Q374" s="187"/>
      <c r="R374" s="187"/>
      <c r="S374" s="187"/>
      <c r="T374" s="187"/>
      <c r="U374" s="187"/>
      <c r="V374" s="187"/>
      <c r="W374" s="187"/>
      <c r="X374" s="187"/>
      <c r="Y374" s="187"/>
      <c r="Z374" s="187"/>
    </row>
    <row r="375" ht="15.75" customHeight="1">
      <c r="A375" s="203"/>
      <c r="B375" s="187"/>
      <c r="C375" s="187"/>
      <c r="D375" s="187"/>
      <c r="E375" s="187"/>
      <c r="F375" s="187"/>
      <c r="G375" s="187"/>
      <c r="H375" s="187"/>
      <c r="I375" s="187"/>
      <c r="J375" s="187"/>
      <c r="K375" s="187"/>
      <c r="L375" s="187"/>
      <c r="M375" s="187"/>
      <c r="N375" s="187"/>
      <c r="O375" s="187"/>
      <c r="P375" s="187"/>
      <c r="Q375" s="187"/>
      <c r="R375" s="187"/>
      <c r="S375" s="187"/>
      <c r="T375" s="187"/>
      <c r="U375" s="187"/>
      <c r="V375" s="187"/>
      <c r="W375" s="187"/>
      <c r="X375" s="187"/>
      <c r="Y375" s="187"/>
      <c r="Z375" s="187"/>
    </row>
    <row r="376" ht="15.75" customHeight="1">
      <c r="A376" s="203"/>
      <c r="B376" s="187"/>
      <c r="C376" s="187"/>
      <c r="D376" s="187"/>
      <c r="E376" s="187"/>
      <c r="F376" s="187"/>
      <c r="G376" s="187"/>
      <c r="H376" s="187"/>
      <c r="I376" s="187"/>
      <c r="J376" s="187"/>
      <c r="K376" s="187"/>
      <c r="L376" s="187"/>
      <c r="M376" s="187"/>
      <c r="N376" s="187"/>
      <c r="O376" s="187"/>
      <c r="P376" s="187"/>
      <c r="Q376" s="187"/>
      <c r="R376" s="187"/>
      <c r="S376" s="187"/>
      <c r="T376" s="187"/>
      <c r="U376" s="187"/>
      <c r="V376" s="187"/>
      <c r="W376" s="187"/>
      <c r="X376" s="187"/>
      <c r="Y376" s="187"/>
      <c r="Z376" s="187"/>
    </row>
    <row r="377" ht="15.75" customHeight="1">
      <c r="A377" s="203"/>
      <c r="B377" s="187"/>
      <c r="C377" s="187"/>
      <c r="D377" s="187"/>
      <c r="E377" s="187"/>
      <c r="F377" s="187"/>
      <c r="G377" s="187"/>
      <c r="H377" s="187"/>
      <c r="I377" s="187"/>
      <c r="J377" s="187"/>
      <c r="K377" s="187"/>
      <c r="L377" s="187"/>
      <c r="M377" s="187"/>
      <c r="N377" s="187"/>
      <c r="O377" s="187"/>
      <c r="P377" s="187"/>
      <c r="Q377" s="187"/>
      <c r="R377" s="187"/>
      <c r="S377" s="187"/>
      <c r="T377" s="187"/>
      <c r="U377" s="187"/>
      <c r="V377" s="187"/>
      <c r="W377" s="187"/>
      <c r="X377" s="187"/>
      <c r="Y377" s="187"/>
      <c r="Z377" s="187"/>
    </row>
    <row r="378" ht="15.75" customHeight="1">
      <c r="A378" s="203"/>
      <c r="B378" s="187"/>
      <c r="C378" s="187"/>
      <c r="D378" s="187"/>
      <c r="E378" s="187"/>
      <c r="F378" s="187"/>
      <c r="G378" s="187"/>
      <c r="H378" s="187"/>
      <c r="I378" s="187"/>
      <c r="J378" s="187"/>
      <c r="K378" s="187"/>
      <c r="L378" s="187"/>
      <c r="M378" s="187"/>
      <c r="N378" s="187"/>
      <c r="O378" s="187"/>
      <c r="P378" s="187"/>
      <c r="Q378" s="187"/>
      <c r="R378" s="187"/>
      <c r="S378" s="187"/>
      <c r="T378" s="187"/>
      <c r="U378" s="187"/>
      <c r="V378" s="187"/>
      <c r="W378" s="187"/>
      <c r="X378" s="187"/>
      <c r="Y378" s="187"/>
      <c r="Z378" s="187"/>
    </row>
    <row r="379" ht="15.75" customHeight="1">
      <c r="A379" s="203"/>
      <c r="B379" s="187"/>
      <c r="C379" s="187"/>
      <c r="D379" s="187"/>
      <c r="E379" s="187"/>
      <c r="F379" s="187"/>
      <c r="G379" s="187"/>
      <c r="H379" s="187"/>
      <c r="I379" s="187"/>
      <c r="J379" s="187"/>
      <c r="K379" s="187"/>
      <c r="L379" s="187"/>
      <c r="M379" s="187"/>
      <c r="N379" s="187"/>
      <c r="O379" s="187"/>
      <c r="P379" s="187"/>
      <c r="Q379" s="187"/>
      <c r="R379" s="187"/>
      <c r="S379" s="187"/>
      <c r="T379" s="187"/>
      <c r="U379" s="187"/>
      <c r="V379" s="187"/>
      <c r="W379" s="187"/>
      <c r="X379" s="187"/>
      <c r="Y379" s="187"/>
      <c r="Z379" s="187"/>
    </row>
    <row r="380" ht="15.75" customHeight="1">
      <c r="A380" s="203"/>
      <c r="B380" s="187"/>
      <c r="C380" s="187"/>
      <c r="D380" s="187"/>
      <c r="E380" s="187"/>
      <c r="F380" s="187"/>
      <c r="G380" s="187"/>
      <c r="H380" s="187"/>
      <c r="I380" s="187"/>
      <c r="J380" s="187"/>
      <c r="K380" s="187"/>
      <c r="L380" s="187"/>
      <c r="M380" s="187"/>
      <c r="N380" s="187"/>
      <c r="O380" s="187"/>
      <c r="P380" s="187"/>
      <c r="Q380" s="187"/>
      <c r="R380" s="187"/>
      <c r="S380" s="187"/>
      <c r="T380" s="187"/>
      <c r="U380" s="187"/>
      <c r="V380" s="187"/>
      <c r="W380" s="187"/>
      <c r="X380" s="187"/>
      <c r="Y380" s="187"/>
      <c r="Z380" s="187"/>
    </row>
    <row r="381" ht="15.75" customHeight="1">
      <c r="A381" s="203"/>
      <c r="B381" s="187"/>
      <c r="C381" s="187"/>
      <c r="D381" s="187"/>
      <c r="E381" s="187"/>
      <c r="F381" s="187"/>
      <c r="G381" s="187"/>
      <c r="H381" s="187"/>
      <c r="I381" s="187"/>
      <c r="J381" s="187"/>
      <c r="K381" s="187"/>
      <c r="L381" s="187"/>
      <c r="M381" s="187"/>
      <c r="N381" s="187"/>
      <c r="O381" s="187"/>
      <c r="P381" s="187"/>
      <c r="Q381" s="187"/>
      <c r="R381" s="187"/>
      <c r="S381" s="187"/>
      <c r="T381" s="187"/>
      <c r="U381" s="187"/>
      <c r="V381" s="187"/>
      <c r="W381" s="187"/>
      <c r="X381" s="187"/>
      <c r="Y381" s="187"/>
      <c r="Z381" s="187"/>
    </row>
    <row r="382" ht="15.75" customHeight="1">
      <c r="A382" s="203"/>
      <c r="B382" s="187"/>
      <c r="C382" s="187"/>
      <c r="D382" s="187"/>
      <c r="E382" s="187"/>
      <c r="F382" s="187"/>
      <c r="G382" s="187"/>
      <c r="H382" s="187"/>
      <c r="I382" s="187"/>
      <c r="J382" s="187"/>
      <c r="K382" s="187"/>
      <c r="L382" s="187"/>
      <c r="M382" s="187"/>
      <c r="N382" s="187"/>
      <c r="O382" s="187"/>
      <c r="P382" s="187"/>
      <c r="Q382" s="187"/>
      <c r="R382" s="187"/>
      <c r="S382" s="187"/>
      <c r="T382" s="187"/>
      <c r="U382" s="187"/>
      <c r="V382" s="187"/>
      <c r="W382" s="187"/>
      <c r="X382" s="187"/>
      <c r="Y382" s="187"/>
      <c r="Z382" s="187"/>
    </row>
    <row r="383" ht="15.75" customHeight="1">
      <c r="A383" s="203"/>
      <c r="B383" s="187"/>
      <c r="C383" s="187"/>
      <c r="D383" s="187"/>
      <c r="E383" s="187"/>
      <c r="F383" s="187"/>
      <c r="G383" s="187"/>
      <c r="H383" s="187"/>
      <c r="I383" s="187"/>
      <c r="J383" s="187"/>
      <c r="K383" s="187"/>
      <c r="L383" s="187"/>
      <c r="M383" s="187"/>
      <c r="N383" s="187"/>
      <c r="O383" s="187"/>
      <c r="P383" s="187"/>
      <c r="Q383" s="187"/>
      <c r="R383" s="187"/>
      <c r="S383" s="187"/>
      <c r="T383" s="187"/>
      <c r="U383" s="187"/>
      <c r="V383" s="187"/>
      <c r="W383" s="187"/>
      <c r="X383" s="187"/>
      <c r="Y383" s="187"/>
      <c r="Z383" s="187"/>
    </row>
    <row r="384" ht="15.75" customHeight="1">
      <c r="A384" s="203"/>
      <c r="B384" s="187"/>
      <c r="C384" s="187"/>
      <c r="D384" s="187"/>
      <c r="E384" s="187"/>
      <c r="F384" s="187"/>
      <c r="G384" s="187"/>
      <c r="H384" s="187"/>
      <c r="I384" s="187"/>
      <c r="J384" s="187"/>
      <c r="K384" s="187"/>
      <c r="L384" s="187"/>
      <c r="M384" s="187"/>
      <c r="N384" s="187"/>
      <c r="O384" s="187"/>
      <c r="P384" s="187"/>
      <c r="Q384" s="187"/>
      <c r="R384" s="187"/>
      <c r="S384" s="187"/>
      <c r="T384" s="187"/>
      <c r="U384" s="187"/>
      <c r="V384" s="187"/>
      <c r="W384" s="187"/>
      <c r="X384" s="187"/>
      <c r="Y384" s="187"/>
      <c r="Z384" s="187"/>
    </row>
    <row r="385" ht="15.75" customHeight="1">
      <c r="A385" s="203"/>
      <c r="B385" s="187"/>
      <c r="C385" s="187"/>
      <c r="D385" s="187"/>
      <c r="E385" s="187"/>
      <c r="F385" s="187"/>
      <c r="G385" s="187"/>
      <c r="H385" s="187"/>
      <c r="I385" s="187"/>
      <c r="J385" s="187"/>
      <c r="K385" s="187"/>
      <c r="L385" s="187"/>
      <c r="M385" s="187"/>
      <c r="N385" s="187"/>
      <c r="O385" s="187"/>
      <c r="P385" s="187"/>
      <c r="Q385" s="187"/>
      <c r="R385" s="187"/>
      <c r="S385" s="187"/>
      <c r="T385" s="187"/>
      <c r="U385" s="187"/>
      <c r="V385" s="187"/>
      <c r="W385" s="187"/>
      <c r="X385" s="187"/>
      <c r="Y385" s="187"/>
      <c r="Z385" s="187"/>
    </row>
    <row r="386" ht="15.75" customHeight="1">
      <c r="A386" s="203"/>
      <c r="B386" s="187"/>
      <c r="C386" s="187"/>
      <c r="D386" s="187"/>
      <c r="E386" s="187"/>
      <c r="F386" s="187"/>
      <c r="G386" s="187"/>
      <c r="H386" s="187"/>
      <c r="I386" s="187"/>
      <c r="J386" s="187"/>
      <c r="K386" s="187"/>
      <c r="L386" s="187"/>
      <c r="M386" s="187"/>
      <c r="N386" s="187"/>
      <c r="O386" s="187"/>
      <c r="P386" s="187"/>
      <c r="Q386" s="187"/>
      <c r="R386" s="187"/>
      <c r="S386" s="187"/>
      <c r="T386" s="187"/>
      <c r="U386" s="187"/>
      <c r="V386" s="187"/>
      <c r="W386" s="187"/>
      <c r="X386" s="187"/>
      <c r="Y386" s="187"/>
      <c r="Z386" s="187"/>
    </row>
    <row r="387" ht="15.75" customHeight="1">
      <c r="A387" s="203"/>
      <c r="B387" s="187"/>
      <c r="C387" s="187"/>
      <c r="D387" s="187"/>
      <c r="E387" s="187"/>
      <c r="F387" s="187"/>
      <c r="G387" s="187"/>
      <c r="H387" s="187"/>
      <c r="I387" s="187"/>
      <c r="J387" s="187"/>
      <c r="K387" s="187"/>
      <c r="L387" s="187"/>
      <c r="M387" s="187"/>
      <c r="N387" s="187"/>
      <c r="O387" s="187"/>
      <c r="P387" s="187"/>
      <c r="Q387" s="187"/>
      <c r="R387" s="187"/>
      <c r="S387" s="187"/>
      <c r="T387" s="187"/>
      <c r="U387" s="187"/>
      <c r="V387" s="187"/>
      <c r="W387" s="187"/>
      <c r="X387" s="187"/>
      <c r="Y387" s="187"/>
      <c r="Z387" s="187"/>
    </row>
    <row r="388" ht="15.75" customHeight="1">
      <c r="A388" s="203"/>
      <c r="B388" s="187"/>
      <c r="C388" s="187"/>
      <c r="D388" s="187"/>
      <c r="E388" s="187"/>
      <c r="F388" s="187"/>
      <c r="G388" s="187"/>
      <c r="H388" s="187"/>
      <c r="I388" s="187"/>
      <c r="J388" s="187"/>
      <c r="K388" s="187"/>
      <c r="L388" s="187"/>
      <c r="M388" s="187"/>
      <c r="N388" s="187"/>
      <c r="O388" s="187"/>
      <c r="P388" s="187"/>
      <c r="Q388" s="187"/>
      <c r="R388" s="187"/>
      <c r="S388" s="187"/>
      <c r="T388" s="187"/>
      <c r="U388" s="187"/>
      <c r="V388" s="187"/>
      <c r="W388" s="187"/>
      <c r="X388" s="187"/>
      <c r="Y388" s="187"/>
      <c r="Z388" s="187"/>
    </row>
    <row r="389" ht="15.75" customHeight="1">
      <c r="A389" s="203"/>
      <c r="B389" s="187"/>
      <c r="C389" s="187"/>
      <c r="D389" s="187"/>
      <c r="E389" s="187"/>
      <c r="F389" s="187"/>
      <c r="G389" s="187"/>
      <c r="H389" s="187"/>
      <c r="I389" s="187"/>
      <c r="J389" s="187"/>
      <c r="K389" s="187"/>
      <c r="L389" s="187"/>
      <c r="M389" s="187"/>
      <c r="N389" s="187"/>
      <c r="O389" s="187"/>
      <c r="P389" s="187"/>
      <c r="Q389" s="187"/>
      <c r="R389" s="187"/>
      <c r="S389" s="187"/>
      <c r="T389" s="187"/>
      <c r="U389" s="187"/>
      <c r="V389" s="187"/>
      <c r="W389" s="187"/>
      <c r="X389" s="187"/>
      <c r="Y389" s="187"/>
      <c r="Z389" s="187"/>
    </row>
    <row r="390" ht="15.75" customHeight="1">
      <c r="A390" s="203"/>
      <c r="B390" s="187"/>
      <c r="C390" s="187"/>
      <c r="D390" s="187"/>
      <c r="E390" s="187"/>
      <c r="F390" s="187"/>
      <c r="G390" s="187"/>
      <c r="H390" s="187"/>
      <c r="I390" s="187"/>
      <c r="J390" s="187"/>
      <c r="K390" s="187"/>
      <c r="L390" s="187"/>
      <c r="M390" s="187"/>
      <c r="N390" s="187"/>
      <c r="O390" s="187"/>
      <c r="P390" s="187"/>
      <c r="Q390" s="187"/>
      <c r="R390" s="187"/>
      <c r="S390" s="187"/>
      <c r="T390" s="187"/>
      <c r="U390" s="187"/>
      <c r="V390" s="187"/>
      <c r="W390" s="187"/>
      <c r="X390" s="187"/>
      <c r="Y390" s="187"/>
      <c r="Z390" s="187"/>
    </row>
    <row r="391" ht="15.75" customHeight="1">
      <c r="A391" s="203"/>
      <c r="B391" s="187"/>
      <c r="C391" s="187"/>
      <c r="D391" s="187"/>
      <c r="E391" s="187"/>
      <c r="F391" s="187"/>
      <c r="G391" s="187"/>
      <c r="H391" s="187"/>
      <c r="I391" s="187"/>
      <c r="J391" s="187"/>
      <c r="K391" s="187"/>
      <c r="L391" s="187"/>
      <c r="M391" s="187"/>
      <c r="N391" s="187"/>
      <c r="O391" s="187"/>
      <c r="P391" s="187"/>
      <c r="Q391" s="187"/>
      <c r="R391" s="187"/>
      <c r="S391" s="187"/>
      <c r="T391" s="187"/>
      <c r="U391" s="187"/>
      <c r="V391" s="187"/>
      <c r="W391" s="187"/>
      <c r="X391" s="187"/>
      <c r="Y391" s="187"/>
      <c r="Z391" s="187"/>
    </row>
    <row r="392" ht="15.75" customHeight="1">
      <c r="A392" s="203"/>
      <c r="B392" s="187"/>
      <c r="C392" s="187"/>
      <c r="D392" s="187"/>
      <c r="E392" s="187"/>
      <c r="F392" s="187"/>
      <c r="G392" s="187"/>
      <c r="H392" s="187"/>
      <c r="I392" s="187"/>
      <c r="J392" s="187"/>
      <c r="K392" s="187"/>
      <c r="L392" s="187"/>
      <c r="M392" s="187"/>
      <c r="N392" s="187"/>
      <c r="O392" s="187"/>
      <c r="P392" s="187"/>
      <c r="Q392" s="187"/>
      <c r="R392" s="187"/>
      <c r="S392" s="187"/>
      <c r="T392" s="187"/>
      <c r="U392" s="187"/>
      <c r="V392" s="187"/>
      <c r="W392" s="187"/>
      <c r="X392" s="187"/>
      <c r="Y392" s="187"/>
      <c r="Z392" s="187"/>
    </row>
    <row r="393" ht="15.75" customHeight="1">
      <c r="A393" s="203"/>
      <c r="B393" s="187"/>
      <c r="C393" s="187"/>
      <c r="D393" s="187"/>
      <c r="E393" s="187"/>
      <c r="F393" s="187"/>
      <c r="G393" s="187"/>
      <c r="H393" s="187"/>
      <c r="I393" s="187"/>
      <c r="J393" s="187"/>
      <c r="K393" s="187"/>
      <c r="L393" s="187"/>
      <c r="M393" s="187"/>
      <c r="N393" s="187"/>
      <c r="O393" s="187"/>
      <c r="P393" s="187"/>
      <c r="Q393" s="187"/>
      <c r="R393" s="187"/>
      <c r="S393" s="187"/>
      <c r="T393" s="187"/>
      <c r="U393" s="187"/>
      <c r="V393" s="187"/>
      <c r="W393" s="187"/>
      <c r="X393" s="187"/>
      <c r="Y393" s="187"/>
      <c r="Z393" s="187"/>
    </row>
    <row r="394" ht="15.75" customHeight="1">
      <c r="A394" s="203"/>
      <c r="B394" s="187"/>
      <c r="C394" s="187"/>
      <c r="D394" s="187"/>
      <c r="E394" s="187"/>
      <c r="F394" s="187"/>
      <c r="G394" s="187"/>
      <c r="H394" s="187"/>
      <c r="I394" s="187"/>
      <c r="J394" s="187"/>
      <c r="K394" s="187"/>
      <c r="L394" s="187"/>
      <c r="M394" s="187"/>
      <c r="N394" s="187"/>
      <c r="O394" s="187"/>
      <c r="P394" s="187"/>
      <c r="Q394" s="187"/>
      <c r="R394" s="187"/>
      <c r="S394" s="187"/>
      <c r="T394" s="187"/>
      <c r="U394" s="187"/>
      <c r="V394" s="187"/>
      <c r="W394" s="187"/>
      <c r="X394" s="187"/>
      <c r="Y394" s="187"/>
      <c r="Z394" s="187"/>
    </row>
    <row r="395" ht="15.75" customHeight="1">
      <c r="A395" s="203"/>
      <c r="B395" s="187"/>
      <c r="C395" s="187"/>
      <c r="D395" s="187"/>
      <c r="E395" s="187"/>
      <c r="F395" s="187"/>
      <c r="G395" s="187"/>
      <c r="H395" s="187"/>
      <c r="I395" s="187"/>
      <c r="J395" s="187"/>
      <c r="K395" s="187"/>
      <c r="L395" s="187"/>
      <c r="M395" s="187"/>
      <c r="N395" s="187"/>
      <c r="O395" s="187"/>
      <c r="P395" s="187"/>
      <c r="Q395" s="187"/>
      <c r="R395" s="187"/>
      <c r="S395" s="187"/>
      <c r="T395" s="187"/>
      <c r="U395" s="187"/>
      <c r="V395" s="187"/>
      <c r="W395" s="187"/>
      <c r="X395" s="187"/>
      <c r="Y395" s="187"/>
      <c r="Z395" s="187"/>
    </row>
    <row r="396" ht="15.75" customHeight="1">
      <c r="A396" s="203"/>
      <c r="B396" s="187"/>
      <c r="C396" s="187"/>
      <c r="D396" s="187"/>
      <c r="E396" s="187"/>
      <c r="F396" s="187"/>
      <c r="G396" s="187"/>
      <c r="H396" s="187"/>
      <c r="I396" s="187"/>
      <c r="J396" s="187"/>
      <c r="K396" s="187"/>
      <c r="L396" s="187"/>
      <c r="M396" s="187"/>
      <c r="N396" s="187"/>
      <c r="O396" s="187"/>
      <c r="P396" s="187"/>
      <c r="Q396" s="187"/>
      <c r="R396" s="187"/>
      <c r="S396" s="187"/>
      <c r="T396" s="187"/>
      <c r="U396" s="187"/>
      <c r="V396" s="187"/>
      <c r="W396" s="187"/>
      <c r="X396" s="187"/>
      <c r="Y396" s="187"/>
      <c r="Z396" s="187"/>
    </row>
    <row r="397" ht="15.75" customHeight="1">
      <c r="A397" s="203"/>
      <c r="B397" s="187"/>
      <c r="C397" s="187"/>
      <c r="D397" s="187"/>
      <c r="E397" s="187"/>
      <c r="F397" s="187"/>
      <c r="G397" s="187"/>
      <c r="H397" s="187"/>
      <c r="I397" s="187"/>
      <c r="J397" s="187"/>
      <c r="K397" s="187"/>
      <c r="L397" s="187"/>
      <c r="M397" s="187"/>
      <c r="N397" s="187"/>
      <c r="O397" s="187"/>
      <c r="P397" s="187"/>
      <c r="Q397" s="187"/>
      <c r="R397" s="187"/>
      <c r="S397" s="187"/>
      <c r="T397" s="187"/>
      <c r="U397" s="187"/>
      <c r="V397" s="187"/>
      <c r="W397" s="187"/>
      <c r="X397" s="187"/>
      <c r="Y397" s="187"/>
      <c r="Z397" s="187"/>
    </row>
    <row r="398" ht="15.75" customHeight="1">
      <c r="A398" s="203"/>
      <c r="B398" s="187"/>
      <c r="C398" s="187"/>
      <c r="D398" s="187"/>
      <c r="E398" s="187"/>
      <c r="F398" s="187"/>
      <c r="G398" s="187"/>
      <c r="H398" s="187"/>
      <c r="I398" s="187"/>
      <c r="J398" s="187"/>
      <c r="K398" s="187"/>
      <c r="L398" s="187"/>
      <c r="M398" s="187"/>
      <c r="N398" s="187"/>
      <c r="O398" s="187"/>
      <c r="P398" s="187"/>
      <c r="Q398" s="187"/>
      <c r="R398" s="187"/>
      <c r="S398" s="187"/>
      <c r="T398" s="187"/>
      <c r="U398" s="187"/>
      <c r="V398" s="187"/>
      <c r="W398" s="187"/>
      <c r="X398" s="187"/>
      <c r="Y398" s="187"/>
      <c r="Z398" s="187"/>
    </row>
    <row r="399" ht="15.75" customHeight="1">
      <c r="A399" s="203"/>
      <c r="B399" s="187"/>
      <c r="C399" s="187"/>
      <c r="D399" s="187"/>
      <c r="E399" s="187"/>
      <c r="F399" s="187"/>
      <c r="G399" s="187"/>
      <c r="H399" s="187"/>
      <c r="I399" s="187"/>
      <c r="J399" s="187"/>
      <c r="K399" s="187"/>
      <c r="L399" s="187"/>
      <c r="M399" s="187"/>
      <c r="N399" s="187"/>
      <c r="O399" s="187"/>
      <c r="P399" s="187"/>
      <c r="Q399" s="187"/>
      <c r="R399" s="187"/>
      <c r="S399" s="187"/>
      <c r="T399" s="187"/>
      <c r="U399" s="187"/>
      <c r="V399" s="187"/>
      <c r="W399" s="187"/>
      <c r="X399" s="187"/>
      <c r="Y399" s="187"/>
      <c r="Z399" s="187"/>
    </row>
    <row r="400" ht="15.75" customHeight="1">
      <c r="A400" s="203"/>
      <c r="B400" s="187"/>
      <c r="C400" s="187"/>
      <c r="D400" s="187"/>
      <c r="E400" s="187"/>
      <c r="F400" s="187"/>
      <c r="G400" s="187"/>
      <c r="H400" s="187"/>
      <c r="I400" s="187"/>
      <c r="J400" s="187"/>
      <c r="K400" s="187"/>
      <c r="L400" s="187"/>
      <c r="M400" s="187"/>
      <c r="N400" s="187"/>
      <c r="O400" s="187"/>
      <c r="P400" s="187"/>
      <c r="Q400" s="187"/>
      <c r="R400" s="187"/>
      <c r="S400" s="187"/>
      <c r="T400" s="187"/>
      <c r="U400" s="187"/>
      <c r="V400" s="187"/>
      <c r="W400" s="187"/>
      <c r="X400" s="187"/>
      <c r="Y400" s="187"/>
      <c r="Z400" s="187"/>
    </row>
    <row r="401" ht="15.75" customHeight="1">
      <c r="A401" s="203"/>
      <c r="B401" s="187"/>
      <c r="C401" s="187"/>
      <c r="D401" s="187"/>
      <c r="E401" s="187"/>
      <c r="F401" s="187"/>
      <c r="G401" s="187"/>
      <c r="H401" s="187"/>
      <c r="I401" s="187"/>
      <c r="J401" s="187"/>
      <c r="K401" s="187"/>
      <c r="L401" s="187"/>
      <c r="M401" s="187"/>
      <c r="N401" s="187"/>
      <c r="O401" s="187"/>
      <c r="P401" s="187"/>
      <c r="Q401" s="187"/>
      <c r="R401" s="187"/>
      <c r="S401" s="187"/>
      <c r="T401" s="187"/>
      <c r="U401" s="187"/>
      <c r="V401" s="187"/>
      <c r="W401" s="187"/>
      <c r="X401" s="187"/>
      <c r="Y401" s="187"/>
      <c r="Z401" s="187"/>
    </row>
    <row r="402" ht="15.75" customHeight="1">
      <c r="A402" s="203"/>
      <c r="B402" s="187"/>
      <c r="C402" s="187"/>
      <c r="D402" s="187"/>
      <c r="E402" s="187"/>
      <c r="F402" s="187"/>
      <c r="G402" s="187"/>
      <c r="H402" s="187"/>
      <c r="I402" s="187"/>
      <c r="J402" s="187"/>
      <c r="K402" s="187"/>
      <c r="L402" s="187"/>
      <c r="M402" s="187"/>
      <c r="N402" s="187"/>
      <c r="O402" s="187"/>
      <c r="P402" s="187"/>
      <c r="Q402" s="187"/>
      <c r="R402" s="187"/>
      <c r="S402" s="187"/>
      <c r="T402" s="187"/>
      <c r="U402" s="187"/>
      <c r="V402" s="187"/>
      <c r="W402" s="187"/>
      <c r="X402" s="187"/>
      <c r="Y402" s="187"/>
      <c r="Z402" s="187"/>
    </row>
    <row r="403" ht="15.75" customHeight="1">
      <c r="A403" s="203"/>
      <c r="B403" s="187"/>
      <c r="C403" s="187"/>
      <c r="D403" s="187"/>
      <c r="E403" s="187"/>
      <c r="F403" s="187"/>
      <c r="G403" s="187"/>
      <c r="H403" s="187"/>
      <c r="I403" s="187"/>
      <c r="J403" s="187"/>
      <c r="K403" s="187"/>
      <c r="L403" s="187"/>
      <c r="M403" s="187"/>
      <c r="N403" s="187"/>
      <c r="O403" s="187"/>
      <c r="P403" s="187"/>
      <c r="Q403" s="187"/>
      <c r="R403" s="187"/>
      <c r="S403" s="187"/>
      <c r="T403" s="187"/>
      <c r="U403" s="187"/>
      <c r="V403" s="187"/>
      <c r="W403" s="187"/>
      <c r="X403" s="187"/>
      <c r="Y403" s="187"/>
      <c r="Z403" s="187"/>
    </row>
    <row r="404" ht="15.75" customHeight="1">
      <c r="A404" s="203"/>
      <c r="B404" s="187"/>
      <c r="C404" s="187"/>
      <c r="D404" s="187"/>
      <c r="E404" s="187"/>
      <c r="F404" s="187"/>
      <c r="G404" s="187"/>
      <c r="H404" s="187"/>
      <c r="I404" s="187"/>
      <c r="J404" s="187"/>
      <c r="K404" s="187"/>
      <c r="L404" s="187"/>
      <c r="M404" s="187"/>
      <c r="N404" s="187"/>
      <c r="O404" s="187"/>
      <c r="P404" s="187"/>
      <c r="Q404" s="187"/>
      <c r="R404" s="187"/>
      <c r="S404" s="187"/>
      <c r="T404" s="187"/>
      <c r="U404" s="187"/>
      <c r="V404" s="187"/>
      <c r="W404" s="187"/>
      <c r="X404" s="187"/>
      <c r="Y404" s="187"/>
      <c r="Z404" s="187"/>
    </row>
    <row r="405" ht="15.75" customHeight="1">
      <c r="A405" s="203"/>
      <c r="B405" s="187"/>
      <c r="C405" s="187"/>
      <c r="D405" s="187"/>
      <c r="E405" s="187"/>
      <c r="F405" s="187"/>
      <c r="G405" s="187"/>
      <c r="H405" s="187"/>
      <c r="I405" s="187"/>
      <c r="J405" s="187"/>
      <c r="K405" s="187"/>
      <c r="L405" s="187"/>
      <c r="M405" s="187"/>
      <c r="N405" s="187"/>
      <c r="O405" s="187"/>
      <c r="P405" s="187"/>
      <c r="Q405" s="187"/>
      <c r="R405" s="187"/>
      <c r="S405" s="187"/>
      <c r="T405" s="187"/>
      <c r="U405" s="187"/>
      <c r="V405" s="187"/>
      <c r="W405" s="187"/>
      <c r="X405" s="187"/>
      <c r="Y405" s="187"/>
      <c r="Z405" s="187"/>
    </row>
    <row r="406" ht="15.75" customHeight="1">
      <c r="A406" s="203"/>
      <c r="B406" s="187"/>
      <c r="C406" s="187"/>
      <c r="D406" s="187"/>
      <c r="E406" s="187"/>
      <c r="F406" s="187"/>
      <c r="G406" s="187"/>
      <c r="H406" s="187"/>
      <c r="I406" s="187"/>
      <c r="J406" s="187"/>
      <c r="K406" s="187"/>
      <c r="L406" s="187"/>
      <c r="M406" s="187"/>
      <c r="N406" s="187"/>
      <c r="O406" s="187"/>
      <c r="P406" s="187"/>
      <c r="Q406" s="187"/>
      <c r="R406" s="187"/>
      <c r="S406" s="187"/>
      <c r="T406" s="187"/>
      <c r="U406" s="187"/>
      <c r="V406" s="187"/>
      <c r="W406" s="187"/>
      <c r="X406" s="187"/>
      <c r="Y406" s="187"/>
      <c r="Z406" s="187"/>
    </row>
    <row r="407" ht="15.75" customHeight="1">
      <c r="A407" s="203"/>
      <c r="B407" s="187"/>
      <c r="C407" s="187"/>
      <c r="D407" s="187"/>
      <c r="E407" s="187"/>
      <c r="F407" s="187"/>
      <c r="G407" s="187"/>
      <c r="H407" s="187"/>
      <c r="I407" s="187"/>
      <c r="J407" s="187"/>
      <c r="K407" s="187"/>
      <c r="L407" s="187"/>
      <c r="M407" s="187"/>
      <c r="N407" s="187"/>
      <c r="O407" s="187"/>
      <c r="P407" s="187"/>
      <c r="Q407" s="187"/>
      <c r="R407" s="187"/>
      <c r="S407" s="187"/>
      <c r="T407" s="187"/>
      <c r="U407" s="187"/>
      <c r="V407" s="187"/>
      <c r="W407" s="187"/>
      <c r="X407" s="187"/>
      <c r="Y407" s="187"/>
      <c r="Z407" s="187"/>
    </row>
    <row r="408" ht="15.75" customHeight="1">
      <c r="A408" s="203"/>
      <c r="B408" s="187"/>
      <c r="C408" s="187"/>
      <c r="D408" s="187"/>
      <c r="E408" s="187"/>
      <c r="F408" s="187"/>
      <c r="G408" s="187"/>
      <c r="H408" s="187"/>
      <c r="I408" s="187"/>
      <c r="J408" s="187"/>
      <c r="K408" s="187"/>
      <c r="L408" s="187"/>
      <c r="M408" s="187"/>
      <c r="N408" s="187"/>
      <c r="O408" s="187"/>
      <c r="P408" s="187"/>
      <c r="Q408" s="187"/>
      <c r="R408" s="187"/>
      <c r="S408" s="187"/>
      <c r="T408" s="187"/>
      <c r="U408" s="187"/>
      <c r="V408" s="187"/>
      <c r="W408" s="187"/>
      <c r="X408" s="187"/>
      <c r="Y408" s="187"/>
      <c r="Z408" s="187"/>
    </row>
    <row r="409" ht="15.75" customHeight="1">
      <c r="A409" s="203"/>
      <c r="B409" s="187"/>
      <c r="C409" s="187"/>
      <c r="D409" s="187"/>
      <c r="E409" s="187"/>
      <c r="F409" s="187"/>
      <c r="G409" s="187"/>
      <c r="H409" s="187"/>
      <c r="I409" s="187"/>
      <c r="J409" s="187"/>
      <c r="K409" s="187"/>
      <c r="L409" s="187"/>
      <c r="M409" s="187"/>
      <c r="N409" s="187"/>
      <c r="O409" s="187"/>
      <c r="P409" s="187"/>
      <c r="Q409" s="187"/>
      <c r="R409" s="187"/>
      <c r="S409" s="187"/>
      <c r="T409" s="187"/>
      <c r="U409" s="187"/>
      <c r="V409" s="187"/>
      <c r="W409" s="187"/>
      <c r="X409" s="187"/>
      <c r="Y409" s="187"/>
      <c r="Z409" s="187"/>
    </row>
    <row r="410" ht="15.75" customHeight="1">
      <c r="A410" s="203"/>
      <c r="B410" s="187"/>
      <c r="C410" s="187"/>
      <c r="D410" s="187"/>
      <c r="E410" s="187"/>
      <c r="F410" s="187"/>
      <c r="G410" s="187"/>
      <c r="H410" s="187"/>
      <c r="I410" s="187"/>
      <c r="J410" s="187"/>
      <c r="K410" s="187"/>
      <c r="L410" s="187"/>
      <c r="M410" s="187"/>
      <c r="N410" s="187"/>
      <c r="O410" s="187"/>
      <c r="P410" s="187"/>
      <c r="Q410" s="187"/>
      <c r="R410" s="187"/>
      <c r="S410" s="187"/>
      <c r="T410" s="187"/>
      <c r="U410" s="187"/>
      <c r="V410" s="187"/>
      <c r="W410" s="187"/>
      <c r="X410" s="187"/>
      <c r="Y410" s="187"/>
      <c r="Z410" s="187"/>
    </row>
    <row r="411" ht="15.75" customHeight="1">
      <c r="A411" s="203"/>
      <c r="B411" s="187"/>
      <c r="C411" s="187"/>
      <c r="D411" s="187"/>
      <c r="E411" s="187"/>
      <c r="F411" s="187"/>
      <c r="G411" s="187"/>
      <c r="H411" s="187"/>
      <c r="I411" s="187"/>
      <c r="J411" s="187"/>
      <c r="K411" s="187"/>
      <c r="L411" s="187"/>
      <c r="M411" s="187"/>
      <c r="N411" s="187"/>
      <c r="O411" s="187"/>
      <c r="P411" s="187"/>
      <c r="Q411" s="187"/>
      <c r="R411" s="187"/>
      <c r="S411" s="187"/>
      <c r="T411" s="187"/>
      <c r="U411" s="187"/>
      <c r="V411" s="187"/>
      <c r="W411" s="187"/>
      <c r="X411" s="187"/>
      <c r="Y411" s="187"/>
      <c r="Z411" s="187"/>
    </row>
    <row r="412" ht="15.75" customHeight="1">
      <c r="A412" s="203"/>
      <c r="B412" s="187"/>
      <c r="C412" s="187"/>
      <c r="D412" s="187"/>
      <c r="E412" s="187"/>
      <c r="F412" s="187"/>
      <c r="G412" s="187"/>
      <c r="H412" s="187"/>
      <c r="I412" s="187"/>
      <c r="J412" s="187"/>
      <c r="K412" s="187"/>
      <c r="L412" s="187"/>
      <c r="M412" s="187"/>
      <c r="N412" s="187"/>
      <c r="O412" s="187"/>
      <c r="P412" s="187"/>
      <c r="Q412" s="187"/>
      <c r="R412" s="187"/>
      <c r="S412" s="187"/>
      <c r="T412" s="187"/>
      <c r="U412" s="187"/>
      <c r="V412" s="187"/>
      <c r="W412" s="187"/>
      <c r="X412" s="187"/>
      <c r="Y412" s="187"/>
      <c r="Z412" s="187"/>
    </row>
    <row r="413" ht="15.75" customHeight="1">
      <c r="A413" s="203"/>
      <c r="B413" s="187"/>
      <c r="C413" s="187"/>
      <c r="D413" s="187"/>
      <c r="E413" s="187"/>
      <c r="F413" s="187"/>
      <c r="G413" s="187"/>
      <c r="H413" s="187"/>
      <c r="I413" s="187"/>
      <c r="J413" s="187"/>
      <c r="K413" s="187"/>
      <c r="L413" s="187"/>
      <c r="M413" s="187"/>
      <c r="N413" s="187"/>
      <c r="O413" s="187"/>
      <c r="P413" s="187"/>
      <c r="Q413" s="187"/>
      <c r="R413" s="187"/>
      <c r="S413" s="187"/>
      <c r="T413" s="187"/>
      <c r="U413" s="187"/>
      <c r="V413" s="187"/>
      <c r="W413" s="187"/>
      <c r="X413" s="187"/>
      <c r="Y413" s="187"/>
      <c r="Z413" s="187"/>
    </row>
    <row r="414" ht="15.75" customHeight="1">
      <c r="A414" s="203"/>
      <c r="B414" s="187"/>
      <c r="C414" s="187"/>
      <c r="D414" s="187"/>
      <c r="E414" s="187"/>
      <c r="F414" s="187"/>
      <c r="G414" s="187"/>
      <c r="H414" s="187"/>
      <c r="I414" s="187"/>
      <c r="J414" s="187"/>
      <c r="K414" s="187"/>
      <c r="L414" s="187"/>
      <c r="M414" s="187"/>
      <c r="N414" s="187"/>
      <c r="O414" s="187"/>
      <c r="P414" s="187"/>
      <c r="Q414" s="187"/>
      <c r="R414" s="187"/>
      <c r="S414" s="187"/>
      <c r="T414" s="187"/>
      <c r="U414" s="187"/>
      <c r="V414" s="187"/>
      <c r="W414" s="187"/>
      <c r="X414" s="187"/>
      <c r="Y414" s="187"/>
      <c r="Z414" s="187"/>
    </row>
    <row r="415" ht="15.75" customHeight="1">
      <c r="A415" s="203"/>
      <c r="B415" s="187"/>
      <c r="C415" s="187"/>
      <c r="D415" s="187"/>
      <c r="E415" s="187"/>
      <c r="F415" s="187"/>
      <c r="G415" s="187"/>
      <c r="H415" s="187"/>
      <c r="I415" s="187"/>
      <c r="J415" s="187"/>
      <c r="K415" s="187"/>
      <c r="L415" s="187"/>
      <c r="M415" s="187"/>
      <c r="N415" s="187"/>
      <c r="O415" s="187"/>
      <c r="P415" s="187"/>
      <c r="Q415" s="187"/>
      <c r="R415" s="187"/>
      <c r="S415" s="187"/>
      <c r="T415" s="187"/>
      <c r="U415" s="187"/>
      <c r="V415" s="187"/>
      <c r="W415" s="187"/>
      <c r="X415" s="187"/>
      <c r="Y415" s="187"/>
      <c r="Z415" s="187"/>
    </row>
    <row r="416" ht="15.75" customHeight="1">
      <c r="A416" s="203"/>
      <c r="B416" s="187"/>
      <c r="C416" s="187"/>
      <c r="D416" s="187"/>
      <c r="E416" s="187"/>
      <c r="F416" s="187"/>
      <c r="G416" s="187"/>
      <c r="H416" s="187"/>
      <c r="I416" s="187"/>
      <c r="J416" s="187"/>
      <c r="K416" s="187"/>
      <c r="L416" s="187"/>
      <c r="M416" s="187"/>
      <c r="N416" s="187"/>
      <c r="O416" s="187"/>
      <c r="P416" s="187"/>
      <c r="Q416" s="187"/>
      <c r="R416" s="187"/>
      <c r="S416" s="187"/>
      <c r="T416" s="187"/>
      <c r="U416" s="187"/>
      <c r="V416" s="187"/>
      <c r="W416" s="187"/>
      <c r="X416" s="187"/>
      <c r="Y416" s="187"/>
      <c r="Z416" s="187"/>
    </row>
    <row r="417" ht="15.75" customHeight="1">
      <c r="A417" s="203"/>
      <c r="B417" s="187"/>
      <c r="C417" s="187"/>
      <c r="D417" s="187"/>
      <c r="E417" s="187"/>
      <c r="F417" s="187"/>
      <c r="G417" s="187"/>
      <c r="H417" s="187"/>
      <c r="I417" s="187"/>
      <c r="J417" s="187"/>
      <c r="K417" s="187"/>
      <c r="L417" s="187"/>
      <c r="M417" s="187"/>
      <c r="N417" s="187"/>
      <c r="O417" s="187"/>
      <c r="P417" s="187"/>
      <c r="Q417" s="187"/>
      <c r="R417" s="187"/>
      <c r="S417" s="187"/>
      <c r="T417" s="187"/>
      <c r="U417" s="187"/>
      <c r="V417" s="187"/>
      <c r="W417" s="187"/>
      <c r="X417" s="187"/>
      <c r="Y417" s="187"/>
      <c r="Z417" s="187"/>
    </row>
    <row r="418" ht="15.75" customHeight="1">
      <c r="A418" s="203"/>
      <c r="B418" s="187"/>
      <c r="C418" s="187"/>
      <c r="D418" s="187"/>
      <c r="E418" s="187"/>
      <c r="F418" s="187"/>
      <c r="G418" s="187"/>
      <c r="H418" s="187"/>
      <c r="I418" s="187"/>
      <c r="J418" s="187"/>
      <c r="K418" s="187"/>
      <c r="L418" s="187"/>
      <c r="M418" s="187"/>
      <c r="N418" s="187"/>
      <c r="O418" s="187"/>
      <c r="P418" s="187"/>
      <c r="Q418" s="187"/>
      <c r="R418" s="187"/>
      <c r="S418" s="187"/>
      <c r="T418" s="187"/>
      <c r="U418" s="187"/>
      <c r="V418" s="187"/>
      <c r="W418" s="187"/>
      <c r="X418" s="187"/>
      <c r="Y418" s="187"/>
      <c r="Z418" s="187"/>
    </row>
    <row r="419" ht="15.75" customHeight="1">
      <c r="A419" s="203"/>
      <c r="B419" s="187"/>
      <c r="C419" s="187"/>
      <c r="D419" s="187"/>
      <c r="E419" s="187"/>
      <c r="F419" s="187"/>
      <c r="G419" s="187"/>
      <c r="H419" s="187"/>
      <c r="I419" s="187"/>
      <c r="J419" s="187"/>
      <c r="K419" s="187"/>
      <c r="L419" s="187"/>
      <c r="M419" s="187"/>
      <c r="N419" s="187"/>
      <c r="O419" s="187"/>
      <c r="P419" s="187"/>
      <c r="Q419" s="187"/>
      <c r="R419" s="187"/>
      <c r="S419" s="187"/>
      <c r="T419" s="187"/>
      <c r="U419" s="187"/>
      <c r="V419" s="187"/>
      <c r="W419" s="187"/>
      <c r="X419" s="187"/>
      <c r="Y419" s="187"/>
      <c r="Z419" s="187"/>
    </row>
    <row r="420" ht="15.75" customHeight="1">
      <c r="A420" s="203"/>
      <c r="B420" s="187"/>
      <c r="C420" s="187"/>
      <c r="D420" s="187"/>
      <c r="E420" s="187"/>
      <c r="F420" s="187"/>
      <c r="G420" s="187"/>
      <c r="H420" s="187"/>
      <c r="I420" s="187"/>
      <c r="J420" s="187"/>
      <c r="K420" s="187"/>
      <c r="L420" s="187"/>
      <c r="M420" s="187"/>
      <c r="N420" s="187"/>
      <c r="O420" s="187"/>
      <c r="P420" s="187"/>
      <c r="Q420" s="187"/>
      <c r="R420" s="187"/>
      <c r="S420" s="187"/>
      <c r="T420" s="187"/>
      <c r="U420" s="187"/>
      <c r="V420" s="187"/>
      <c r="W420" s="187"/>
      <c r="X420" s="187"/>
      <c r="Y420" s="187"/>
      <c r="Z420" s="187"/>
    </row>
    <row r="421" ht="15.75" customHeight="1">
      <c r="A421" s="203"/>
      <c r="B421" s="187"/>
      <c r="C421" s="187"/>
      <c r="D421" s="187"/>
      <c r="E421" s="187"/>
      <c r="F421" s="187"/>
      <c r="G421" s="187"/>
      <c r="H421" s="187"/>
      <c r="I421" s="187"/>
      <c r="J421" s="187"/>
      <c r="K421" s="187"/>
      <c r="L421" s="187"/>
      <c r="M421" s="187"/>
      <c r="N421" s="187"/>
      <c r="O421" s="187"/>
      <c r="P421" s="187"/>
      <c r="Q421" s="187"/>
      <c r="R421" s="187"/>
      <c r="S421" s="187"/>
      <c r="T421" s="187"/>
      <c r="U421" s="187"/>
      <c r="V421" s="187"/>
      <c r="W421" s="187"/>
      <c r="X421" s="187"/>
      <c r="Y421" s="187"/>
      <c r="Z421" s="187"/>
    </row>
    <row r="422" ht="15.75" customHeight="1">
      <c r="A422" s="203"/>
      <c r="B422" s="187"/>
      <c r="C422" s="187"/>
      <c r="D422" s="187"/>
      <c r="E422" s="187"/>
      <c r="F422" s="187"/>
      <c r="G422" s="187"/>
      <c r="H422" s="187"/>
      <c r="I422" s="187"/>
      <c r="J422" s="187"/>
      <c r="K422" s="187"/>
      <c r="L422" s="187"/>
      <c r="M422" s="187"/>
      <c r="N422" s="187"/>
      <c r="O422" s="187"/>
      <c r="P422" s="187"/>
      <c r="Q422" s="187"/>
      <c r="R422" s="187"/>
      <c r="S422" s="187"/>
      <c r="T422" s="187"/>
      <c r="U422" s="187"/>
      <c r="V422" s="187"/>
      <c r="W422" s="187"/>
      <c r="X422" s="187"/>
      <c r="Y422" s="187"/>
      <c r="Z422" s="187"/>
    </row>
    <row r="423" ht="15.75" customHeight="1">
      <c r="A423" s="203"/>
      <c r="B423" s="187"/>
      <c r="C423" s="187"/>
      <c r="D423" s="187"/>
      <c r="E423" s="187"/>
      <c r="F423" s="187"/>
      <c r="G423" s="187"/>
      <c r="H423" s="187"/>
      <c r="I423" s="187"/>
      <c r="J423" s="187"/>
      <c r="K423" s="187"/>
      <c r="L423" s="187"/>
      <c r="M423" s="187"/>
      <c r="N423" s="187"/>
      <c r="O423" s="187"/>
      <c r="P423" s="187"/>
      <c r="Q423" s="187"/>
      <c r="R423" s="187"/>
      <c r="S423" s="187"/>
      <c r="T423" s="187"/>
      <c r="U423" s="187"/>
      <c r="V423" s="187"/>
      <c r="W423" s="187"/>
      <c r="X423" s="187"/>
      <c r="Y423" s="187"/>
      <c r="Z423" s="187"/>
    </row>
    <row r="424" ht="15.75" customHeight="1">
      <c r="A424" s="203"/>
      <c r="B424" s="187"/>
      <c r="C424" s="187"/>
      <c r="D424" s="187"/>
      <c r="E424" s="187"/>
      <c r="F424" s="187"/>
      <c r="G424" s="187"/>
      <c r="H424" s="187"/>
      <c r="I424" s="187"/>
      <c r="J424" s="187"/>
      <c r="K424" s="187"/>
      <c r="L424" s="187"/>
      <c r="M424" s="187"/>
      <c r="N424" s="187"/>
      <c r="O424" s="187"/>
      <c r="P424" s="187"/>
      <c r="Q424" s="187"/>
      <c r="R424" s="187"/>
      <c r="S424" s="187"/>
      <c r="T424" s="187"/>
      <c r="U424" s="187"/>
      <c r="V424" s="187"/>
      <c r="W424" s="187"/>
      <c r="X424" s="187"/>
      <c r="Y424" s="187"/>
      <c r="Z424" s="187"/>
    </row>
    <row r="425" ht="15.75" customHeight="1">
      <c r="A425" s="203"/>
      <c r="B425" s="187"/>
      <c r="C425" s="187"/>
      <c r="D425" s="187"/>
      <c r="E425" s="187"/>
      <c r="F425" s="187"/>
      <c r="G425" s="187"/>
      <c r="H425" s="187"/>
      <c r="I425" s="187"/>
      <c r="J425" s="187"/>
      <c r="K425" s="187"/>
      <c r="L425" s="187"/>
      <c r="M425" s="187"/>
      <c r="N425" s="187"/>
      <c r="O425" s="187"/>
      <c r="P425" s="187"/>
      <c r="Q425" s="187"/>
      <c r="R425" s="187"/>
      <c r="S425" s="187"/>
      <c r="T425" s="187"/>
      <c r="U425" s="187"/>
      <c r="V425" s="187"/>
      <c r="W425" s="187"/>
      <c r="X425" s="187"/>
      <c r="Y425" s="187"/>
      <c r="Z425" s="187"/>
    </row>
    <row r="426" ht="15.75" customHeight="1">
      <c r="A426" s="203"/>
      <c r="B426" s="187"/>
      <c r="C426" s="187"/>
      <c r="D426" s="187"/>
      <c r="E426" s="187"/>
      <c r="F426" s="187"/>
      <c r="G426" s="187"/>
      <c r="H426" s="187"/>
      <c r="I426" s="187"/>
      <c r="J426" s="187"/>
      <c r="K426" s="187"/>
      <c r="L426" s="187"/>
      <c r="M426" s="187"/>
      <c r="N426" s="187"/>
      <c r="O426" s="187"/>
      <c r="P426" s="187"/>
      <c r="Q426" s="187"/>
      <c r="R426" s="187"/>
      <c r="S426" s="187"/>
      <c r="T426" s="187"/>
      <c r="U426" s="187"/>
      <c r="V426" s="187"/>
      <c r="W426" s="187"/>
      <c r="X426" s="187"/>
      <c r="Y426" s="187"/>
      <c r="Z426" s="187"/>
    </row>
    <row r="427" ht="15.75" customHeight="1">
      <c r="A427" s="203"/>
      <c r="B427" s="187"/>
      <c r="C427" s="187"/>
      <c r="D427" s="187"/>
      <c r="E427" s="187"/>
      <c r="F427" s="187"/>
      <c r="G427" s="187"/>
      <c r="H427" s="187"/>
      <c r="I427" s="187"/>
      <c r="J427" s="187"/>
      <c r="K427" s="187"/>
      <c r="L427" s="187"/>
      <c r="M427" s="187"/>
      <c r="N427" s="187"/>
      <c r="O427" s="187"/>
      <c r="P427" s="187"/>
      <c r="Q427" s="187"/>
      <c r="R427" s="187"/>
      <c r="S427" s="187"/>
      <c r="T427" s="187"/>
      <c r="U427" s="187"/>
      <c r="V427" s="187"/>
      <c r="W427" s="187"/>
      <c r="X427" s="187"/>
      <c r="Y427" s="187"/>
      <c r="Z427" s="187"/>
    </row>
    <row r="428" ht="15.75" customHeight="1">
      <c r="A428" s="203"/>
      <c r="B428" s="187"/>
      <c r="C428" s="187"/>
      <c r="D428" s="187"/>
      <c r="E428" s="187"/>
      <c r="F428" s="187"/>
      <c r="G428" s="187"/>
      <c r="H428" s="187"/>
      <c r="I428" s="187"/>
      <c r="J428" s="187"/>
      <c r="K428" s="187"/>
      <c r="L428" s="187"/>
      <c r="M428" s="187"/>
      <c r="N428" s="187"/>
      <c r="O428" s="187"/>
      <c r="P428" s="187"/>
      <c r="Q428" s="187"/>
      <c r="R428" s="187"/>
      <c r="S428" s="187"/>
      <c r="T428" s="187"/>
      <c r="U428" s="187"/>
      <c r="V428" s="187"/>
      <c r="W428" s="187"/>
      <c r="X428" s="187"/>
      <c r="Y428" s="187"/>
      <c r="Z428" s="187"/>
    </row>
    <row r="429" ht="15.75" customHeight="1">
      <c r="A429" s="203"/>
      <c r="B429" s="187"/>
      <c r="C429" s="187"/>
      <c r="D429" s="187"/>
      <c r="E429" s="187"/>
      <c r="F429" s="187"/>
      <c r="G429" s="187"/>
      <c r="H429" s="187"/>
      <c r="I429" s="187"/>
      <c r="J429" s="187"/>
      <c r="K429" s="187"/>
      <c r="L429" s="187"/>
      <c r="M429" s="187"/>
      <c r="N429" s="187"/>
      <c r="O429" s="187"/>
      <c r="P429" s="187"/>
      <c r="Q429" s="187"/>
      <c r="R429" s="187"/>
      <c r="S429" s="187"/>
      <c r="T429" s="187"/>
      <c r="U429" s="187"/>
      <c r="V429" s="187"/>
      <c r="W429" s="187"/>
      <c r="X429" s="187"/>
      <c r="Y429" s="187"/>
      <c r="Z429" s="187"/>
    </row>
    <row r="430" ht="15.75" customHeight="1">
      <c r="A430" s="203"/>
      <c r="B430" s="187"/>
      <c r="C430" s="187"/>
      <c r="D430" s="187"/>
      <c r="E430" s="187"/>
      <c r="F430" s="187"/>
      <c r="G430" s="187"/>
      <c r="H430" s="187"/>
      <c r="I430" s="187"/>
      <c r="J430" s="187"/>
      <c r="K430" s="187"/>
      <c r="L430" s="187"/>
      <c r="M430" s="187"/>
      <c r="N430" s="187"/>
      <c r="O430" s="187"/>
      <c r="P430" s="187"/>
      <c r="Q430" s="187"/>
      <c r="R430" s="187"/>
      <c r="S430" s="187"/>
      <c r="T430" s="187"/>
      <c r="U430" s="187"/>
      <c r="V430" s="187"/>
      <c r="W430" s="187"/>
      <c r="X430" s="187"/>
      <c r="Y430" s="187"/>
      <c r="Z430" s="187"/>
    </row>
    <row r="431" ht="15.75" customHeight="1">
      <c r="A431" s="203"/>
      <c r="B431" s="187"/>
      <c r="C431" s="187"/>
      <c r="D431" s="187"/>
      <c r="E431" s="187"/>
      <c r="F431" s="187"/>
      <c r="G431" s="187"/>
      <c r="H431" s="187"/>
      <c r="I431" s="187"/>
      <c r="J431" s="187"/>
      <c r="K431" s="187"/>
      <c r="L431" s="187"/>
      <c r="M431" s="187"/>
      <c r="N431" s="187"/>
      <c r="O431" s="187"/>
      <c r="P431" s="187"/>
      <c r="Q431" s="187"/>
      <c r="R431" s="187"/>
      <c r="S431" s="187"/>
      <c r="T431" s="187"/>
      <c r="U431" s="187"/>
      <c r="V431" s="187"/>
      <c r="W431" s="187"/>
      <c r="X431" s="187"/>
      <c r="Y431" s="187"/>
      <c r="Z431" s="187"/>
    </row>
    <row r="432" ht="15.75" customHeight="1">
      <c r="A432" s="203"/>
      <c r="B432" s="187"/>
      <c r="C432" s="187"/>
      <c r="D432" s="187"/>
      <c r="E432" s="187"/>
      <c r="F432" s="187"/>
      <c r="G432" s="187"/>
      <c r="H432" s="187"/>
      <c r="I432" s="187"/>
      <c r="J432" s="187"/>
      <c r="K432" s="187"/>
      <c r="L432" s="187"/>
      <c r="M432" s="187"/>
      <c r="N432" s="187"/>
      <c r="O432" s="187"/>
      <c r="P432" s="187"/>
      <c r="Q432" s="187"/>
      <c r="R432" s="187"/>
      <c r="S432" s="187"/>
      <c r="T432" s="187"/>
      <c r="U432" s="187"/>
      <c r="V432" s="187"/>
      <c r="W432" s="187"/>
      <c r="X432" s="187"/>
      <c r="Y432" s="187"/>
      <c r="Z432" s="187"/>
    </row>
    <row r="433" ht="15.75" customHeight="1">
      <c r="A433" s="203"/>
      <c r="B433" s="187"/>
      <c r="C433" s="187"/>
      <c r="D433" s="187"/>
      <c r="E433" s="187"/>
      <c r="F433" s="187"/>
      <c r="G433" s="187"/>
      <c r="H433" s="187"/>
      <c r="I433" s="187"/>
      <c r="J433" s="187"/>
      <c r="K433" s="187"/>
      <c r="L433" s="187"/>
      <c r="M433" s="187"/>
      <c r="N433" s="187"/>
      <c r="O433" s="187"/>
      <c r="P433" s="187"/>
      <c r="Q433" s="187"/>
      <c r="R433" s="187"/>
      <c r="S433" s="187"/>
      <c r="T433" s="187"/>
      <c r="U433" s="187"/>
      <c r="V433" s="187"/>
      <c r="W433" s="187"/>
      <c r="X433" s="187"/>
      <c r="Y433" s="187"/>
      <c r="Z433" s="187"/>
    </row>
    <row r="434" ht="15.75" customHeight="1">
      <c r="A434" s="203"/>
      <c r="B434" s="187"/>
      <c r="C434" s="187"/>
      <c r="D434" s="187"/>
      <c r="E434" s="187"/>
      <c r="F434" s="187"/>
      <c r="G434" s="187"/>
      <c r="H434" s="187"/>
      <c r="I434" s="187"/>
      <c r="J434" s="187"/>
      <c r="K434" s="187"/>
      <c r="L434" s="187"/>
      <c r="M434" s="187"/>
      <c r="N434" s="187"/>
      <c r="O434" s="187"/>
      <c r="P434" s="187"/>
      <c r="Q434" s="187"/>
      <c r="R434" s="187"/>
      <c r="S434" s="187"/>
      <c r="T434" s="187"/>
      <c r="U434" s="187"/>
      <c r="V434" s="187"/>
      <c r="W434" s="187"/>
      <c r="X434" s="187"/>
      <c r="Y434" s="187"/>
      <c r="Z434" s="187"/>
    </row>
    <row r="435" ht="15.75" customHeight="1">
      <c r="A435" s="203"/>
      <c r="B435" s="187"/>
      <c r="C435" s="187"/>
      <c r="D435" s="187"/>
      <c r="E435" s="187"/>
      <c r="F435" s="187"/>
      <c r="G435" s="187"/>
      <c r="H435" s="187"/>
      <c r="I435" s="187"/>
      <c r="J435" s="187"/>
      <c r="K435" s="187"/>
      <c r="L435" s="187"/>
      <c r="M435" s="187"/>
      <c r="N435" s="187"/>
      <c r="O435" s="187"/>
      <c r="P435" s="187"/>
      <c r="Q435" s="187"/>
      <c r="R435" s="187"/>
      <c r="S435" s="187"/>
      <c r="T435" s="187"/>
      <c r="U435" s="187"/>
      <c r="V435" s="187"/>
      <c r="W435" s="187"/>
      <c r="X435" s="187"/>
      <c r="Y435" s="187"/>
      <c r="Z435" s="187"/>
    </row>
    <row r="436" ht="15.75" customHeight="1">
      <c r="A436" s="203"/>
      <c r="B436" s="187"/>
      <c r="C436" s="187"/>
      <c r="D436" s="187"/>
      <c r="E436" s="187"/>
      <c r="F436" s="187"/>
      <c r="G436" s="187"/>
      <c r="H436" s="187"/>
      <c r="I436" s="187"/>
      <c r="J436" s="187"/>
      <c r="K436" s="187"/>
      <c r="L436" s="187"/>
      <c r="M436" s="187"/>
      <c r="N436" s="187"/>
      <c r="O436" s="187"/>
      <c r="P436" s="187"/>
      <c r="Q436" s="187"/>
      <c r="R436" s="187"/>
      <c r="S436" s="187"/>
      <c r="T436" s="187"/>
      <c r="U436" s="187"/>
      <c r="V436" s="187"/>
      <c r="W436" s="187"/>
      <c r="X436" s="187"/>
      <c r="Y436" s="187"/>
      <c r="Z436" s="187"/>
    </row>
    <row r="437" ht="15.75" customHeight="1">
      <c r="A437" s="203"/>
      <c r="B437" s="187"/>
      <c r="C437" s="187"/>
      <c r="D437" s="187"/>
      <c r="E437" s="187"/>
      <c r="F437" s="187"/>
      <c r="G437" s="187"/>
      <c r="H437" s="187"/>
      <c r="I437" s="187"/>
      <c r="J437" s="187"/>
      <c r="K437" s="187"/>
      <c r="L437" s="187"/>
      <c r="M437" s="187"/>
      <c r="N437" s="187"/>
      <c r="O437" s="187"/>
      <c r="P437" s="187"/>
      <c r="Q437" s="187"/>
      <c r="R437" s="187"/>
      <c r="S437" s="187"/>
      <c r="T437" s="187"/>
      <c r="U437" s="187"/>
      <c r="V437" s="187"/>
      <c r="W437" s="187"/>
      <c r="X437" s="187"/>
      <c r="Y437" s="187"/>
      <c r="Z437" s="187"/>
    </row>
    <row r="438" ht="15.75" customHeight="1">
      <c r="A438" s="203"/>
      <c r="B438" s="187"/>
      <c r="C438" s="187"/>
      <c r="D438" s="187"/>
      <c r="E438" s="187"/>
      <c r="F438" s="187"/>
      <c r="G438" s="187"/>
      <c r="H438" s="187"/>
      <c r="I438" s="187"/>
      <c r="J438" s="187"/>
      <c r="K438" s="187"/>
      <c r="L438" s="187"/>
      <c r="M438" s="187"/>
      <c r="N438" s="187"/>
      <c r="O438" s="187"/>
      <c r="P438" s="187"/>
      <c r="Q438" s="187"/>
      <c r="R438" s="187"/>
      <c r="S438" s="187"/>
      <c r="T438" s="187"/>
      <c r="U438" s="187"/>
      <c r="V438" s="187"/>
      <c r="W438" s="187"/>
      <c r="X438" s="187"/>
      <c r="Y438" s="187"/>
      <c r="Z438" s="187"/>
    </row>
    <row r="439" ht="15.75" customHeight="1">
      <c r="A439" s="203"/>
      <c r="B439" s="187"/>
      <c r="C439" s="187"/>
      <c r="D439" s="187"/>
      <c r="E439" s="187"/>
      <c r="F439" s="187"/>
      <c r="G439" s="187"/>
      <c r="H439" s="187"/>
      <c r="I439" s="187"/>
      <c r="J439" s="187"/>
      <c r="K439" s="187"/>
      <c r="L439" s="187"/>
      <c r="M439" s="187"/>
      <c r="N439" s="187"/>
      <c r="O439" s="187"/>
      <c r="P439" s="187"/>
      <c r="Q439" s="187"/>
      <c r="R439" s="187"/>
      <c r="S439" s="187"/>
      <c r="T439" s="187"/>
      <c r="U439" s="187"/>
      <c r="V439" s="187"/>
      <c r="W439" s="187"/>
      <c r="X439" s="187"/>
      <c r="Y439" s="187"/>
      <c r="Z439" s="187"/>
    </row>
    <row r="440" ht="15.75" customHeight="1">
      <c r="A440" s="203"/>
      <c r="B440" s="187"/>
      <c r="C440" s="187"/>
      <c r="D440" s="187"/>
      <c r="E440" s="187"/>
      <c r="F440" s="187"/>
      <c r="G440" s="187"/>
      <c r="H440" s="187"/>
      <c r="I440" s="187"/>
      <c r="J440" s="187"/>
      <c r="K440" s="187"/>
      <c r="L440" s="187"/>
      <c r="M440" s="187"/>
      <c r="N440" s="187"/>
      <c r="O440" s="187"/>
      <c r="P440" s="187"/>
      <c r="Q440" s="187"/>
      <c r="R440" s="187"/>
      <c r="S440" s="187"/>
      <c r="T440" s="187"/>
      <c r="U440" s="187"/>
      <c r="V440" s="187"/>
      <c r="W440" s="187"/>
      <c r="X440" s="187"/>
      <c r="Y440" s="187"/>
      <c r="Z440" s="187"/>
    </row>
    <row r="441" ht="15.75" customHeight="1">
      <c r="A441" s="203"/>
      <c r="B441" s="187"/>
      <c r="C441" s="187"/>
      <c r="D441" s="187"/>
      <c r="E441" s="187"/>
      <c r="F441" s="187"/>
      <c r="G441" s="187"/>
      <c r="H441" s="187"/>
      <c r="I441" s="187"/>
      <c r="J441" s="187"/>
      <c r="K441" s="187"/>
      <c r="L441" s="187"/>
      <c r="M441" s="187"/>
      <c r="N441" s="187"/>
      <c r="O441" s="187"/>
      <c r="P441" s="187"/>
      <c r="Q441" s="187"/>
      <c r="R441" s="187"/>
      <c r="S441" s="187"/>
      <c r="T441" s="187"/>
      <c r="U441" s="187"/>
      <c r="V441" s="187"/>
      <c r="W441" s="187"/>
      <c r="X441" s="187"/>
      <c r="Y441" s="187"/>
      <c r="Z441" s="187"/>
    </row>
    <row r="442" ht="15.75" customHeight="1">
      <c r="A442" s="203"/>
      <c r="B442" s="187"/>
      <c r="C442" s="187"/>
      <c r="D442" s="187"/>
      <c r="E442" s="187"/>
      <c r="F442" s="187"/>
      <c r="G442" s="187"/>
      <c r="H442" s="187"/>
      <c r="I442" s="187"/>
      <c r="J442" s="187"/>
      <c r="K442" s="187"/>
      <c r="L442" s="187"/>
      <c r="M442" s="187"/>
      <c r="N442" s="187"/>
      <c r="O442" s="187"/>
      <c r="P442" s="187"/>
      <c r="Q442" s="187"/>
      <c r="R442" s="187"/>
      <c r="S442" s="187"/>
      <c r="T442" s="187"/>
      <c r="U442" s="187"/>
      <c r="V442" s="187"/>
      <c r="W442" s="187"/>
      <c r="X442" s="187"/>
      <c r="Y442" s="187"/>
      <c r="Z442" s="187"/>
    </row>
    <row r="443" ht="15.75" customHeight="1">
      <c r="A443" s="203"/>
      <c r="B443" s="187"/>
      <c r="C443" s="187"/>
      <c r="D443" s="187"/>
      <c r="E443" s="187"/>
      <c r="F443" s="187"/>
      <c r="G443" s="187"/>
      <c r="H443" s="187"/>
      <c r="I443" s="187"/>
      <c r="J443" s="187"/>
      <c r="K443" s="187"/>
      <c r="L443" s="187"/>
      <c r="M443" s="187"/>
      <c r="N443" s="187"/>
      <c r="O443" s="187"/>
      <c r="P443" s="187"/>
      <c r="Q443" s="187"/>
      <c r="R443" s="187"/>
      <c r="S443" s="187"/>
      <c r="T443" s="187"/>
      <c r="U443" s="187"/>
      <c r="V443" s="187"/>
      <c r="W443" s="187"/>
      <c r="X443" s="187"/>
      <c r="Y443" s="187"/>
      <c r="Z443" s="187"/>
    </row>
    <row r="444" ht="15.75" customHeight="1">
      <c r="A444" s="203"/>
      <c r="B444" s="187"/>
      <c r="C444" s="187"/>
      <c r="D444" s="187"/>
      <c r="E444" s="187"/>
      <c r="F444" s="187"/>
      <c r="G444" s="187"/>
      <c r="H444" s="187"/>
      <c r="I444" s="187"/>
      <c r="J444" s="187"/>
      <c r="K444" s="187"/>
      <c r="L444" s="187"/>
      <c r="M444" s="187"/>
      <c r="N444" s="187"/>
      <c r="O444" s="187"/>
      <c r="P444" s="187"/>
      <c r="Q444" s="187"/>
      <c r="R444" s="187"/>
      <c r="S444" s="187"/>
      <c r="T444" s="187"/>
      <c r="U444" s="187"/>
      <c r="V444" s="187"/>
      <c r="W444" s="187"/>
      <c r="X444" s="187"/>
      <c r="Y444" s="187"/>
      <c r="Z444" s="187"/>
    </row>
    <row r="445" ht="15.75" customHeight="1">
      <c r="A445" s="203"/>
      <c r="B445" s="187"/>
      <c r="C445" s="187"/>
      <c r="D445" s="187"/>
      <c r="E445" s="187"/>
      <c r="F445" s="187"/>
      <c r="G445" s="187"/>
      <c r="H445" s="187"/>
      <c r="I445" s="187"/>
      <c r="J445" s="187"/>
      <c r="K445" s="187"/>
      <c r="L445" s="187"/>
      <c r="M445" s="187"/>
      <c r="N445" s="187"/>
      <c r="O445" s="187"/>
      <c r="P445" s="187"/>
      <c r="Q445" s="187"/>
      <c r="R445" s="187"/>
      <c r="S445" s="187"/>
      <c r="T445" s="187"/>
      <c r="U445" s="187"/>
      <c r="V445" s="187"/>
      <c r="W445" s="187"/>
      <c r="X445" s="187"/>
      <c r="Y445" s="187"/>
      <c r="Z445" s="187"/>
    </row>
    <row r="446" ht="15.75" customHeight="1">
      <c r="A446" s="203"/>
      <c r="B446" s="187"/>
      <c r="C446" s="187"/>
      <c r="D446" s="187"/>
      <c r="E446" s="187"/>
      <c r="F446" s="187"/>
      <c r="G446" s="187"/>
      <c r="H446" s="187"/>
      <c r="I446" s="187"/>
      <c r="J446" s="187"/>
      <c r="K446" s="187"/>
      <c r="L446" s="187"/>
      <c r="M446" s="187"/>
      <c r="N446" s="187"/>
      <c r="O446" s="187"/>
      <c r="P446" s="187"/>
      <c r="Q446" s="187"/>
      <c r="R446" s="187"/>
      <c r="S446" s="187"/>
      <c r="T446" s="187"/>
      <c r="U446" s="187"/>
      <c r="V446" s="187"/>
      <c r="W446" s="187"/>
      <c r="X446" s="187"/>
      <c r="Y446" s="187"/>
      <c r="Z446" s="187"/>
    </row>
    <row r="447" ht="15.75" customHeight="1">
      <c r="A447" s="203"/>
      <c r="B447" s="187"/>
      <c r="C447" s="187"/>
      <c r="D447" s="187"/>
      <c r="E447" s="187"/>
      <c r="F447" s="187"/>
      <c r="G447" s="187"/>
      <c r="H447" s="187"/>
      <c r="I447" s="187"/>
      <c r="J447" s="187"/>
      <c r="K447" s="187"/>
      <c r="L447" s="187"/>
      <c r="M447" s="187"/>
      <c r="N447" s="187"/>
      <c r="O447" s="187"/>
      <c r="P447" s="187"/>
      <c r="Q447" s="187"/>
      <c r="R447" s="187"/>
      <c r="S447" s="187"/>
      <c r="T447" s="187"/>
      <c r="U447" s="187"/>
      <c r="V447" s="187"/>
      <c r="W447" s="187"/>
      <c r="X447" s="187"/>
      <c r="Y447" s="187"/>
      <c r="Z447" s="187"/>
    </row>
    <row r="448" ht="15.75" customHeight="1">
      <c r="A448" s="203"/>
      <c r="B448" s="187"/>
      <c r="C448" s="187"/>
      <c r="D448" s="187"/>
      <c r="E448" s="187"/>
      <c r="F448" s="187"/>
      <c r="G448" s="187"/>
      <c r="H448" s="187"/>
      <c r="I448" s="187"/>
      <c r="J448" s="187"/>
      <c r="K448" s="187"/>
      <c r="L448" s="187"/>
      <c r="M448" s="187"/>
      <c r="N448" s="187"/>
      <c r="O448" s="187"/>
      <c r="P448" s="187"/>
      <c r="Q448" s="187"/>
      <c r="R448" s="187"/>
      <c r="S448" s="187"/>
      <c r="T448" s="187"/>
      <c r="U448" s="187"/>
      <c r="V448" s="187"/>
      <c r="W448" s="187"/>
      <c r="X448" s="187"/>
      <c r="Y448" s="187"/>
      <c r="Z448" s="187"/>
    </row>
    <row r="449" ht="15.75" customHeight="1">
      <c r="A449" s="203"/>
      <c r="B449" s="187"/>
      <c r="C449" s="187"/>
      <c r="D449" s="187"/>
      <c r="E449" s="187"/>
      <c r="F449" s="187"/>
      <c r="G449" s="187"/>
      <c r="H449" s="187"/>
      <c r="I449" s="187"/>
      <c r="J449" s="187"/>
      <c r="K449" s="187"/>
      <c r="L449" s="187"/>
      <c r="M449" s="187"/>
      <c r="N449" s="187"/>
      <c r="O449" s="187"/>
      <c r="P449" s="187"/>
      <c r="Q449" s="187"/>
      <c r="R449" s="187"/>
      <c r="S449" s="187"/>
      <c r="T449" s="187"/>
      <c r="U449" s="187"/>
      <c r="V449" s="187"/>
      <c r="W449" s="187"/>
      <c r="X449" s="187"/>
      <c r="Y449" s="187"/>
      <c r="Z449" s="187"/>
    </row>
    <row r="450" ht="15.75" customHeight="1">
      <c r="A450" s="203"/>
      <c r="B450" s="187"/>
      <c r="C450" s="187"/>
      <c r="D450" s="187"/>
      <c r="E450" s="187"/>
      <c r="F450" s="187"/>
      <c r="G450" s="187"/>
      <c r="H450" s="187"/>
      <c r="I450" s="187"/>
      <c r="J450" s="187"/>
      <c r="K450" s="187"/>
      <c r="L450" s="187"/>
      <c r="M450" s="187"/>
      <c r="N450" s="187"/>
      <c r="O450" s="187"/>
      <c r="P450" s="187"/>
      <c r="Q450" s="187"/>
      <c r="R450" s="187"/>
      <c r="S450" s="187"/>
      <c r="T450" s="187"/>
      <c r="U450" s="187"/>
      <c r="V450" s="187"/>
      <c r="W450" s="187"/>
      <c r="X450" s="187"/>
      <c r="Y450" s="187"/>
      <c r="Z450" s="187"/>
    </row>
    <row r="451" ht="15.75" customHeight="1">
      <c r="A451" s="203"/>
      <c r="B451" s="187"/>
      <c r="C451" s="187"/>
      <c r="D451" s="187"/>
      <c r="E451" s="187"/>
      <c r="F451" s="187"/>
      <c r="G451" s="187"/>
      <c r="H451" s="187"/>
      <c r="I451" s="187"/>
      <c r="J451" s="187"/>
      <c r="K451" s="187"/>
      <c r="L451" s="187"/>
      <c r="M451" s="187"/>
      <c r="N451" s="187"/>
      <c r="O451" s="187"/>
      <c r="P451" s="187"/>
      <c r="Q451" s="187"/>
      <c r="R451" s="187"/>
      <c r="S451" s="187"/>
      <c r="T451" s="187"/>
      <c r="U451" s="187"/>
      <c r="V451" s="187"/>
      <c r="W451" s="187"/>
      <c r="X451" s="187"/>
      <c r="Y451" s="187"/>
      <c r="Z451" s="187"/>
    </row>
    <row r="452" ht="15.75" customHeight="1">
      <c r="A452" s="203"/>
      <c r="B452" s="187"/>
      <c r="C452" s="187"/>
      <c r="D452" s="187"/>
      <c r="E452" s="187"/>
      <c r="F452" s="187"/>
      <c r="G452" s="187"/>
      <c r="H452" s="187"/>
      <c r="I452" s="187"/>
      <c r="J452" s="187"/>
      <c r="K452" s="187"/>
      <c r="L452" s="187"/>
      <c r="M452" s="187"/>
      <c r="N452" s="187"/>
      <c r="O452" s="187"/>
      <c r="P452" s="187"/>
      <c r="Q452" s="187"/>
      <c r="R452" s="187"/>
      <c r="S452" s="187"/>
      <c r="T452" s="187"/>
      <c r="U452" s="187"/>
      <c r="V452" s="187"/>
      <c r="W452" s="187"/>
      <c r="X452" s="187"/>
      <c r="Y452" s="187"/>
      <c r="Z452" s="187"/>
    </row>
    <row r="453" ht="15.75" customHeight="1">
      <c r="A453" s="203"/>
      <c r="B453" s="187"/>
      <c r="C453" s="187"/>
      <c r="D453" s="187"/>
      <c r="E453" s="187"/>
      <c r="F453" s="187"/>
      <c r="G453" s="187"/>
      <c r="H453" s="187"/>
      <c r="I453" s="187"/>
      <c r="J453" s="187"/>
      <c r="K453" s="187"/>
      <c r="L453" s="187"/>
      <c r="M453" s="187"/>
      <c r="N453" s="187"/>
      <c r="O453" s="187"/>
      <c r="P453" s="187"/>
      <c r="Q453" s="187"/>
      <c r="R453" s="187"/>
      <c r="S453" s="187"/>
      <c r="T453" s="187"/>
      <c r="U453" s="187"/>
      <c r="V453" s="187"/>
      <c r="W453" s="187"/>
      <c r="X453" s="187"/>
      <c r="Y453" s="187"/>
      <c r="Z453" s="187"/>
    </row>
    <row r="454" ht="15.75" customHeight="1">
      <c r="A454" s="203"/>
      <c r="B454" s="187"/>
      <c r="C454" s="187"/>
      <c r="D454" s="187"/>
      <c r="E454" s="187"/>
      <c r="F454" s="187"/>
      <c r="G454" s="187"/>
      <c r="H454" s="187"/>
      <c r="I454" s="187"/>
      <c r="J454" s="187"/>
      <c r="K454" s="187"/>
      <c r="L454" s="187"/>
      <c r="M454" s="187"/>
      <c r="N454" s="187"/>
      <c r="O454" s="187"/>
      <c r="P454" s="187"/>
      <c r="Q454" s="187"/>
      <c r="R454" s="187"/>
      <c r="S454" s="187"/>
      <c r="T454" s="187"/>
      <c r="U454" s="187"/>
      <c r="V454" s="187"/>
      <c r="W454" s="187"/>
      <c r="X454" s="187"/>
      <c r="Y454" s="187"/>
      <c r="Z454" s="187"/>
    </row>
    <row r="455" ht="15.75" customHeight="1">
      <c r="A455" s="203"/>
      <c r="B455" s="187"/>
      <c r="C455" s="187"/>
      <c r="D455" s="187"/>
      <c r="E455" s="187"/>
      <c r="F455" s="187"/>
      <c r="G455" s="187"/>
      <c r="H455" s="187"/>
      <c r="I455" s="187"/>
      <c r="J455" s="187"/>
      <c r="K455" s="187"/>
      <c r="L455" s="187"/>
      <c r="M455" s="187"/>
      <c r="N455" s="187"/>
      <c r="O455" s="187"/>
      <c r="P455" s="187"/>
      <c r="Q455" s="187"/>
      <c r="R455" s="187"/>
      <c r="S455" s="187"/>
      <c r="T455" s="187"/>
      <c r="U455" s="187"/>
      <c r="V455" s="187"/>
      <c r="W455" s="187"/>
      <c r="X455" s="187"/>
      <c r="Y455" s="187"/>
      <c r="Z455" s="187"/>
    </row>
    <row r="456" ht="15.75" customHeight="1">
      <c r="A456" s="203"/>
      <c r="B456" s="187"/>
      <c r="C456" s="187"/>
      <c r="D456" s="187"/>
      <c r="E456" s="187"/>
      <c r="F456" s="187"/>
      <c r="G456" s="187"/>
      <c r="H456" s="187"/>
      <c r="I456" s="187"/>
      <c r="J456" s="187"/>
      <c r="K456" s="187"/>
      <c r="L456" s="187"/>
      <c r="M456" s="187"/>
      <c r="N456" s="187"/>
      <c r="O456" s="187"/>
      <c r="P456" s="187"/>
      <c r="Q456" s="187"/>
      <c r="R456" s="187"/>
      <c r="S456" s="187"/>
      <c r="T456" s="187"/>
      <c r="U456" s="187"/>
      <c r="V456" s="187"/>
      <c r="W456" s="187"/>
      <c r="X456" s="187"/>
      <c r="Y456" s="187"/>
      <c r="Z456" s="187"/>
    </row>
    <row r="457" ht="15.75" customHeight="1">
      <c r="A457" s="203"/>
      <c r="B457" s="187"/>
      <c r="C457" s="187"/>
      <c r="D457" s="187"/>
      <c r="E457" s="187"/>
      <c r="F457" s="187"/>
      <c r="G457" s="187"/>
      <c r="H457" s="187"/>
      <c r="I457" s="187"/>
      <c r="J457" s="187"/>
      <c r="K457" s="187"/>
      <c r="L457" s="187"/>
      <c r="M457" s="187"/>
      <c r="N457" s="187"/>
      <c r="O457" s="187"/>
      <c r="P457" s="187"/>
      <c r="Q457" s="187"/>
      <c r="R457" s="187"/>
      <c r="S457" s="187"/>
      <c r="T457" s="187"/>
      <c r="U457" s="187"/>
      <c r="V457" s="187"/>
      <c r="W457" s="187"/>
      <c r="X457" s="187"/>
      <c r="Y457" s="187"/>
      <c r="Z457" s="187"/>
    </row>
    <row r="458" ht="15.75" customHeight="1">
      <c r="A458" s="203"/>
      <c r="B458" s="187"/>
      <c r="C458" s="187"/>
      <c r="D458" s="187"/>
      <c r="E458" s="187"/>
      <c r="F458" s="187"/>
      <c r="G458" s="187"/>
      <c r="H458" s="187"/>
      <c r="I458" s="187"/>
      <c r="J458" s="187"/>
      <c r="K458" s="187"/>
      <c r="L458" s="187"/>
      <c r="M458" s="187"/>
      <c r="N458" s="187"/>
      <c r="O458" s="187"/>
      <c r="P458" s="187"/>
      <c r="Q458" s="187"/>
      <c r="R458" s="187"/>
      <c r="S458" s="187"/>
      <c r="T458" s="187"/>
      <c r="U458" s="187"/>
      <c r="V458" s="187"/>
      <c r="W458" s="187"/>
      <c r="X458" s="187"/>
      <c r="Y458" s="187"/>
      <c r="Z458" s="187"/>
    </row>
    <row r="459" ht="15.75" customHeight="1">
      <c r="A459" s="203"/>
      <c r="B459" s="187"/>
      <c r="C459" s="187"/>
      <c r="D459" s="187"/>
      <c r="E459" s="187"/>
      <c r="F459" s="187"/>
      <c r="G459" s="187"/>
      <c r="H459" s="187"/>
      <c r="I459" s="187"/>
      <c r="J459" s="187"/>
      <c r="K459" s="187"/>
      <c r="L459" s="187"/>
      <c r="M459" s="187"/>
      <c r="N459" s="187"/>
      <c r="O459" s="187"/>
      <c r="P459" s="187"/>
      <c r="Q459" s="187"/>
      <c r="R459" s="187"/>
      <c r="S459" s="187"/>
      <c r="T459" s="187"/>
      <c r="U459" s="187"/>
      <c r="V459" s="187"/>
      <c r="W459" s="187"/>
      <c r="X459" s="187"/>
      <c r="Y459" s="187"/>
      <c r="Z459" s="187"/>
    </row>
    <row r="460" ht="15.75" customHeight="1">
      <c r="A460" s="203"/>
      <c r="B460" s="187"/>
      <c r="C460" s="187"/>
      <c r="D460" s="187"/>
      <c r="E460" s="187"/>
      <c r="F460" s="187"/>
      <c r="G460" s="187"/>
      <c r="H460" s="187"/>
      <c r="I460" s="187"/>
      <c r="J460" s="187"/>
      <c r="K460" s="187"/>
      <c r="L460" s="187"/>
      <c r="M460" s="187"/>
      <c r="N460" s="187"/>
      <c r="O460" s="187"/>
      <c r="P460" s="187"/>
      <c r="Q460" s="187"/>
      <c r="R460" s="187"/>
      <c r="S460" s="187"/>
      <c r="T460" s="187"/>
      <c r="U460" s="187"/>
      <c r="V460" s="187"/>
      <c r="W460" s="187"/>
      <c r="X460" s="187"/>
      <c r="Y460" s="187"/>
      <c r="Z460" s="187"/>
    </row>
    <row r="461" ht="15.75" customHeight="1">
      <c r="A461" s="203"/>
      <c r="B461" s="187"/>
      <c r="C461" s="187"/>
      <c r="D461" s="187"/>
      <c r="E461" s="187"/>
      <c r="F461" s="187"/>
      <c r="G461" s="187"/>
      <c r="H461" s="187"/>
      <c r="I461" s="187"/>
      <c r="J461" s="187"/>
      <c r="K461" s="187"/>
      <c r="L461" s="187"/>
      <c r="M461" s="187"/>
      <c r="N461" s="187"/>
      <c r="O461" s="187"/>
      <c r="P461" s="187"/>
      <c r="Q461" s="187"/>
      <c r="R461" s="187"/>
      <c r="S461" s="187"/>
      <c r="T461" s="187"/>
      <c r="U461" s="187"/>
      <c r="V461" s="187"/>
      <c r="W461" s="187"/>
      <c r="X461" s="187"/>
      <c r="Y461" s="187"/>
      <c r="Z461" s="187"/>
    </row>
    <row r="462" ht="15.75" customHeight="1">
      <c r="A462" s="203"/>
      <c r="B462" s="187"/>
      <c r="C462" s="187"/>
      <c r="D462" s="187"/>
      <c r="E462" s="187"/>
      <c r="F462" s="187"/>
      <c r="G462" s="187"/>
      <c r="H462" s="187"/>
      <c r="I462" s="187"/>
      <c r="J462" s="187"/>
      <c r="K462" s="187"/>
      <c r="L462" s="187"/>
      <c r="M462" s="187"/>
      <c r="N462" s="187"/>
      <c r="O462" s="187"/>
      <c r="P462" s="187"/>
      <c r="Q462" s="187"/>
      <c r="R462" s="187"/>
      <c r="S462" s="187"/>
      <c r="T462" s="187"/>
      <c r="U462" s="187"/>
      <c r="V462" s="187"/>
      <c r="W462" s="187"/>
      <c r="X462" s="187"/>
      <c r="Y462" s="187"/>
      <c r="Z462" s="187"/>
    </row>
    <row r="463" ht="15.75" customHeight="1">
      <c r="A463" s="203"/>
      <c r="B463" s="187"/>
      <c r="C463" s="187"/>
      <c r="D463" s="187"/>
      <c r="E463" s="187"/>
      <c r="F463" s="187"/>
      <c r="G463" s="187"/>
      <c r="H463" s="187"/>
      <c r="I463" s="187"/>
      <c r="J463" s="187"/>
      <c r="K463" s="187"/>
      <c r="L463" s="187"/>
      <c r="M463" s="187"/>
      <c r="N463" s="187"/>
      <c r="O463" s="187"/>
      <c r="P463" s="187"/>
      <c r="Q463" s="187"/>
      <c r="R463" s="187"/>
      <c r="S463" s="187"/>
      <c r="T463" s="187"/>
      <c r="U463" s="187"/>
      <c r="V463" s="187"/>
      <c r="W463" s="187"/>
      <c r="X463" s="187"/>
      <c r="Y463" s="187"/>
      <c r="Z463" s="187"/>
    </row>
    <row r="464" ht="15.75" customHeight="1">
      <c r="A464" s="203"/>
      <c r="B464" s="187"/>
      <c r="C464" s="187"/>
      <c r="D464" s="187"/>
      <c r="E464" s="187"/>
      <c r="F464" s="187"/>
      <c r="G464" s="187"/>
      <c r="H464" s="187"/>
      <c r="I464" s="187"/>
      <c r="J464" s="187"/>
      <c r="K464" s="187"/>
      <c r="L464" s="187"/>
      <c r="M464" s="187"/>
      <c r="N464" s="187"/>
      <c r="O464" s="187"/>
      <c r="P464" s="187"/>
      <c r="Q464" s="187"/>
      <c r="R464" s="187"/>
      <c r="S464" s="187"/>
      <c r="T464" s="187"/>
      <c r="U464" s="187"/>
      <c r="V464" s="187"/>
      <c r="W464" s="187"/>
      <c r="X464" s="187"/>
      <c r="Y464" s="187"/>
      <c r="Z464" s="187"/>
    </row>
    <row r="465" ht="15.75" customHeight="1">
      <c r="A465" s="203"/>
      <c r="B465" s="187"/>
      <c r="C465" s="187"/>
      <c r="D465" s="187"/>
      <c r="E465" s="187"/>
      <c r="F465" s="187"/>
      <c r="G465" s="187"/>
      <c r="H465" s="187"/>
      <c r="I465" s="187"/>
      <c r="J465" s="187"/>
      <c r="K465" s="187"/>
      <c r="L465" s="187"/>
      <c r="M465" s="187"/>
      <c r="N465" s="187"/>
      <c r="O465" s="187"/>
      <c r="P465" s="187"/>
      <c r="Q465" s="187"/>
      <c r="R465" s="187"/>
      <c r="S465" s="187"/>
      <c r="T465" s="187"/>
      <c r="U465" s="187"/>
      <c r="V465" s="187"/>
      <c r="W465" s="187"/>
      <c r="X465" s="187"/>
      <c r="Y465" s="187"/>
      <c r="Z465" s="187"/>
    </row>
    <row r="466" ht="15.75" customHeight="1">
      <c r="A466" s="203"/>
      <c r="B466" s="187"/>
      <c r="C466" s="187"/>
      <c r="D466" s="187"/>
      <c r="E466" s="187"/>
      <c r="F466" s="187"/>
      <c r="G466" s="187"/>
      <c r="H466" s="187"/>
      <c r="I466" s="187"/>
      <c r="J466" s="187"/>
      <c r="K466" s="187"/>
      <c r="L466" s="187"/>
      <c r="M466" s="187"/>
      <c r="N466" s="187"/>
      <c r="O466" s="187"/>
      <c r="P466" s="187"/>
      <c r="Q466" s="187"/>
      <c r="R466" s="187"/>
      <c r="S466" s="187"/>
      <c r="T466" s="187"/>
      <c r="U466" s="187"/>
      <c r="V466" s="187"/>
      <c r="W466" s="187"/>
      <c r="X466" s="187"/>
      <c r="Y466" s="187"/>
      <c r="Z466" s="187"/>
    </row>
    <row r="467" ht="15.75" customHeight="1">
      <c r="A467" s="203"/>
      <c r="B467" s="187"/>
      <c r="C467" s="187"/>
      <c r="D467" s="187"/>
      <c r="E467" s="187"/>
      <c r="F467" s="187"/>
      <c r="G467" s="187"/>
      <c r="H467" s="187"/>
      <c r="I467" s="187"/>
      <c r="J467" s="187"/>
      <c r="K467" s="187"/>
      <c r="L467" s="187"/>
      <c r="M467" s="187"/>
      <c r="N467" s="187"/>
      <c r="O467" s="187"/>
      <c r="P467" s="187"/>
      <c r="Q467" s="187"/>
      <c r="R467" s="187"/>
      <c r="S467" s="187"/>
      <c r="T467" s="187"/>
      <c r="U467" s="187"/>
      <c r="V467" s="187"/>
      <c r="W467" s="187"/>
      <c r="X467" s="187"/>
      <c r="Y467" s="187"/>
      <c r="Z467" s="187"/>
    </row>
    <row r="468" ht="15.75" customHeight="1">
      <c r="A468" s="203"/>
      <c r="B468" s="187"/>
      <c r="C468" s="187"/>
      <c r="D468" s="187"/>
      <c r="E468" s="187"/>
      <c r="F468" s="187"/>
      <c r="G468" s="187"/>
      <c r="H468" s="187"/>
      <c r="I468" s="187"/>
      <c r="J468" s="187"/>
      <c r="K468" s="187"/>
      <c r="L468" s="187"/>
      <c r="M468" s="187"/>
      <c r="N468" s="187"/>
      <c r="O468" s="187"/>
      <c r="P468" s="187"/>
      <c r="Q468" s="187"/>
      <c r="R468" s="187"/>
      <c r="S468" s="187"/>
      <c r="T468" s="187"/>
      <c r="U468" s="187"/>
      <c r="V468" s="187"/>
      <c r="W468" s="187"/>
      <c r="X468" s="187"/>
      <c r="Y468" s="187"/>
      <c r="Z468" s="187"/>
    </row>
    <row r="469" ht="15.75" customHeight="1">
      <c r="A469" s="203"/>
      <c r="B469" s="187"/>
      <c r="C469" s="187"/>
      <c r="D469" s="187"/>
      <c r="E469" s="187"/>
      <c r="F469" s="187"/>
      <c r="G469" s="187"/>
      <c r="H469" s="187"/>
      <c r="I469" s="187"/>
      <c r="J469" s="187"/>
      <c r="K469" s="187"/>
      <c r="L469" s="187"/>
      <c r="M469" s="187"/>
      <c r="N469" s="187"/>
      <c r="O469" s="187"/>
      <c r="P469" s="187"/>
      <c r="Q469" s="187"/>
      <c r="R469" s="187"/>
      <c r="S469" s="187"/>
      <c r="T469" s="187"/>
      <c r="U469" s="187"/>
      <c r="V469" s="187"/>
      <c r="W469" s="187"/>
      <c r="X469" s="187"/>
      <c r="Y469" s="187"/>
      <c r="Z469" s="187"/>
    </row>
    <row r="470" ht="15.75" customHeight="1">
      <c r="A470" s="203"/>
      <c r="B470" s="187"/>
      <c r="C470" s="187"/>
      <c r="D470" s="187"/>
      <c r="E470" s="187"/>
      <c r="F470" s="187"/>
      <c r="G470" s="187"/>
      <c r="H470" s="187"/>
      <c r="I470" s="187"/>
      <c r="J470" s="187"/>
      <c r="K470" s="187"/>
      <c r="L470" s="187"/>
      <c r="M470" s="187"/>
      <c r="N470" s="187"/>
      <c r="O470" s="187"/>
      <c r="P470" s="187"/>
      <c r="Q470" s="187"/>
      <c r="R470" s="187"/>
      <c r="S470" s="187"/>
      <c r="T470" s="187"/>
      <c r="U470" s="187"/>
      <c r="V470" s="187"/>
      <c r="W470" s="187"/>
      <c r="X470" s="187"/>
      <c r="Y470" s="187"/>
      <c r="Z470" s="187"/>
    </row>
    <row r="471" ht="15.75" customHeight="1">
      <c r="A471" s="203"/>
      <c r="B471" s="187"/>
      <c r="C471" s="187"/>
      <c r="D471" s="187"/>
      <c r="E471" s="187"/>
      <c r="F471" s="187"/>
      <c r="G471" s="187"/>
      <c r="H471" s="187"/>
      <c r="I471" s="187"/>
      <c r="J471" s="187"/>
      <c r="K471" s="187"/>
      <c r="L471" s="187"/>
      <c r="M471" s="187"/>
      <c r="N471" s="187"/>
      <c r="O471" s="187"/>
      <c r="P471" s="187"/>
      <c r="Q471" s="187"/>
      <c r="R471" s="187"/>
      <c r="S471" s="187"/>
      <c r="T471" s="187"/>
      <c r="U471" s="187"/>
      <c r="V471" s="187"/>
      <c r="W471" s="187"/>
      <c r="X471" s="187"/>
      <c r="Y471" s="187"/>
      <c r="Z471" s="187"/>
    </row>
    <row r="472" ht="15.75" customHeight="1">
      <c r="A472" s="203"/>
      <c r="B472" s="187"/>
      <c r="C472" s="187"/>
      <c r="D472" s="187"/>
      <c r="E472" s="187"/>
      <c r="F472" s="187"/>
      <c r="G472" s="187"/>
      <c r="H472" s="187"/>
      <c r="I472" s="187"/>
      <c r="J472" s="187"/>
      <c r="K472" s="187"/>
      <c r="L472" s="187"/>
      <c r="M472" s="187"/>
      <c r="N472" s="187"/>
      <c r="O472" s="187"/>
      <c r="P472" s="187"/>
      <c r="Q472" s="187"/>
      <c r="R472" s="187"/>
      <c r="S472" s="187"/>
      <c r="T472" s="187"/>
      <c r="U472" s="187"/>
      <c r="V472" s="187"/>
      <c r="W472" s="187"/>
      <c r="X472" s="187"/>
      <c r="Y472" s="187"/>
      <c r="Z472" s="187"/>
    </row>
    <row r="473" ht="15.75" customHeight="1">
      <c r="A473" s="203"/>
      <c r="B473" s="187"/>
      <c r="C473" s="187"/>
      <c r="D473" s="187"/>
      <c r="E473" s="187"/>
      <c r="F473" s="187"/>
      <c r="G473" s="187"/>
      <c r="H473" s="187"/>
      <c r="I473" s="187"/>
      <c r="J473" s="187"/>
      <c r="K473" s="187"/>
      <c r="L473" s="187"/>
      <c r="M473" s="187"/>
      <c r="N473" s="187"/>
      <c r="O473" s="187"/>
      <c r="P473" s="187"/>
      <c r="Q473" s="187"/>
      <c r="R473" s="187"/>
      <c r="S473" s="187"/>
      <c r="T473" s="187"/>
      <c r="U473" s="187"/>
      <c r="V473" s="187"/>
      <c r="W473" s="187"/>
      <c r="X473" s="187"/>
      <c r="Y473" s="187"/>
      <c r="Z473" s="187"/>
    </row>
    <row r="474" ht="15.75" customHeight="1">
      <c r="A474" s="203"/>
      <c r="B474" s="187"/>
      <c r="C474" s="187"/>
      <c r="D474" s="187"/>
      <c r="E474" s="187"/>
      <c r="F474" s="187"/>
      <c r="G474" s="187"/>
      <c r="H474" s="187"/>
      <c r="I474" s="187"/>
      <c r="J474" s="187"/>
      <c r="K474" s="187"/>
      <c r="L474" s="187"/>
      <c r="M474" s="187"/>
      <c r="N474" s="187"/>
      <c r="O474" s="187"/>
      <c r="P474" s="187"/>
      <c r="Q474" s="187"/>
      <c r="R474" s="187"/>
      <c r="S474" s="187"/>
      <c r="T474" s="187"/>
      <c r="U474" s="187"/>
      <c r="V474" s="187"/>
      <c r="W474" s="187"/>
      <c r="X474" s="187"/>
      <c r="Y474" s="187"/>
      <c r="Z474" s="187"/>
    </row>
    <row r="475" ht="15.75" customHeight="1">
      <c r="A475" s="203"/>
      <c r="B475" s="187"/>
      <c r="C475" s="187"/>
      <c r="D475" s="187"/>
      <c r="E475" s="187"/>
      <c r="F475" s="187"/>
      <c r="G475" s="187"/>
      <c r="H475" s="187"/>
      <c r="I475" s="187"/>
      <c r="J475" s="187"/>
      <c r="K475" s="187"/>
      <c r="L475" s="187"/>
      <c r="M475" s="187"/>
      <c r="N475" s="187"/>
      <c r="O475" s="187"/>
      <c r="P475" s="187"/>
      <c r="Q475" s="187"/>
      <c r="R475" s="187"/>
      <c r="S475" s="187"/>
      <c r="T475" s="187"/>
      <c r="U475" s="187"/>
      <c r="V475" s="187"/>
      <c r="W475" s="187"/>
      <c r="X475" s="187"/>
      <c r="Y475" s="187"/>
      <c r="Z475" s="187"/>
    </row>
    <row r="476" ht="15.75" customHeight="1">
      <c r="A476" s="203"/>
      <c r="B476" s="187"/>
      <c r="C476" s="187"/>
      <c r="D476" s="187"/>
      <c r="E476" s="187"/>
      <c r="F476" s="187"/>
      <c r="G476" s="187"/>
      <c r="H476" s="187"/>
      <c r="I476" s="187"/>
      <c r="J476" s="187"/>
      <c r="K476" s="187"/>
      <c r="L476" s="187"/>
      <c r="M476" s="187"/>
      <c r="N476" s="187"/>
      <c r="O476" s="187"/>
      <c r="P476" s="187"/>
      <c r="Q476" s="187"/>
      <c r="R476" s="187"/>
      <c r="S476" s="187"/>
      <c r="T476" s="187"/>
      <c r="U476" s="187"/>
      <c r="V476" s="187"/>
      <c r="W476" s="187"/>
      <c r="X476" s="187"/>
      <c r="Y476" s="187"/>
      <c r="Z476" s="187"/>
    </row>
    <row r="477" ht="15.75" customHeight="1">
      <c r="A477" s="203"/>
      <c r="B477" s="187"/>
      <c r="C477" s="187"/>
      <c r="D477" s="187"/>
      <c r="E477" s="187"/>
      <c r="F477" s="187"/>
      <c r="G477" s="187"/>
      <c r="H477" s="187"/>
      <c r="I477" s="187"/>
      <c r="J477" s="187"/>
      <c r="K477" s="187"/>
      <c r="L477" s="187"/>
      <c r="M477" s="187"/>
      <c r="N477" s="187"/>
      <c r="O477" s="187"/>
      <c r="P477" s="187"/>
      <c r="Q477" s="187"/>
      <c r="R477" s="187"/>
      <c r="S477" s="187"/>
      <c r="T477" s="187"/>
      <c r="U477" s="187"/>
      <c r="V477" s="187"/>
      <c r="W477" s="187"/>
      <c r="X477" s="187"/>
      <c r="Y477" s="187"/>
      <c r="Z477" s="187"/>
    </row>
    <row r="478" ht="15.75" customHeight="1">
      <c r="A478" s="203"/>
      <c r="B478" s="187"/>
      <c r="C478" s="187"/>
      <c r="D478" s="187"/>
      <c r="E478" s="187"/>
      <c r="F478" s="187"/>
      <c r="G478" s="187"/>
      <c r="H478" s="187"/>
      <c r="I478" s="187"/>
      <c r="J478" s="187"/>
      <c r="K478" s="187"/>
      <c r="L478" s="187"/>
      <c r="M478" s="187"/>
      <c r="N478" s="187"/>
      <c r="O478" s="187"/>
      <c r="P478" s="187"/>
      <c r="Q478" s="187"/>
      <c r="R478" s="187"/>
      <c r="S478" s="187"/>
      <c r="T478" s="187"/>
      <c r="U478" s="187"/>
      <c r="V478" s="187"/>
      <c r="W478" s="187"/>
      <c r="X478" s="187"/>
      <c r="Y478" s="187"/>
      <c r="Z478" s="187"/>
    </row>
    <row r="479" ht="15.75" customHeight="1">
      <c r="A479" s="203"/>
      <c r="B479" s="187"/>
      <c r="C479" s="187"/>
      <c r="D479" s="187"/>
      <c r="E479" s="187"/>
      <c r="F479" s="187"/>
      <c r="G479" s="187"/>
      <c r="H479" s="187"/>
      <c r="I479" s="187"/>
      <c r="J479" s="187"/>
      <c r="K479" s="187"/>
      <c r="L479" s="187"/>
      <c r="M479" s="187"/>
      <c r="N479" s="187"/>
      <c r="O479" s="187"/>
      <c r="P479" s="187"/>
      <c r="Q479" s="187"/>
      <c r="R479" s="187"/>
      <c r="S479" s="187"/>
      <c r="T479" s="187"/>
      <c r="U479" s="187"/>
      <c r="V479" s="187"/>
      <c r="W479" s="187"/>
      <c r="X479" s="187"/>
      <c r="Y479" s="187"/>
      <c r="Z479" s="187"/>
    </row>
    <row r="480" ht="15.75" customHeight="1">
      <c r="A480" s="203"/>
      <c r="B480" s="187"/>
      <c r="C480" s="187"/>
      <c r="D480" s="187"/>
      <c r="E480" s="187"/>
      <c r="F480" s="187"/>
      <c r="G480" s="187"/>
      <c r="H480" s="187"/>
      <c r="I480" s="187"/>
      <c r="J480" s="187"/>
      <c r="K480" s="187"/>
      <c r="L480" s="187"/>
      <c r="M480" s="187"/>
      <c r="N480" s="187"/>
      <c r="O480" s="187"/>
      <c r="P480" s="187"/>
      <c r="Q480" s="187"/>
      <c r="R480" s="187"/>
      <c r="S480" s="187"/>
      <c r="T480" s="187"/>
      <c r="U480" s="187"/>
      <c r="V480" s="187"/>
      <c r="W480" s="187"/>
      <c r="X480" s="187"/>
      <c r="Y480" s="187"/>
      <c r="Z480" s="187"/>
    </row>
    <row r="481" ht="15.75" customHeight="1">
      <c r="A481" s="203"/>
      <c r="B481" s="187"/>
      <c r="C481" s="187"/>
      <c r="D481" s="187"/>
      <c r="E481" s="187"/>
      <c r="F481" s="187"/>
      <c r="G481" s="187"/>
      <c r="H481" s="187"/>
      <c r="I481" s="187"/>
      <c r="J481" s="187"/>
      <c r="K481" s="187"/>
      <c r="L481" s="187"/>
      <c r="M481" s="187"/>
      <c r="N481" s="187"/>
      <c r="O481" s="187"/>
      <c r="P481" s="187"/>
      <c r="Q481" s="187"/>
      <c r="R481" s="187"/>
      <c r="S481" s="187"/>
      <c r="T481" s="187"/>
      <c r="U481" s="187"/>
      <c r="V481" s="187"/>
      <c r="W481" s="187"/>
      <c r="X481" s="187"/>
      <c r="Y481" s="187"/>
      <c r="Z481" s="187"/>
    </row>
    <row r="482" ht="15.75" customHeight="1">
      <c r="A482" s="203"/>
      <c r="B482" s="187"/>
      <c r="C482" s="187"/>
      <c r="D482" s="187"/>
      <c r="E482" s="187"/>
      <c r="F482" s="187"/>
      <c r="G482" s="187"/>
      <c r="H482" s="187"/>
      <c r="I482" s="187"/>
      <c r="J482" s="187"/>
      <c r="K482" s="187"/>
      <c r="L482" s="187"/>
      <c r="M482" s="187"/>
      <c r="N482" s="187"/>
      <c r="O482" s="187"/>
      <c r="P482" s="187"/>
      <c r="Q482" s="187"/>
      <c r="R482" s="187"/>
      <c r="S482" s="187"/>
      <c r="T482" s="187"/>
      <c r="U482" s="187"/>
      <c r="V482" s="187"/>
      <c r="W482" s="187"/>
      <c r="X482" s="187"/>
      <c r="Y482" s="187"/>
      <c r="Z482" s="187"/>
    </row>
    <row r="483" ht="15.75" customHeight="1">
      <c r="A483" s="203"/>
      <c r="B483" s="187"/>
      <c r="C483" s="187"/>
      <c r="D483" s="187"/>
      <c r="E483" s="187"/>
      <c r="F483" s="187"/>
      <c r="G483" s="187"/>
      <c r="H483" s="187"/>
      <c r="I483" s="187"/>
      <c r="J483" s="187"/>
      <c r="K483" s="187"/>
      <c r="L483" s="187"/>
      <c r="M483" s="187"/>
      <c r="N483" s="187"/>
      <c r="O483" s="187"/>
      <c r="P483" s="187"/>
      <c r="Q483" s="187"/>
      <c r="R483" s="187"/>
      <c r="S483" s="187"/>
      <c r="T483" s="187"/>
      <c r="U483" s="187"/>
      <c r="V483" s="187"/>
      <c r="W483" s="187"/>
      <c r="X483" s="187"/>
      <c r="Y483" s="187"/>
      <c r="Z483" s="187"/>
    </row>
    <row r="484" ht="15.75" customHeight="1">
      <c r="A484" s="203"/>
      <c r="B484" s="187"/>
      <c r="C484" s="187"/>
      <c r="D484" s="187"/>
      <c r="E484" s="187"/>
      <c r="F484" s="187"/>
      <c r="G484" s="187"/>
      <c r="H484" s="187"/>
      <c r="I484" s="187"/>
      <c r="J484" s="187"/>
      <c r="K484" s="187"/>
      <c r="L484" s="187"/>
      <c r="M484" s="187"/>
      <c r="N484" s="187"/>
      <c r="O484" s="187"/>
      <c r="P484" s="187"/>
      <c r="Q484" s="187"/>
      <c r="R484" s="187"/>
      <c r="S484" s="187"/>
      <c r="T484" s="187"/>
      <c r="U484" s="187"/>
      <c r="V484" s="187"/>
      <c r="W484" s="187"/>
      <c r="X484" s="187"/>
      <c r="Y484" s="187"/>
      <c r="Z484" s="187"/>
    </row>
    <row r="485" ht="15.75" customHeight="1">
      <c r="A485" s="203"/>
      <c r="B485" s="187"/>
      <c r="C485" s="187"/>
      <c r="D485" s="187"/>
      <c r="E485" s="187"/>
      <c r="F485" s="187"/>
      <c r="G485" s="187"/>
      <c r="H485" s="187"/>
      <c r="I485" s="187"/>
      <c r="J485" s="187"/>
      <c r="K485" s="187"/>
      <c r="L485" s="187"/>
      <c r="M485" s="187"/>
      <c r="N485" s="187"/>
      <c r="O485" s="187"/>
      <c r="P485" s="187"/>
      <c r="Q485" s="187"/>
      <c r="R485" s="187"/>
      <c r="S485" s="187"/>
      <c r="T485" s="187"/>
      <c r="U485" s="187"/>
      <c r="V485" s="187"/>
      <c r="W485" s="187"/>
      <c r="X485" s="187"/>
      <c r="Y485" s="187"/>
      <c r="Z485" s="187"/>
    </row>
    <row r="486" ht="15.75" customHeight="1">
      <c r="A486" s="203"/>
      <c r="B486" s="187"/>
      <c r="C486" s="187"/>
      <c r="D486" s="187"/>
      <c r="E486" s="187"/>
      <c r="F486" s="187"/>
      <c r="G486" s="187"/>
      <c r="H486" s="187"/>
      <c r="I486" s="187"/>
      <c r="J486" s="187"/>
      <c r="K486" s="187"/>
      <c r="L486" s="187"/>
      <c r="M486" s="187"/>
      <c r="N486" s="187"/>
      <c r="O486" s="187"/>
      <c r="P486" s="187"/>
      <c r="Q486" s="187"/>
      <c r="R486" s="187"/>
      <c r="S486" s="187"/>
      <c r="T486" s="187"/>
      <c r="U486" s="187"/>
      <c r="V486" s="187"/>
      <c r="W486" s="187"/>
      <c r="X486" s="187"/>
      <c r="Y486" s="187"/>
      <c r="Z486" s="187"/>
    </row>
    <row r="487" ht="15.75" customHeight="1">
      <c r="A487" s="203"/>
      <c r="B487" s="187"/>
      <c r="C487" s="187"/>
      <c r="D487" s="187"/>
      <c r="E487" s="187"/>
      <c r="F487" s="187"/>
      <c r="G487" s="187"/>
      <c r="H487" s="187"/>
      <c r="I487" s="187"/>
      <c r="J487" s="187"/>
      <c r="K487" s="187"/>
      <c r="L487" s="187"/>
      <c r="M487" s="187"/>
      <c r="N487" s="187"/>
      <c r="O487" s="187"/>
      <c r="P487" s="187"/>
      <c r="Q487" s="187"/>
      <c r="R487" s="187"/>
      <c r="S487" s="187"/>
      <c r="T487" s="187"/>
      <c r="U487" s="187"/>
      <c r="V487" s="187"/>
      <c r="W487" s="187"/>
      <c r="X487" s="187"/>
      <c r="Y487" s="187"/>
      <c r="Z487" s="187"/>
    </row>
    <row r="488" ht="15.75" customHeight="1">
      <c r="A488" s="203"/>
      <c r="B488" s="187"/>
      <c r="C488" s="187"/>
      <c r="D488" s="187"/>
      <c r="E488" s="187"/>
      <c r="F488" s="187"/>
      <c r="G488" s="187"/>
      <c r="H488" s="187"/>
      <c r="I488" s="187"/>
      <c r="J488" s="187"/>
      <c r="K488" s="187"/>
      <c r="L488" s="187"/>
      <c r="M488" s="187"/>
      <c r="N488" s="187"/>
      <c r="O488" s="187"/>
      <c r="P488" s="187"/>
      <c r="Q488" s="187"/>
      <c r="R488" s="187"/>
      <c r="S488" s="187"/>
      <c r="T488" s="187"/>
      <c r="U488" s="187"/>
      <c r="V488" s="187"/>
      <c r="W488" s="187"/>
      <c r="X488" s="187"/>
      <c r="Y488" s="187"/>
      <c r="Z488" s="187"/>
    </row>
    <row r="489" ht="15.75" customHeight="1">
      <c r="A489" s="203"/>
      <c r="B489" s="187"/>
      <c r="C489" s="187"/>
      <c r="D489" s="187"/>
      <c r="E489" s="187"/>
      <c r="F489" s="187"/>
      <c r="G489" s="187"/>
      <c r="H489" s="187"/>
      <c r="I489" s="187"/>
      <c r="J489" s="187"/>
      <c r="K489" s="187"/>
      <c r="L489" s="187"/>
      <c r="M489" s="187"/>
      <c r="N489" s="187"/>
      <c r="O489" s="187"/>
      <c r="P489" s="187"/>
      <c r="Q489" s="187"/>
      <c r="R489" s="187"/>
      <c r="S489" s="187"/>
      <c r="T489" s="187"/>
      <c r="U489" s="187"/>
      <c r="V489" s="187"/>
      <c r="W489" s="187"/>
      <c r="X489" s="187"/>
      <c r="Y489" s="187"/>
      <c r="Z489" s="187"/>
    </row>
    <row r="490" ht="15.75" customHeight="1">
      <c r="A490" s="203"/>
      <c r="B490" s="187"/>
      <c r="C490" s="187"/>
      <c r="D490" s="187"/>
      <c r="E490" s="187"/>
      <c r="F490" s="187"/>
      <c r="G490" s="187"/>
      <c r="H490" s="187"/>
      <c r="I490" s="187"/>
      <c r="J490" s="187"/>
      <c r="K490" s="187"/>
      <c r="L490" s="187"/>
      <c r="M490" s="187"/>
      <c r="N490" s="187"/>
      <c r="O490" s="187"/>
      <c r="P490" s="187"/>
      <c r="Q490" s="187"/>
      <c r="R490" s="187"/>
      <c r="S490" s="187"/>
      <c r="T490" s="187"/>
      <c r="U490" s="187"/>
      <c r="V490" s="187"/>
      <c r="W490" s="187"/>
      <c r="X490" s="187"/>
      <c r="Y490" s="187"/>
      <c r="Z490" s="187"/>
    </row>
    <row r="491" ht="15.75" customHeight="1">
      <c r="A491" s="203"/>
      <c r="B491" s="187"/>
      <c r="C491" s="187"/>
      <c r="D491" s="187"/>
      <c r="E491" s="187"/>
      <c r="F491" s="187"/>
      <c r="G491" s="187"/>
      <c r="H491" s="187"/>
      <c r="I491" s="187"/>
      <c r="J491" s="187"/>
      <c r="K491" s="187"/>
      <c r="L491" s="187"/>
      <c r="M491" s="187"/>
      <c r="N491" s="187"/>
      <c r="O491" s="187"/>
      <c r="P491" s="187"/>
      <c r="Q491" s="187"/>
      <c r="R491" s="187"/>
      <c r="S491" s="187"/>
      <c r="T491" s="187"/>
      <c r="U491" s="187"/>
      <c r="V491" s="187"/>
      <c r="W491" s="187"/>
      <c r="X491" s="187"/>
      <c r="Y491" s="187"/>
      <c r="Z491" s="187"/>
    </row>
    <row r="492" ht="15.75" customHeight="1">
      <c r="A492" s="203"/>
      <c r="B492" s="187"/>
      <c r="C492" s="187"/>
      <c r="D492" s="187"/>
      <c r="E492" s="187"/>
      <c r="F492" s="187"/>
      <c r="G492" s="187"/>
      <c r="H492" s="187"/>
      <c r="I492" s="187"/>
      <c r="J492" s="187"/>
      <c r="K492" s="187"/>
      <c r="L492" s="187"/>
      <c r="M492" s="187"/>
      <c r="N492" s="187"/>
      <c r="O492" s="187"/>
      <c r="P492" s="187"/>
      <c r="Q492" s="187"/>
      <c r="R492" s="187"/>
      <c r="S492" s="187"/>
      <c r="T492" s="187"/>
      <c r="U492" s="187"/>
      <c r="V492" s="187"/>
      <c r="W492" s="187"/>
      <c r="X492" s="187"/>
      <c r="Y492" s="187"/>
      <c r="Z492" s="187"/>
    </row>
    <row r="493" ht="15.75" customHeight="1">
      <c r="A493" s="203"/>
      <c r="B493" s="187"/>
      <c r="C493" s="187"/>
      <c r="D493" s="187"/>
      <c r="E493" s="187"/>
      <c r="F493" s="187"/>
      <c r="G493" s="187"/>
      <c r="H493" s="187"/>
      <c r="I493" s="187"/>
      <c r="J493" s="187"/>
      <c r="K493" s="187"/>
      <c r="L493" s="187"/>
      <c r="M493" s="187"/>
      <c r="N493" s="187"/>
      <c r="O493" s="187"/>
      <c r="P493" s="187"/>
      <c r="Q493" s="187"/>
      <c r="R493" s="187"/>
      <c r="S493" s="187"/>
      <c r="T493" s="187"/>
      <c r="U493" s="187"/>
      <c r="V493" s="187"/>
      <c r="W493" s="187"/>
      <c r="X493" s="187"/>
      <c r="Y493" s="187"/>
      <c r="Z493" s="187"/>
    </row>
    <row r="494" ht="15.75" customHeight="1">
      <c r="A494" s="203"/>
      <c r="B494" s="187"/>
      <c r="C494" s="187"/>
      <c r="D494" s="187"/>
      <c r="E494" s="187"/>
      <c r="F494" s="187"/>
      <c r="G494" s="187"/>
      <c r="H494" s="187"/>
      <c r="I494" s="187"/>
      <c r="J494" s="187"/>
      <c r="K494" s="187"/>
      <c r="L494" s="187"/>
      <c r="M494" s="187"/>
      <c r="N494" s="187"/>
      <c r="O494" s="187"/>
      <c r="P494" s="187"/>
      <c r="Q494" s="187"/>
      <c r="R494" s="187"/>
      <c r="S494" s="187"/>
      <c r="T494" s="187"/>
      <c r="U494" s="187"/>
      <c r="V494" s="187"/>
      <c r="W494" s="187"/>
      <c r="X494" s="187"/>
      <c r="Y494" s="187"/>
      <c r="Z494" s="187"/>
    </row>
    <row r="495" ht="15.75" customHeight="1">
      <c r="A495" s="203"/>
      <c r="B495" s="187"/>
      <c r="C495" s="187"/>
      <c r="D495" s="187"/>
      <c r="E495" s="187"/>
      <c r="F495" s="187"/>
      <c r="G495" s="187"/>
      <c r="H495" s="187"/>
      <c r="I495" s="187"/>
      <c r="J495" s="187"/>
      <c r="K495" s="187"/>
      <c r="L495" s="187"/>
      <c r="M495" s="187"/>
      <c r="N495" s="187"/>
      <c r="O495" s="187"/>
      <c r="P495" s="187"/>
      <c r="Q495" s="187"/>
      <c r="R495" s="187"/>
      <c r="S495" s="187"/>
      <c r="T495" s="187"/>
      <c r="U495" s="187"/>
      <c r="V495" s="187"/>
      <c r="W495" s="187"/>
      <c r="X495" s="187"/>
      <c r="Y495" s="187"/>
      <c r="Z495" s="187"/>
    </row>
    <row r="496" ht="15.75" customHeight="1">
      <c r="A496" s="203"/>
      <c r="B496" s="187"/>
      <c r="C496" s="187"/>
      <c r="D496" s="187"/>
      <c r="E496" s="187"/>
      <c r="F496" s="187"/>
      <c r="G496" s="187"/>
      <c r="H496" s="187"/>
      <c r="I496" s="187"/>
      <c r="J496" s="187"/>
      <c r="K496" s="187"/>
      <c r="L496" s="187"/>
      <c r="M496" s="187"/>
      <c r="N496" s="187"/>
      <c r="O496" s="187"/>
      <c r="P496" s="187"/>
      <c r="Q496" s="187"/>
      <c r="R496" s="187"/>
      <c r="S496" s="187"/>
      <c r="T496" s="187"/>
      <c r="U496" s="187"/>
      <c r="V496" s="187"/>
      <c r="W496" s="187"/>
      <c r="X496" s="187"/>
      <c r="Y496" s="187"/>
      <c r="Z496" s="187"/>
    </row>
    <row r="497" ht="15.75" customHeight="1">
      <c r="A497" s="203"/>
      <c r="B497" s="187"/>
      <c r="C497" s="187"/>
      <c r="D497" s="187"/>
      <c r="E497" s="187"/>
      <c r="F497" s="187"/>
      <c r="G497" s="187"/>
      <c r="H497" s="187"/>
      <c r="I497" s="187"/>
      <c r="J497" s="187"/>
      <c r="K497" s="187"/>
      <c r="L497" s="187"/>
      <c r="M497" s="187"/>
      <c r="N497" s="187"/>
      <c r="O497" s="187"/>
      <c r="P497" s="187"/>
      <c r="Q497" s="187"/>
      <c r="R497" s="187"/>
      <c r="S497" s="187"/>
      <c r="T497" s="187"/>
      <c r="U497" s="187"/>
      <c r="V497" s="187"/>
      <c r="W497" s="187"/>
      <c r="X497" s="187"/>
      <c r="Y497" s="187"/>
      <c r="Z497" s="187"/>
    </row>
    <row r="498" ht="15.75" customHeight="1">
      <c r="A498" s="203"/>
      <c r="B498" s="187"/>
      <c r="C498" s="187"/>
      <c r="D498" s="187"/>
      <c r="E498" s="187"/>
      <c r="F498" s="187"/>
      <c r="G498" s="187"/>
      <c r="H498" s="187"/>
      <c r="I498" s="187"/>
      <c r="J498" s="187"/>
      <c r="K498" s="187"/>
      <c r="L498" s="187"/>
      <c r="M498" s="187"/>
      <c r="N498" s="187"/>
      <c r="O498" s="187"/>
      <c r="P498" s="187"/>
      <c r="Q498" s="187"/>
      <c r="R498" s="187"/>
      <c r="S498" s="187"/>
      <c r="T498" s="187"/>
      <c r="U498" s="187"/>
      <c r="V498" s="187"/>
      <c r="W498" s="187"/>
      <c r="X498" s="187"/>
      <c r="Y498" s="187"/>
      <c r="Z498" s="187"/>
    </row>
    <row r="499" ht="15.75" customHeight="1">
      <c r="A499" s="203"/>
      <c r="B499" s="187"/>
      <c r="C499" s="187"/>
      <c r="D499" s="187"/>
      <c r="E499" s="187"/>
      <c r="F499" s="187"/>
      <c r="G499" s="187"/>
      <c r="H499" s="187"/>
      <c r="I499" s="187"/>
      <c r="J499" s="187"/>
      <c r="K499" s="187"/>
      <c r="L499" s="187"/>
      <c r="M499" s="187"/>
      <c r="N499" s="187"/>
      <c r="O499" s="187"/>
      <c r="P499" s="187"/>
      <c r="Q499" s="187"/>
      <c r="R499" s="187"/>
      <c r="S499" s="187"/>
      <c r="T499" s="187"/>
      <c r="U499" s="187"/>
      <c r="V499" s="187"/>
      <c r="W499" s="187"/>
      <c r="X499" s="187"/>
      <c r="Y499" s="187"/>
      <c r="Z499" s="187"/>
    </row>
    <row r="500" ht="15.75" customHeight="1">
      <c r="A500" s="203"/>
      <c r="B500" s="187"/>
      <c r="C500" s="187"/>
      <c r="D500" s="187"/>
      <c r="E500" s="187"/>
      <c r="F500" s="187"/>
      <c r="G500" s="187"/>
      <c r="H500" s="187"/>
      <c r="I500" s="187"/>
      <c r="J500" s="187"/>
      <c r="K500" s="187"/>
      <c r="L500" s="187"/>
      <c r="M500" s="187"/>
      <c r="N500" s="187"/>
      <c r="O500" s="187"/>
      <c r="P500" s="187"/>
      <c r="Q500" s="187"/>
      <c r="R500" s="187"/>
      <c r="S500" s="187"/>
      <c r="T500" s="187"/>
      <c r="U500" s="187"/>
      <c r="V500" s="187"/>
      <c r="W500" s="187"/>
      <c r="X500" s="187"/>
      <c r="Y500" s="187"/>
      <c r="Z500" s="187"/>
    </row>
    <row r="501" ht="15.75" customHeight="1">
      <c r="A501" s="203"/>
      <c r="B501" s="187"/>
      <c r="C501" s="187"/>
      <c r="D501" s="187"/>
      <c r="E501" s="187"/>
      <c r="F501" s="187"/>
      <c r="G501" s="187"/>
      <c r="H501" s="187"/>
      <c r="I501" s="187"/>
      <c r="J501" s="187"/>
      <c r="K501" s="187"/>
      <c r="L501" s="187"/>
      <c r="M501" s="187"/>
      <c r="N501" s="187"/>
      <c r="O501" s="187"/>
      <c r="P501" s="187"/>
      <c r="Q501" s="187"/>
      <c r="R501" s="187"/>
      <c r="S501" s="187"/>
      <c r="T501" s="187"/>
      <c r="U501" s="187"/>
      <c r="V501" s="187"/>
      <c r="W501" s="187"/>
      <c r="X501" s="187"/>
      <c r="Y501" s="187"/>
      <c r="Z501" s="187"/>
    </row>
    <row r="502" ht="15.75" customHeight="1">
      <c r="A502" s="203"/>
      <c r="B502" s="187"/>
      <c r="C502" s="187"/>
      <c r="D502" s="187"/>
      <c r="E502" s="187"/>
      <c r="F502" s="187"/>
      <c r="G502" s="187"/>
      <c r="H502" s="187"/>
      <c r="I502" s="187"/>
      <c r="J502" s="187"/>
      <c r="K502" s="187"/>
      <c r="L502" s="187"/>
      <c r="M502" s="187"/>
      <c r="N502" s="187"/>
      <c r="O502" s="187"/>
      <c r="P502" s="187"/>
      <c r="Q502" s="187"/>
      <c r="R502" s="187"/>
      <c r="S502" s="187"/>
      <c r="T502" s="187"/>
      <c r="U502" s="187"/>
      <c r="V502" s="187"/>
      <c r="W502" s="187"/>
      <c r="X502" s="187"/>
      <c r="Y502" s="187"/>
      <c r="Z502" s="187"/>
    </row>
    <row r="503" ht="15.75" customHeight="1">
      <c r="A503" s="203"/>
      <c r="B503" s="187"/>
      <c r="C503" s="187"/>
      <c r="D503" s="187"/>
      <c r="E503" s="187"/>
      <c r="F503" s="187"/>
      <c r="G503" s="187"/>
      <c r="H503" s="187"/>
      <c r="I503" s="187"/>
      <c r="J503" s="187"/>
      <c r="K503" s="187"/>
      <c r="L503" s="187"/>
      <c r="M503" s="187"/>
      <c r="N503" s="187"/>
      <c r="O503" s="187"/>
      <c r="P503" s="187"/>
      <c r="Q503" s="187"/>
      <c r="R503" s="187"/>
      <c r="S503" s="187"/>
      <c r="T503" s="187"/>
      <c r="U503" s="187"/>
      <c r="V503" s="187"/>
      <c r="W503" s="187"/>
      <c r="X503" s="187"/>
      <c r="Y503" s="187"/>
      <c r="Z503" s="187"/>
    </row>
    <row r="504" ht="15.75" customHeight="1">
      <c r="A504" s="203"/>
      <c r="B504" s="187"/>
      <c r="C504" s="187"/>
      <c r="D504" s="187"/>
      <c r="E504" s="187"/>
      <c r="F504" s="187"/>
      <c r="G504" s="187"/>
      <c r="H504" s="187"/>
      <c r="I504" s="187"/>
      <c r="J504" s="187"/>
      <c r="K504" s="187"/>
      <c r="L504" s="187"/>
      <c r="M504" s="187"/>
      <c r="N504" s="187"/>
      <c r="O504" s="187"/>
      <c r="P504" s="187"/>
      <c r="Q504" s="187"/>
      <c r="R504" s="187"/>
      <c r="S504" s="187"/>
      <c r="T504" s="187"/>
      <c r="U504" s="187"/>
      <c r="V504" s="187"/>
      <c r="W504" s="187"/>
      <c r="X504" s="187"/>
      <c r="Y504" s="187"/>
      <c r="Z504" s="187"/>
    </row>
    <row r="505" ht="15.75" customHeight="1">
      <c r="A505" s="203"/>
      <c r="B505" s="187"/>
      <c r="C505" s="187"/>
      <c r="D505" s="187"/>
      <c r="E505" s="187"/>
      <c r="F505" s="187"/>
      <c r="G505" s="187"/>
      <c r="H505" s="187"/>
      <c r="I505" s="187"/>
      <c r="J505" s="187"/>
      <c r="K505" s="187"/>
      <c r="L505" s="187"/>
      <c r="M505" s="187"/>
      <c r="N505" s="187"/>
      <c r="O505" s="187"/>
      <c r="P505" s="187"/>
      <c r="Q505" s="187"/>
      <c r="R505" s="187"/>
      <c r="S505" s="187"/>
      <c r="T505" s="187"/>
      <c r="U505" s="187"/>
      <c r="V505" s="187"/>
      <c r="W505" s="187"/>
      <c r="X505" s="187"/>
      <c r="Y505" s="187"/>
      <c r="Z505" s="187"/>
    </row>
    <row r="506" ht="15.75" customHeight="1">
      <c r="A506" s="203"/>
      <c r="B506" s="187"/>
      <c r="C506" s="187"/>
      <c r="D506" s="187"/>
      <c r="E506" s="187"/>
      <c r="F506" s="187"/>
      <c r="G506" s="187"/>
      <c r="H506" s="187"/>
      <c r="I506" s="187"/>
      <c r="J506" s="187"/>
      <c r="K506" s="187"/>
      <c r="L506" s="187"/>
      <c r="M506" s="187"/>
      <c r="N506" s="187"/>
      <c r="O506" s="187"/>
      <c r="P506" s="187"/>
      <c r="Q506" s="187"/>
      <c r="R506" s="187"/>
      <c r="S506" s="187"/>
      <c r="T506" s="187"/>
      <c r="U506" s="187"/>
      <c r="V506" s="187"/>
      <c r="W506" s="187"/>
      <c r="X506" s="187"/>
      <c r="Y506" s="187"/>
      <c r="Z506" s="187"/>
    </row>
    <row r="507" ht="15.75" customHeight="1">
      <c r="A507" s="203"/>
      <c r="B507" s="187"/>
      <c r="C507" s="187"/>
      <c r="D507" s="187"/>
      <c r="E507" s="187"/>
      <c r="F507" s="187"/>
      <c r="G507" s="187"/>
      <c r="H507" s="187"/>
      <c r="I507" s="187"/>
      <c r="J507" s="187"/>
      <c r="K507" s="187"/>
      <c r="L507" s="187"/>
      <c r="M507" s="187"/>
      <c r="N507" s="187"/>
      <c r="O507" s="187"/>
      <c r="P507" s="187"/>
      <c r="Q507" s="187"/>
      <c r="R507" s="187"/>
      <c r="S507" s="187"/>
      <c r="T507" s="187"/>
      <c r="U507" s="187"/>
      <c r="V507" s="187"/>
      <c r="W507" s="187"/>
      <c r="X507" s="187"/>
      <c r="Y507" s="187"/>
      <c r="Z507" s="187"/>
    </row>
    <row r="508" ht="15.75" customHeight="1">
      <c r="A508" s="203"/>
      <c r="B508" s="187"/>
      <c r="C508" s="187"/>
      <c r="D508" s="187"/>
      <c r="E508" s="187"/>
      <c r="F508" s="187"/>
      <c r="G508" s="187"/>
      <c r="H508" s="187"/>
      <c r="I508" s="187"/>
      <c r="J508" s="187"/>
      <c r="K508" s="187"/>
      <c r="L508" s="187"/>
      <c r="M508" s="187"/>
      <c r="N508" s="187"/>
      <c r="O508" s="187"/>
      <c r="P508" s="187"/>
      <c r="Q508" s="187"/>
      <c r="R508" s="187"/>
      <c r="S508" s="187"/>
      <c r="T508" s="187"/>
      <c r="U508" s="187"/>
      <c r="V508" s="187"/>
      <c r="W508" s="187"/>
      <c r="X508" s="187"/>
      <c r="Y508" s="187"/>
      <c r="Z508" s="187"/>
    </row>
    <row r="509" ht="15.75" customHeight="1">
      <c r="A509" s="203"/>
      <c r="B509" s="187"/>
      <c r="C509" s="187"/>
      <c r="D509" s="187"/>
      <c r="E509" s="187"/>
      <c r="F509" s="187"/>
      <c r="G509" s="187"/>
      <c r="H509" s="187"/>
      <c r="I509" s="187"/>
      <c r="J509" s="187"/>
      <c r="K509" s="187"/>
      <c r="L509" s="187"/>
      <c r="M509" s="187"/>
      <c r="N509" s="187"/>
      <c r="O509" s="187"/>
      <c r="P509" s="187"/>
      <c r="Q509" s="187"/>
      <c r="R509" s="187"/>
      <c r="S509" s="187"/>
      <c r="T509" s="187"/>
      <c r="U509" s="187"/>
      <c r="V509" s="187"/>
      <c r="W509" s="187"/>
      <c r="X509" s="187"/>
      <c r="Y509" s="187"/>
      <c r="Z509" s="187"/>
    </row>
    <row r="510" ht="15.75" customHeight="1">
      <c r="A510" s="203"/>
      <c r="B510" s="187"/>
      <c r="C510" s="187"/>
      <c r="D510" s="187"/>
      <c r="E510" s="187"/>
      <c r="F510" s="187"/>
      <c r="G510" s="187"/>
      <c r="H510" s="187"/>
      <c r="I510" s="187"/>
      <c r="J510" s="187"/>
      <c r="K510" s="187"/>
      <c r="L510" s="187"/>
      <c r="M510" s="187"/>
      <c r="N510" s="187"/>
      <c r="O510" s="187"/>
      <c r="P510" s="187"/>
      <c r="Q510" s="187"/>
      <c r="R510" s="187"/>
      <c r="S510" s="187"/>
      <c r="T510" s="187"/>
      <c r="U510" s="187"/>
      <c r="V510" s="187"/>
      <c r="W510" s="187"/>
      <c r="X510" s="187"/>
      <c r="Y510" s="187"/>
      <c r="Z510" s="187"/>
    </row>
    <row r="511" ht="15.75" customHeight="1">
      <c r="A511" s="203"/>
      <c r="B511" s="187"/>
      <c r="C511" s="187"/>
      <c r="D511" s="187"/>
      <c r="E511" s="187"/>
      <c r="F511" s="187"/>
      <c r="G511" s="187"/>
      <c r="H511" s="187"/>
      <c r="I511" s="187"/>
      <c r="J511" s="187"/>
      <c r="K511" s="187"/>
      <c r="L511" s="187"/>
      <c r="M511" s="187"/>
      <c r="N511" s="187"/>
      <c r="O511" s="187"/>
      <c r="P511" s="187"/>
      <c r="Q511" s="187"/>
      <c r="R511" s="187"/>
      <c r="S511" s="187"/>
      <c r="T511" s="187"/>
      <c r="U511" s="187"/>
      <c r="V511" s="187"/>
      <c r="W511" s="187"/>
      <c r="X511" s="187"/>
      <c r="Y511" s="187"/>
      <c r="Z511" s="187"/>
    </row>
    <row r="512" ht="15.75" customHeight="1">
      <c r="A512" s="203"/>
      <c r="B512" s="187"/>
      <c r="C512" s="187"/>
      <c r="D512" s="187"/>
      <c r="E512" s="187"/>
      <c r="F512" s="187"/>
      <c r="G512" s="187"/>
      <c r="H512" s="187"/>
      <c r="I512" s="187"/>
      <c r="J512" s="187"/>
      <c r="K512" s="187"/>
      <c r="L512" s="187"/>
      <c r="M512" s="187"/>
      <c r="N512" s="187"/>
      <c r="O512" s="187"/>
      <c r="P512" s="187"/>
      <c r="Q512" s="187"/>
      <c r="R512" s="187"/>
      <c r="S512" s="187"/>
      <c r="T512" s="187"/>
      <c r="U512" s="187"/>
      <c r="V512" s="187"/>
      <c r="W512" s="187"/>
      <c r="X512" s="187"/>
      <c r="Y512" s="187"/>
      <c r="Z512" s="187"/>
    </row>
    <row r="513" ht="15.75" customHeight="1">
      <c r="A513" s="203"/>
      <c r="B513" s="187"/>
      <c r="C513" s="187"/>
      <c r="D513" s="187"/>
      <c r="E513" s="187"/>
      <c r="F513" s="187"/>
      <c r="G513" s="187"/>
      <c r="H513" s="187"/>
      <c r="I513" s="187"/>
      <c r="J513" s="187"/>
      <c r="K513" s="187"/>
      <c r="L513" s="187"/>
      <c r="M513" s="187"/>
      <c r="N513" s="187"/>
      <c r="O513" s="187"/>
      <c r="P513" s="187"/>
      <c r="Q513" s="187"/>
      <c r="R513" s="187"/>
      <c r="S513" s="187"/>
      <c r="T513" s="187"/>
      <c r="U513" s="187"/>
      <c r="V513" s="187"/>
      <c r="W513" s="187"/>
      <c r="X513" s="187"/>
      <c r="Y513" s="187"/>
      <c r="Z513" s="187"/>
    </row>
    <row r="514" ht="15.75" customHeight="1">
      <c r="A514" s="203"/>
      <c r="B514" s="187"/>
      <c r="C514" s="187"/>
      <c r="D514" s="187"/>
      <c r="E514" s="187"/>
      <c r="F514" s="187"/>
      <c r="G514" s="187"/>
      <c r="H514" s="187"/>
      <c r="I514" s="187"/>
      <c r="J514" s="187"/>
      <c r="K514" s="187"/>
      <c r="L514" s="187"/>
      <c r="M514" s="187"/>
      <c r="N514" s="187"/>
      <c r="O514" s="187"/>
      <c r="P514" s="187"/>
      <c r="Q514" s="187"/>
      <c r="R514" s="187"/>
      <c r="S514" s="187"/>
      <c r="T514" s="187"/>
      <c r="U514" s="187"/>
      <c r="V514" s="187"/>
      <c r="W514" s="187"/>
      <c r="X514" s="187"/>
      <c r="Y514" s="187"/>
      <c r="Z514" s="187"/>
    </row>
    <row r="515" ht="15.75" customHeight="1">
      <c r="A515" s="203"/>
      <c r="B515" s="187"/>
      <c r="C515" s="187"/>
      <c r="D515" s="187"/>
      <c r="E515" s="187"/>
      <c r="F515" s="187"/>
      <c r="G515" s="187"/>
      <c r="H515" s="187"/>
      <c r="I515" s="187"/>
      <c r="J515" s="187"/>
      <c r="K515" s="187"/>
      <c r="L515" s="187"/>
      <c r="M515" s="187"/>
      <c r="N515" s="187"/>
      <c r="O515" s="187"/>
      <c r="P515" s="187"/>
      <c r="Q515" s="187"/>
      <c r="R515" s="187"/>
      <c r="S515" s="187"/>
      <c r="T515" s="187"/>
      <c r="U515" s="187"/>
      <c r="V515" s="187"/>
      <c r="W515" s="187"/>
      <c r="X515" s="187"/>
      <c r="Y515" s="187"/>
      <c r="Z515" s="187"/>
    </row>
    <row r="516" ht="15.75" customHeight="1">
      <c r="A516" s="203"/>
      <c r="B516" s="187"/>
      <c r="C516" s="187"/>
      <c r="D516" s="187"/>
      <c r="E516" s="187"/>
      <c r="F516" s="187"/>
      <c r="G516" s="187"/>
      <c r="H516" s="187"/>
      <c r="I516" s="187"/>
      <c r="J516" s="187"/>
      <c r="K516" s="187"/>
      <c r="L516" s="187"/>
      <c r="M516" s="187"/>
      <c r="N516" s="187"/>
      <c r="O516" s="187"/>
      <c r="P516" s="187"/>
      <c r="Q516" s="187"/>
      <c r="R516" s="187"/>
      <c r="S516" s="187"/>
      <c r="T516" s="187"/>
      <c r="U516" s="187"/>
      <c r="V516" s="187"/>
      <c r="W516" s="187"/>
      <c r="X516" s="187"/>
      <c r="Y516" s="187"/>
      <c r="Z516" s="187"/>
    </row>
    <row r="517" ht="15.75" customHeight="1">
      <c r="A517" s="203"/>
      <c r="B517" s="187"/>
      <c r="C517" s="187"/>
      <c r="D517" s="187"/>
      <c r="E517" s="187"/>
      <c r="F517" s="187"/>
      <c r="G517" s="187"/>
      <c r="H517" s="187"/>
      <c r="I517" s="187"/>
      <c r="J517" s="187"/>
      <c r="K517" s="187"/>
      <c r="L517" s="187"/>
      <c r="M517" s="187"/>
      <c r="N517" s="187"/>
      <c r="O517" s="187"/>
      <c r="P517" s="187"/>
      <c r="Q517" s="187"/>
      <c r="R517" s="187"/>
      <c r="S517" s="187"/>
      <c r="T517" s="187"/>
      <c r="U517" s="187"/>
      <c r="V517" s="187"/>
      <c r="W517" s="187"/>
      <c r="X517" s="187"/>
      <c r="Y517" s="187"/>
      <c r="Z517" s="187"/>
    </row>
    <row r="518" ht="15.75" customHeight="1">
      <c r="A518" s="203"/>
      <c r="B518" s="187"/>
      <c r="C518" s="187"/>
      <c r="D518" s="187"/>
      <c r="E518" s="187"/>
      <c r="F518" s="187"/>
      <c r="G518" s="187"/>
      <c r="H518" s="187"/>
      <c r="I518" s="187"/>
      <c r="J518" s="187"/>
      <c r="K518" s="187"/>
      <c r="L518" s="187"/>
      <c r="M518" s="187"/>
      <c r="N518" s="187"/>
      <c r="O518" s="187"/>
      <c r="P518" s="187"/>
      <c r="Q518" s="187"/>
      <c r="R518" s="187"/>
      <c r="S518" s="187"/>
      <c r="T518" s="187"/>
      <c r="U518" s="187"/>
      <c r="V518" s="187"/>
      <c r="W518" s="187"/>
      <c r="X518" s="187"/>
      <c r="Y518" s="187"/>
      <c r="Z518" s="187"/>
    </row>
    <row r="519" ht="15.75" customHeight="1">
      <c r="A519" s="203"/>
      <c r="B519" s="187"/>
      <c r="C519" s="187"/>
      <c r="D519" s="187"/>
      <c r="E519" s="187"/>
      <c r="F519" s="187"/>
      <c r="G519" s="187"/>
      <c r="H519" s="187"/>
      <c r="I519" s="187"/>
      <c r="J519" s="187"/>
      <c r="K519" s="187"/>
      <c r="L519" s="187"/>
      <c r="M519" s="187"/>
      <c r="N519" s="187"/>
      <c r="O519" s="187"/>
      <c r="P519" s="187"/>
      <c r="Q519" s="187"/>
      <c r="R519" s="187"/>
      <c r="S519" s="187"/>
      <c r="T519" s="187"/>
      <c r="U519" s="187"/>
      <c r="V519" s="187"/>
      <c r="W519" s="187"/>
      <c r="X519" s="187"/>
      <c r="Y519" s="187"/>
      <c r="Z519" s="187"/>
    </row>
    <row r="520" ht="15.75" customHeight="1">
      <c r="A520" s="203"/>
      <c r="B520" s="187"/>
      <c r="C520" s="187"/>
      <c r="D520" s="187"/>
      <c r="E520" s="187"/>
      <c r="F520" s="187"/>
      <c r="G520" s="187"/>
      <c r="H520" s="187"/>
      <c r="I520" s="187"/>
      <c r="J520" s="187"/>
      <c r="K520" s="187"/>
      <c r="L520" s="187"/>
      <c r="M520" s="187"/>
      <c r="N520" s="187"/>
      <c r="O520" s="187"/>
      <c r="P520" s="187"/>
      <c r="Q520" s="187"/>
      <c r="R520" s="187"/>
      <c r="S520" s="187"/>
      <c r="T520" s="187"/>
      <c r="U520" s="187"/>
      <c r="V520" s="187"/>
      <c r="W520" s="187"/>
      <c r="X520" s="187"/>
      <c r="Y520" s="187"/>
      <c r="Z520" s="187"/>
    </row>
    <row r="521" ht="15.75" customHeight="1">
      <c r="A521" s="203"/>
      <c r="B521" s="187"/>
      <c r="C521" s="187"/>
      <c r="D521" s="187"/>
      <c r="E521" s="187"/>
      <c r="F521" s="187"/>
      <c r="G521" s="187"/>
      <c r="H521" s="187"/>
      <c r="I521" s="187"/>
      <c r="J521" s="187"/>
      <c r="K521" s="187"/>
      <c r="L521" s="187"/>
      <c r="M521" s="187"/>
      <c r="N521" s="187"/>
      <c r="O521" s="187"/>
      <c r="P521" s="187"/>
      <c r="Q521" s="187"/>
      <c r="R521" s="187"/>
      <c r="S521" s="187"/>
      <c r="T521" s="187"/>
      <c r="U521" s="187"/>
      <c r="V521" s="187"/>
      <c r="W521" s="187"/>
      <c r="X521" s="187"/>
      <c r="Y521" s="187"/>
      <c r="Z521" s="187"/>
    </row>
    <row r="522" ht="15.75" customHeight="1">
      <c r="A522" s="203"/>
      <c r="B522" s="187"/>
      <c r="C522" s="187"/>
      <c r="D522" s="187"/>
      <c r="E522" s="187"/>
      <c r="F522" s="187"/>
      <c r="G522" s="187"/>
      <c r="H522" s="187"/>
      <c r="I522" s="187"/>
      <c r="J522" s="187"/>
      <c r="K522" s="187"/>
      <c r="L522" s="187"/>
      <c r="M522" s="187"/>
      <c r="N522" s="187"/>
      <c r="O522" s="187"/>
      <c r="P522" s="187"/>
      <c r="Q522" s="187"/>
      <c r="R522" s="187"/>
      <c r="S522" s="187"/>
      <c r="T522" s="187"/>
      <c r="U522" s="187"/>
      <c r="V522" s="187"/>
      <c r="W522" s="187"/>
      <c r="X522" s="187"/>
      <c r="Y522" s="187"/>
      <c r="Z522" s="187"/>
    </row>
    <row r="523" ht="15.75" customHeight="1">
      <c r="A523" s="203"/>
      <c r="B523" s="187"/>
      <c r="C523" s="187"/>
      <c r="D523" s="187"/>
      <c r="E523" s="187"/>
      <c r="F523" s="187"/>
      <c r="G523" s="187"/>
      <c r="H523" s="187"/>
      <c r="I523" s="187"/>
      <c r="J523" s="187"/>
      <c r="K523" s="187"/>
      <c r="L523" s="187"/>
      <c r="M523" s="187"/>
      <c r="N523" s="187"/>
      <c r="O523" s="187"/>
      <c r="P523" s="187"/>
      <c r="Q523" s="187"/>
      <c r="R523" s="187"/>
      <c r="S523" s="187"/>
      <c r="T523" s="187"/>
      <c r="U523" s="187"/>
      <c r="V523" s="187"/>
      <c r="W523" s="187"/>
      <c r="X523" s="187"/>
      <c r="Y523" s="187"/>
      <c r="Z523" s="187"/>
    </row>
    <row r="524" ht="15.75" customHeight="1">
      <c r="A524" s="203"/>
      <c r="B524" s="187"/>
      <c r="C524" s="187"/>
      <c r="D524" s="187"/>
      <c r="E524" s="187"/>
      <c r="F524" s="187"/>
      <c r="G524" s="187"/>
      <c r="H524" s="187"/>
      <c r="I524" s="187"/>
      <c r="J524" s="187"/>
      <c r="K524" s="187"/>
      <c r="L524" s="187"/>
      <c r="M524" s="187"/>
      <c r="N524" s="187"/>
      <c r="O524" s="187"/>
      <c r="P524" s="187"/>
      <c r="Q524" s="187"/>
      <c r="R524" s="187"/>
      <c r="S524" s="187"/>
      <c r="T524" s="187"/>
      <c r="U524" s="187"/>
      <c r="V524" s="187"/>
      <c r="W524" s="187"/>
      <c r="X524" s="187"/>
      <c r="Y524" s="187"/>
      <c r="Z524" s="187"/>
    </row>
    <row r="525" ht="15.75" customHeight="1">
      <c r="A525" s="203"/>
      <c r="B525" s="187"/>
      <c r="C525" s="187"/>
      <c r="D525" s="187"/>
      <c r="E525" s="187"/>
      <c r="F525" s="187"/>
      <c r="G525" s="187"/>
      <c r="H525" s="187"/>
      <c r="I525" s="187"/>
      <c r="J525" s="187"/>
      <c r="K525" s="187"/>
      <c r="L525" s="187"/>
      <c r="M525" s="187"/>
      <c r="N525" s="187"/>
      <c r="O525" s="187"/>
      <c r="P525" s="187"/>
      <c r="Q525" s="187"/>
      <c r="R525" s="187"/>
      <c r="S525" s="187"/>
      <c r="T525" s="187"/>
      <c r="U525" s="187"/>
      <c r="V525" s="187"/>
      <c r="W525" s="187"/>
      <c r="X525" s="187"/>
      <c r="Y525" s="187"/>
      <c r="Z525" s="187"/>
    </row>
    <row r="526" ht="15.75" customHeight="1">
      <c r="A526" s="203"/>
      <c r="B526" s="187"/>
      <c r="C526" s="187"/>
      <c r="D526" s="187"/>
      <c r="E526" s="187"/>
      <c r="F526" s="187"/>
      <c r="G526" s="187"/>
      <c r="H526" s="187"/>
      <c r="I526" s="187"/>
      <c r="J526" s="187"/>
      <c r="K526" s="187"/>
      <c r="L526" s="187"/>
      <c r="M526" s="187"/>
      <c r="N526" s="187"/>
      <c r="O526" s="187"/>
      <c r="P526" s="187"/>
      <c r="Q526" s="187"/>
      <c r="R526" s="187"/>
      <c r="S526" s="187"/>
      <c r="T526" s="187"/>
      <c r="U526" s="187"/>
      <c r="V526" s="187"/>
      <c r="W526" s="187"/>
      <c r="X526" s="187"/>
      <c r="Y526" s="187"/>
      <c r="Z526" s="187"/>
    </row>
    <row r="527" ht="15.75" customHeight="1">
      <c r="A527" s="203"/>
      <c r="B527" s="187"/>
      <c r="C527" s="187"/>
      <c r="D527" s="187"/>
      <c r="E527" s="187"/>
      <c r="F527" s="187"/>
      <c r="G527" s="187"/>
      <c r="H527" s="187"/>
      <c r="I527" s="187"/>
      <c r="J527" s="187"/>
      <c r="K527" s="187"/>
      <c r="L527" s="187"/>
      <c r="M527" s="187"/>
      <c r="N527" s="187"/>
      <c r="O527" s="187"/>
      <c r="P527" s="187"/>
      <c r="Q527" s="187"/>
      <c r="R527" s="187"/>
      <c r="S527" s="187"/>
      <c r="T527" s="187"/>
      <c r="U527" s="187"/>
      <c r="V527" s="187"/>
      <c r="W527" s="187"/>
      <c r="X527" s="187"/>
      <c r="Y527" s="187"/>
      <c r="Z527" s="187"/>
    </row>
    <row r="528" ht="15.75" customHeight="1">
      <c r="A528" s="203"/>
      <c r="B528" s="187"/>
      <c r="C528" s="187"/>
      <c r="D528" s="187"/>
      <c r="E528" s="187"/>
      <c r="F528" s="187"/>
      <c r="G528" s="187"/>
      <c r="H528" s="187"/>
      <c r="I528" s="187"/>
      <c r="J528" s="187"/>
      <c r="K528" s="187"/>
      <c r="L528" s="187"/>
      <c r="M528" s="187"/>
      <c r="N528" s="187"/>
      <c r="O528" s="187"/>
      <c r="P528" s="187"/>
      <c r="Q528" s="187"/>
      <c r="R528" s="187"/>
      <c r="S528" s="187"/>
      <c r="T528" s="187"/>
      <c r="U528" s="187"/>
      <c r="V528" s="187"/>
      <c r="W528" s="187"/>
      <c r="X528" s="187"/>
      <c r="Y528" s="187"/>
      <c r="Z528" s="187"/>
    </row>
    <row r="529" ht="15.75" customHeight="1">
      <c r="A529" s="203"/>
      <c r="B529" s="187"/>
      <c r="C529" s="187"/>
      <c r="D529" s="187"/>
      <c r="E529" s="187"/>
      <c r="F529" s="187"/>
      <c r="G529" s="187"/>
      <c r="H529" s="187"/>
      <c r="I529" s="187"/>
      <c r="J529" s="187"/>
      <c r="K529" s="187"/>
      <c r="L529" s="187"/>
      <c r="M529" s="187"/>
      <c r="N529" s="187"/>
      <c r="O529" s="187"/>
      <c r="P529" s="187"/>
      <c r="Q529" s="187"/>
      <c r="R529" s="187"/>
      <c r="S529" s="187"/>
      <c r="T529" s="187"/>
      <c r="U529" s="187"/>
      <c r="V529" s="187"/>
      <c r="W529" s="187"/>
      <c r="X529" s="187"/>
      <c r="Y529" s="187"/>
      <c r="Z529" s="187"/>
    </row>
    <row r="530" ht="15.75" customHeight="1">
      <c r="A530" s="203"/>
      <c r="B530" s="187"/>
      <c r="C530" s="187"/>
      <c r="D530" s="187"/>
      <c r="E530" s="187"/>
      <c r="F530" s="187"/>
      <c r="G530" s="187"/>
      <c r="H530" s="187"/>
      <c r="I530" s="187"/>
      <c r="J530" s="187"/>
      <c r="K530" s="187"/>
      <c r="L530" s="187"/>
      <c r="M530" s="187"/>
      <c r="N530" s="187"/>
      <c r="O530" s="187"/>
      <c r="P530" s="187"/>
      <c r="Q530" s="187"/>
      <c r="R530" s="187"/>
      <c r="S530" s="187"/>
      <c r="T530" s="187"/>
      <c r="U530" s="187"/>
      <c r="V530" s="187"/>
      <c r="W530" s="187"/>
      <c r="X530" s="187"/>
      <c r="Y530" s="187"/>
      <c r="Z530" s="187"/>
    </row>
    <row r="531" ht="15.75" customHeight="1">
      <c r="A531" s="203"/>
      <c r="B531" s="187"/>
      <c r="C531" s="187"/>
      <c r="D531" s="187"/>
      <c r="E531" s="187"/>
      <c r="F531" s="187"/>
      <c r="G531" s="187"/>
      <c r="H531" s="187"/>
      <c r="I531" s="187"/>
      <c r="J531" s="187"/>
      <c r="K531" s="187"/>
      <c r="L531" s="187"/>
      <c r="M531" s="187"/>
      <c r="N531" s="187"/>
      <c r="O531" s="187"/>
      <c r="P531" s="187"/>
      <c r="Q531" s="187"/>
      <c r="R531" s="187"/>
      <c r="S531" s="187"/>
      <c r="T531" s="187"/>
      <c r="U531" s="187"/>
      <c r="V531" s="187"/>
      <c r="W531" s="187"/>
      <c r="X531" s="187"/>
      <c r="Y531" s="187"/>
      <c r="Z531" s="187"/>
    </row>
    <row r="532" ht="15.75" customHeight="1">
      <c r="A532" s="203"/>
      <c r="B532" s="187"/>
      <c r="C532" s="187"/>
      <c r="D532" s="187"/>
      <c r="E532" s="187"/>
      <c r="F532" s="187"/>
      <c r="G532" s="187"/>
      <c r="H532" s="187"/>
      <c r="I532" s="187"/>
      <c r="J532" s="187"/>
      <c r="K532" s="187"/>
      <c r="L532" s="187"/>
      <c r="M532" s="187"/>
      <c r="N532" s="187"/>
      <c r="O532" s="187"/>
      <c r="P532" s="187"/>
      <c r="Q532" s="187"/>
      <c r="R532" s="187"/>
      <c r="S532" s="187"/>
      <c r="T532" s="187"/>
      <c r="U532" s="187"/>
      <c r="V532" s="187"/>
      <c r="W532" s="187"/>
      <c r="X532" s="187"/>
      <c r="Y532" s="187"/>
      <c r="Z532" s="187"/>
    </row>
    <row r="533" ht="15.75" customHeight="1">
      <c r="A533" s="203"/>
      <c r="B533" s="187"/>
      <c r="C533" s="187"/>
      <c r="D533" s="187"/>
      <c r="E533" s="187"/>
      <c r="F533" s="187"/>
      <c r="G533" s="187"/>
      <c r="H533" s="187"/>
      <c r="I533" s="187"/>
      <c r="J533" s="187"/>
      <c r="K533" s="187"/>
      <c r="L533" s="187"/>
      <c r="M533" s="187"/>
      <c r="N533" s="187"/>
      <c r="O533" s="187"/>
      <c r="P533" s="187"/>
      <c r="Q533" s="187"/>
      <c r="R533" s="187"/>
      <c r="S533" s="187"/>
      <c r="T533" s="187"/>
      <c r="U533" s="187"/>
      <c r="V533" s="187"/>
      <c r="W533" s="187"/>
      <c r="X533" s="187"/>
      <c r="Y533" s="187"/>
      <c r="Z533" s="187"/>
    </row>
    <row r="534" ht="15.75" customHeight="1">
      <c r="A534" s="203"/>
      <c r="B534" s="187"/>
      <c r="C534" s="187"/>
      <c r="D534" s="187"/>
      <c r="E534" s="187"/>
      <c r="F534" s="187"/>
      <c r="G534" s="187"/>
      <c r="H534" s="187"/>
      <c r="I534" s="187"/>
      <c r="J534" s="187"/>
      <c r="K534" s="187"/>
      <c r="L534" s="187"/>
      <c r="M534" s="187"/>
      <c r="N534" s="187"/>
      <c r="O534" s="187"/>
      <c r="P534" s="187"/>
      <c r="Q534" s="187"/>
      <c r="R534" s="187"/>
      <c r="S534" s="187"/>
      <c r="T534" s="187"/>
      <c r="U534" s="187"/>
      <c r="V534" s="187"/>
      <c r="W534" s="187"/>
      <c r="X534" s="187"/>
      <c r="Y534" s="187"/>
      <c r="Z534" s="187"/>
    </row>
    <row r="535" ht="15.75" customHeight="1">
      <c r="A535" s="203"/>
      <c r="B535" s="187"/>
      <c r="C535" s="187"/>
      <c r="D535" s="187"/>
      <c r="E535" s="187"/>
      <c r="F535" s="187"/>
      <c r="G535" s="187"/>
      <c r="H535" s="187"/>
      <c r="I535" s="187"/>
      <c r="J535" s="187"/>
      <c r="K535" s="187"/>
      <c r="L535" s="187"/>
      <c r="M535" s="187"/>
      <c r="N535" s="187"/>
      <c r="O535" s="187"/>
      <c r="P535" s="187"/>
      <c r="Q535" s="187"/>
      <c r="R535" s="187"/>
      <c r="S535" s="187"/>
      <c r="T535" s="187"/>
      <c r="U535" s="187"/>
      <c r="V535" s="187"/>
      <c r="W535" s="187"/>
      <c r="X535" s="187"/>
      <c r="Y535" s="187"/>
      <c r="Z535" s="187"/>
    </row>
    <row r="536" ht="15.75" customHeight="1">
      <c r="A536" s="203"/>
      <c r="B536" s="187"/>
      <c r="C536" s="187"/>
      <c r="D536" s="187"/>
      <c r="E536" s="187"/>
      <c r="F536" s="187"/>
      <c r="G536" s="187"/>
      <c r="H536" s="187"/>
      <c r="I536" s="187"/>
      <c r="J536" s="187"/>
      <c r="K536" s="187"/>
      <c r="L536" s="187"/>
      <c r="M536" s="187"/>
      <c r="N536" s="187"/>
      <c r="O536" s="187"/>
      <c r="P536" s="187"/>
      <c r="Q536" s="187"/>
      <c r="R536" s="187"/>
      <c r="S536" s="187"/>
      <c r="T536" s="187"/>
      <c r="U536" s="187"/>
      <c r="V536" s="187"/>
      <c r="W536" s="187"/>
      <c r="X536" s="187"/>
      <c r="Y536" s="187"/>
      <c r="Z536" s="187"/>
    </row>
    <row r="537" ht="15.75" customHeight="1">
      <c r="A537" s="203"/>
      <c r="B537" s="187"/>
      <c r="C537" s="187"/>
      <c r="D537" s="187"/>
      <c r="E537" s="187"/>
      <c r="F537" s="187"/>
      <c r="G537" s="187"/>
      <c r="H537" s="187"/>
      <c r="I537" s="187"/>
      <c r="J537" s="187"/>
      <c r="K537" s="187"/>
      <c r="L537" s="187"/>
      <c r="M537" s="187"/>
      <c r="N537" s="187"/>
      <c r="O537" s="187"/>
      <c r="P537" s="187"/>
      <c r="Q537" s="187"/>
      <c r="R537" s="187"/>
      <c r="S537" s="187"/>
      <c r="T537" s="187"/>
      <c r="U537" s="187"/>
      <c r="V537" s="187"/>
      <c r="W537" s="187"/>
      <c r="X537" s="187"/>
      <c r="Y537" s="187"/>
      <c r="Z537" s="187"/>
    </row>
    <row r="538" ht="15.75" customHeight="1">
      <c r="A538" s="203"/>
      <c r="B538" s="187"/>
      <c r="C538" s="187"/>
      <c r="D538" s="187"/>
      <c r="E538" s="187"/>
      <c r="F538" s="187"/>
      <c r="G538" s="187"/>
      <c r="H538" s="187"/>
      <c r="I538" s="187"/>
      <c r="J538" s="187"/>
      <c r="K538" s="187"/>
      <c r="L538" s="187"/>
      <c r="M538" s="187"/>
      <c r="N538" s="187"/>
      <c r="O538" s="187"/>
      <c r="P538" s="187"/>
      <c r="Q538" s="187"/>
      <c r="R538" s="187"/>
      <c r="S538" s="187"/>
      <c r="T538" s="187"/>
      <c r="U538" s="187"/>
      <c r="V538" s="187"/>
      <c r="W538" s="187"/>
      <c r="X538" s="187"/>
      <c r="Y538" s="187"/>
      <c r="Z538" s="187"/>
    </row>
    <row r="539" ht="15.75" customHeight="1">
      <c r="A539" s="203"/>
      <c r="B539" s="187"/>
      <c r="C539" s="187"/>
      <c r="D539" s="187"/>
      <c r="E539" s="187"/>
      <c r="F539" s="187"/>
      <c r="G539" s="187"/>
      <c r="H539" s="187"/>
      <c r="I539" s="187"/>
      <c r="J539" s="187"/>
      <c r="K539" s="187"/>
      <c r="L539" s="187"/>
      <c r="M539" s="187"/>
      <c r="N539" s="187"/>
      <c r="O539" s="187"/>
      <c r="P539" s="187"/>
      <c r="Q539" s="187"/>
      <c r="R539" s="187"/>
      <c r="S539" s="187"/>
      <c r="T539" s="187"/>
      <c r="U539" s="187"/>
      <c r="V539" s="187"/>
      <c r="W539" s="187"/>
      <c r="X539" s="187"/>
      <c r="Y539" s="187"/>
      <c r="Z539" s="187"/>
    </row>
    <row r="540" ht="15.75" customHeight="1">
      <c r="A540" s="203"/>
      <c r="B540" s="187"/>
      <c r="C540" s="187"/>
      <c r="D540" s="187"/>
      <c r="E540" s="187"/>
      <c r="F540" s="187"/>
      <c r="G540" s="187"/>
      <c r="H540" s="187"/>
      <c r="I540" s="187"/>
      <c r="J540" s="187"/>
      <c r="K540" s="187"/>
      <c r="L540" s="187"/>
      <c r="M540" s="187"/>
      <c r="N540" s="187"/>
      <c r="O540" s="187"/>
      <c r="P540" s="187"/>
      <c r="Q540" s="187"/>
      <c r="R540" s="187"/>
      <c r="S540" s="187"/>
      <c r="T540" s="187"/>
      <c r="U540" s="187"/>
      <c r="V540" s="187"/>
      <c r="W540" s="187"/>
      <c r="X540" s="187"/>
      <c r="Y540" s="187"/>
      <c r="Z540" s="187"/>
    </row>
    <row r="541" ht="15.75" customHeight="1">
      <c r="A541" s="203"/>
      <c r="B541" s="187"/>
      <c r="C541" s="187"/>
      <c r="D541" s="187"/>
      <c r="E541" s="187"/>
      <c r="F541" s="187"/>
      <c r="G541" s="187"/>
      <c r="H541" s="187"/>
      <c r="I541" s="187"/>
      <c r="J541" s="187"/>
      <c r="K541" s="187"/>
      <c r="L541" s="187"/>
      <c r="M541" s="187"/>
      <c r="N541" s="187"/>
      <c r="O541" s="187"/>
      <c r="P541" s="187"/>
      <c r="Q541" s="187"/>
      <c r="R541" s="187"/>
      <c r="S541" s="187"/>
      <c r="T541" s="187"/>
      <c r="U541" s="187"/>
      <c r="V541" s="187"/>
      <c r="W541" s="187"/>
      <c r="X541" s="187"/>
      <c r="Y541" s="187"/>
      <c r="Z541" s="187"/>
    </row>
    <row r="542" ht="15.75" customHeight="1">
      <c r="A542" s="203"/>
      <c r="B542" s="187"/>
      <c r="C542" s="187"/>
      <c r="D542" s="187"/>
      <c r="E542" s="187"/>
      <c r="F542" s="187"/>
      <c r="G542" s="187"/>
      <c r="H542" s="187"/>
      <c r="I542" s="187"/>
      <c r="J542" s="187"/>
      <c r="K542" s="187"/>
      <c r="L542" s="187"/>
      <c r="M542" s="187"/>
      <c r="N542" s="187"/>
      <c r="O542" s="187"/>
      <c r="P542" s="187"/>
      <c r="Q542" s="187"/>
      <c r="R542" s="187"/>
      <c r="S542" s="187"/>
      <c r="T542" s="187"/>
      <c r="U542" s="187"/>
      <c r="V542" s="187"/>
      <c r="W542" s="187"/>
      <c r="X542" s="187"/>
      <c r="Y542" s="187"/>
      <c r="Z542" s="187"/>
    </row>
    <row r="543" ht="15.75" customHeight="1">
      <c r="A543" s="203"/>
      <c r="B543" s="187"/>
      <c r="C543" s="187"/>
      <c r="D543" s="187"/>
      <c r="E543" s="187"/>
      <c r="F543" s="187"/>
      <c r="G543" s="187"/>
      <c r="H543" s="187"/>
      <c r="I543" s="187"/>
      <c r="J543" s="187"/>
      <c r="K543" s="187"/>
      <c r="L543" s="187"/>
      <c r="M543" s="187"/>
      <c r="N543" s="187"/>
      <c r="O543" s="187"/>
      <c r="P543" s="187"/>
      <c r="Q543" s="187"/>
      <c r="R543" s="187"/>
      <c r="S543" s="187"/>
      <c r="T543" s="187"/>
      <c r="U543" s="187"/>
      <c r="V543" s="187"/>
      <c r="W543" s="187"/>
      <c r="X543" s="187"/>
      <c r="Y543" s="187"/>
      <c r="Z543" s="187"/>
    </row>
    <row r="544" ht="15.75" customHeight="1">
      <c r="A544" s="203"/>
      <c r="B544" s="187"/>
      <c r="C544" s="187"/>
      <c r="D544" s="187"/>
      <c r="E544" s="187"/>
      <c r="F544" s="187"/>
      <c r="G544" s="187"/>
      <c r="H544" s="187"/>
      <c r="I544" s="187"/>
      <c r="J544" s="187"/>
      <c r="K544" s="187"/>
      <c r="L544" s="187"/>
      <c r="M544" s="187"/>
      <c r="N544" s="187"/>
      <c r="O544" s="187"/>
      <c r="P544" s="187"/>
      <c r="Q544" s="187"/>
      <c r="R544" s="187"/>
      <c r="S544" s="187"/>
      <c r="T544" s="187"/>
      <c r="U544" s="187"/>
      <c r="V544" s="187"/>
      <c r="W544" s="187"/>
      <c r="X544" s="187"/>
      <c r="Y544" s="187"/>
      <c r="Z544" s="187"/>
    </row>
    <row r="545" ht="15.75" customHeight="1">
      <c r="A545" s="203"/>
      <c r="B545" s="187"/>
      <c r="C545" s="187"/>
      <c r="D545" s="187"/>
      <c r="E545" s="187"/>
      <c r="F545" s="187"/>
      <c r="G545" s="187"/>
      <c r="H545" s="187"/>
      <c r="I545" s="187"/>
      <c r="J545" s="187"/>
      <c r="K545" s="187"/>
      <c r="L545" s="187"/>
      <c r="M545" s="187"/>
      <c r="N545" s="187"/>
      <c r="O545" s="187"/>
      <c r="P545" s="187"/>
      <c r="Q545" s="187"/>
      <c r="R545" s="187"/>
      <c r="S545" s="187"/>
      <c r="T545" s="187"/>
      <c r="U545" s="187"/>
      <c r="V545" s="187"/>
      <c r="W545" s="187"/>
      <c r="X545" s="187"/>
      <c r="Y545" s="187"/>
      <c r="Z545" s="187"/>
    </row>
    <row r="546" ht="15.75" customHeight="1">
      <c r="A546" s="203"/>
      <c r="B546" s="187"/>
      <c r="C546" s="187"/>
      <c r="D546" s="187"/>
      <c r="E546" s="187"/>
      <c r="F546" s="187"/>
      <c r="G546" s="187"/>
      <c r="H546" s="187"/>
      <c r="I546" s="187"/>
      <c r="J546" s="187"/>
      <c r="K546" s="187"/>
      <c r="L546" s="187"/>
      <c r="M546" s="187"/>
      <c r="N546" s="187"/>
      <c r="O546" s="187"/>
      <c r="P546" s="187"/>
      <c r="Q546" s="187"/>
      <c r="R546" s="187"/>
      <c r="S546" s="187"/>
      <c r="T546" s="187"/>
      <c r="U546" s="187"/>
      <c r="V546" s="187"/>
      <c r="W546" s="187"/>
      <c r="X546" s="187"/>
      <c r="Y546" s="187"/>
      <c r="Z546" s="187"/>
    </row>
    <row r="547" ht="15.75" customHeight="1">
      <c r="A547" s="203"/>
      <c r="B547" s="187"/>
      <c r="C547" s="187"/>
      <c r="D547" s="187"/>
      <c r="E547" s="187"/>
      <c r="F547" s="187"/>
      <c r="G547" s="187"/>
      <c r="H547" s="187"/>
      <c r="I547" s="187"/>
      <c r="J547" s="187"/>
      <c r="K547" s="187"/>
      <c r="L547" s="187"/>
      <c r="M547" s="187"/>
      <c r="N547" s="187"/>
      <c r="O547" s="187"/>
      <c r="P547" s="187"/>
      <c r="Q547" s="187"/>
      <c r="R547" s="187"/>
      <c r="S547" s="187"/>
      <c r="T547" s="187"/>
      <c r="U547" s="187"/>
      <c r="V547" s="187"/>
      <c r="W547" s="187"/>
      <c r="X547" s="187"/>
      <c r="Y547" s="187"/>
      <c r="Z547" s="187"/>
    </row>
    <row r="548" ht="15.75" customHeight="1">
      <c r="A548" s="203"/>
      <c r="B548" s="187"/>
      <c r="C548" s="187"/>
      <c r="D548" s="187"/>
      <c r="E548" s="187"/>
      <c r="F548" s="187"/>
      <c r="G548" s="187"/>
      <c r="H548" s="187"/>
      <c r="I548" s="187"/>
      <c r="J548" s="187"/>
      <c r="K548" s="187"/>
      <c r="L548" s="187"/>
      <c r="M548" s="187"/>
      <c r="N548" s="187"/>
      <c r="O548" s="187"/>
      <c r="P548" s="187"/>
      <c r="Q548" s="187"/>
      <c r="R548" s="187"/>
      <c r="S548" s="187"/>
      <c r="T548" s="187"/>
      <c r="U548" s="187"/>
      <c r="V548" s="187"/>
      <c r="W548" s="187"/>
      <c r="X548" s="187"/>
      <c r="Y548" s="187"/>
      <c r="Z548" s="187"/>
    </row>
    <row r="549" ht="15.75" customHeight="1">
      <c r="A549" s="203"/>
      <c r="B549" s="187"/>
      <c r="C549" s="187"/>
      <c r="D549" s="187"/>
      <c r="E549" s="187"/>
      <c r="F549" s="187"/>
      <c r="G549" s="187"/>
      <c r="H549" s="187"/>
      <c r="I549" s="187"/>
      <c r="J549" s="187"/>
      <c r="K549" s="187"/>
      <c r="L549" s="187"/>
      <c r="M549" s="187"/>
      <c r="N549" s="187"/>
      <c r="O549" s="187"/>
      <c r="P549" s="187"/>
      <c r="Q549" s="187"/>
      <c r="R549" s="187"/>
      <c r="S549" s="187"/>
      <c r="T549" s="187"/>
      <c r="U549" s="187"/>
      <c r="V549" s="187"/>
      <c r="W549" s="187"/>
      <c r="X549" s="187"/>
      <c r="Y549" s="187"/>
      <c r="Z549" s="187"/>
    </row>
    <row r="550" ht="15.75" customHeight="1">
      <c r="A550" s="203"/>
      <c r="B550" s="187"/>
      <c r="C550" s="187"/>
      <c r="D550" s="187"/>
      <c r="E550" s="187"/>
      <c r="F550" s="187"/>
      <c r="G550" s="187"/>
      <c r="H550" s="187"/>
      <c r="I550" s="187"/>
      <c r="J550" s="187"/>
      <c r="K550" s="187"/>
      <c r="L550" s="187"/>
      <c r="M550" s="187"/>
      <c r="N550" s="187"/>
      <c r="O550" s="187"/>
      <c r="P550" s="187"/>
      <c r="Q550" s="187"/>
      <c r="R550" s="187"/>
      <c r="S550" s="187"/>
      <c r="T550" s="187"/>
      <c r="U550" s="187"/>
      <c r="V550" s="187"/>
      <c r="W550" s="187"/>
      <c r="X550" s="187"/>
      <c r="Y550" s="187"/>
      <c r="Z550" s="187"/>
    </row>
    <row r="551" ht="15.75" customHeight="1">
      <c r="A551" s="203"/>
      <c r="B551" s="187"/>
      <c r="C551" s="187"/>
      <c r="D551" s="187"/>
      <c r="E551" s="187"/>
      <c r="F551" s="187"/>
      <c r="G551" s="187"/>
      <c r="H551" s="187"/>
      <c r="I551" s="187"/>
      <c r="J551" s="187"/>
      <c r="K551" s="187"/>
      <c r="L551" s="187"/>
      <c r="M551" s="187"/>
      <c r="N551" s="187"/>
      <c r="O551" s="187"/>
      <c r="P551" s="187"/>
      <c r="Q551" s="187"/>
      <c r="R551" s="187"/>
      <c r="S551" s="187"/>
      <c r="T551" s="187"/>
      <c r="U551" s="187"/>
      <c r="V551" s="187"/>
      <c r="W551" s="187"/>
      <c r="X551" s="187"/>
      <c r="Y551" s="187"/>
      <c r="Z551" s="187"/>
    </row>
    <row r="552" ht="15.75" customHeight="1">
      <c r="A552" s="203"/>
      <c r="B552" s="187"/>
      <c r="C552" s="187"/>
      <c r="D552" s="187"/>
      <c r="E552" s="187"/>
      <c r="F552" s="187"/>
      <c r="G552" s="187"/>
      <c r="H552" s="187"/>
      <c r="I552" s="187"/>
      <c r="J552" s="187"/>
      <c r="K552" s="187"/>
      <c r="L552" s="187"/>
      <c r="M552" s="187"/>
      <c r="N552" s="187"/>
      <c r="O552" s="187"/>
      <c r="P552" s="187"/>
      <c r="Q552" s="187"/>
      <c r="R552" s="187"/>
      <c r="S552" s="187"/>
      <c r="T552" s="187"/>
      <c r="U552" s="187"/>
      <c r="V552" s="187"/>
      <c r="W552" s="187"/>
      <c r="X552" s="187"/>
      <c r="Y552" s="187"/>
      <c r="Z552" s="187"/>
    </row>
    <row r="553" ht="15.75" customHeight="1">
      <c r="A553" s="203"/>
      <c r="B553" s="187"/>
      <c r="C553" s="187"/>
      <c r="D553" s="187"/>
      <c r="E553" s="187"/>
      <c r="F553" s="187"/>
      <c r="G553" s="187"/>
      <c r="H553" s="187"/>
      <c r="I553" s="187"/>
      <c r="J553" s="187"/>
      <c r="K553" s="187"/>
      <c r="L553" s="187"/>
      <c r="M553" s="187"/>
      <c r="N553" s="187"/>
      <c r="O553" s="187"/>
      <c r="P553" s="187"/>
      <c r="Q553" s="187"/>
      <c r="R553" s="187"/>
      <c r="S553" s="187"/>
      <c r="T553" s="187"/>
      <c r="U553" s="187"/>
      <c r="V553" s="187"/>
      <c r="W553" s="187"/>
      <c r="X553" s="187"/>
      <c r="Y553" s="187"/>
      <c r="Z553" s="187"/>
    </row>
    <row r="554" ht="15.75" customHeight="1">
      <c r="A554" s="203"/>
      <c r="B554" s="187"/>
      <c r="C554" s="187"/>
      <c r="D554" s="187"/>
      <c r="E554" s="187"/>
      <c r="F554" s="187"/>
      <c r="G554" s="187"/>
      <c r="H554" s="187"/>
      <c r="I554" s="187"/>
      <c r="J554" s="187"/>
      <c r="K554" s="187"/>
      <c r="L554" s="187"/>
      <c r="M554" s="187"/>
      <c r="N554" s="187"/>
      <c r="O554" s="187"/>
      <c r="P554" s="187"/>
      <c r="Q554" s="187"/>
      <c r="R554" s="187"/>
      <c r="S554" s="187"/>
      <c r="T554" s="187"/>
      <c r="U554" s="187"/>
      <c r="V554" s="187"/>
      <c r="W554" s="187"/>
      <c r="X554" s="187"/>
      <c r="Y554" s="187"/>
      <c r="Z554" s="187"/>
    </row>
    <row r="555" ht="15.75" customHeight="1">
      <c r="A555" s="203"/>
      <c r="B555" s="187"/>
      <c r="C555" s="187"/>
      <c r="D555" s="187"/>
      <c r="E555" s="187"/>
      <c r="F555" s="187"/>
      <c r="G555" s="187"/>
      <c r="H555" s="187"/>
      <c r="I555" s="187"/>
      <c r="J555" s="187"/>
      <c r="K555" s="187"/>
      <c r="L555" s="187"/>
      <c r="M555" s="187"/>
      <c r="N555" s="187"/>
      <c r="O555" s="187"/>
      <c r="P555" s="187"/>
      <c r="Q555" s="187"/>
      <c r="R555" s="187"/>
      <c r="S555" s="187"/>
      <c r="T555" s="187"/>
      <c r="U555" s="187"/>
      <c r="V555" s="187"/>
      <c r="W555" s="187"/>
      <c r="X555" s="187"/>
      <c r="Y555" s="187"/>
      <c r="Z555" s="187"/>
    </row>
    <row r="556" ht="15.75" customHeight="1">
      <c r="A556" s="203"/>
      <c r="B556" s="187"/>
      <c r="C556" s="187"/>
      <c r="D556" s="187"/>
      <c r="E556" s="187"/>
      <c r="F556" s="187"/>
      <c r="G556" s="187"/>
      <c r="H556" s="187"/>
      <c r="I556" s="187"/>
      <c r="J556" s="187"/>
      <c r="K556" s="187"/>
      <c r="L556" s="187"/>
      <c r="M556" s="187"/>
      <c r="N556" s="187"/>
      <c r="O556" s="187"/>
      <c r="P556" s="187"/>
      <c r="Q556" s="187"/>
      <c r="R556" s="187"/>
      <c r="S556" s="187"/>
      <c r="T556" s="187"/>
      <c r="U556" s="187"/>
      <c r="V556" s="187"/>
      <c r="W556" s="187"/>
      <c r="X556" s="187"/>
      <c r="Y556" s="187"/>
      <c r="Z556" s="187"/>
    </row>
    <row r="557" ht="15.75" customHeight="1">
      <c r="A557" s="203"/>
      <c r="B557" s="187"/>
      <c r="C557" s="187"/>
      <c r="D557" s="187"/>
      <c r="E557" s="187"/>
      <c r="F557" s="187"/>
      <c r="G557" s="187"/>
      <c r="H557" s="187"/>
      <c r="I557" s="187"/>
      <c r="J557" s="187"/>
      <c r="K557" s="187"/>
      <c r="L557" s="187"/>
      <c r="M557" s="187"/>
      <c r="N557" s="187"/>
      <c r="O557" s="187"/>
      <c r="P557" s="187"/>
      <c r="Q557" s="187"/>
      <c r="R557" s="187"/>
      <c r="S557" s="187"/>
      <c r="T557" s="187"/>
      <c r="U557" s="187"/>
      <c r="V557" s="187"/>
      <c r="W557" s="187"/>
      <c r="X557" s="187"/>
      <c r="Y557" s="187"/>
      <c r="Z557" s="187"/>
    </row>
    <row r="558" ht="15.75" customHeight="1">
      <c r="A558" s="203"/>
      <c r="B558" s="187"/>
      <c r="C558" s="187"/>
      <c r="D558" s="187"/>
      <c r="E558" s="187"/>
      <c r="F558" s="187"/>
      <c r="G558" s="187"/>
      <c r="H558" s="187"/>
      <c r="I558" s="187"/>
      <c r="J558" s="187"/>
      <c r="K558" s="187"/>
      <c r="L558" s="187"/>
      <c r="M558" s="187"/>
      <c r="N558" s="187"/>
      <c r="O558" s="187"/>
      <c r="P558" s="187"/>
      <c r="Q558" s="187"/>
      <c r="R558" s="187"/>
      <c r="S558" s="187"/>
      <c r="T558" s="187"/>
      <c r="U558" s="187"/>
      <c r="V558" s="187"/>
      <c r="W558" s="187"/>
      <c r="X558" s="187"/>
      <c r="Y558" s="187"/>
      <c r="Z558" s="187"/>
    </row>
    <row r="559" ht="15.75" customHeight="1">
      <c r="A559" s="203"/>
      <c r="B559" s="187"/>
      <c r="C559" s="187"/>
      <c r="D559" s="187"/>
      <c r="E559" s="187"/>
      <c r="F559" s="187"/>
      <c r="G559" s="187"/>
      <c r="H559" s="187"/>
      <c r="I559" s="187"/>
      <c r="J559" s="187"/>
      <c r="K559" s="187"/>
      <c r="L559" s="187"/>
      <c r="M559" s="187"/>
      <c r="N559" s="187"/>
      <c r="O559" s="187"/>
      <c r="P559" s="187"/>
      <c r="Q559" s="187"/>
      <c r="R559" s="187"/>
      <c r="S559" s="187"/>
      <c r="T559" s="187"/>
      <c r="U559" s="187"/>
      <c r="V559" s="187"/>
      <c r="W559" s="187"/>
      <c r="X559" s="187"/>
      <c r="Y559" s="187"/>
      <c r="Z559" s="187"/>
    </row>
    <row r="560" ht="15.75" customHeight="1">
      <c r="A560" s="203"/>
      <c r="B560" s="187"/>
      <c r="C560" s="187"/>
      <c r="D560" s="187"/>
      <c r="E560" s="187"/>
      <c r="F560" s="187"/>
      <c r="G560" s="187"/>
      <c r="H560" s="187"/>
      <c r="I560" s="187"/>
      <c r="J560" s="187"/>
      <c r="K560" s="187"/>
      <c r="L560" s="187"/>
      <c r="M560" s="187"/>
      <c r="N560" s="187"/>
      <c r="O560" s="187"/>
      <c r="P560" s="187"/>
      <c r="Q560" s="187"/>
      <c r="R560" s="187"/>
      <c r="S560" s="187"/>
      <c r="T560" s="187"/>
      <c r="U560" s="187"/>
      <c r="V560" s="187"/>
      <c r="W560" s="187"/>
      <c r="X560" s="187"/>
      <c r="Y560" s="187"/>
      <c r="Z560" s="187"/>
    </row>
    <row r="561" ht="15.75" customHeight="1">
      <c r="A561" s="203"/>
      <c r="B561" s="187"/>
      <c r="C561" s="187"/>
      <c r="D561" s="187"/>
      <c r="E561" s="187"/>
      <c r="F561" s="187"/>
      <c r="G561" s="187"/>
      <c r="H561" s="187"/>
      <c r="I561" s="187"/>
      <c r="J561" s="187"/>
      <c r="K561" s="187"/>
      <c r="L561" s="187"/>
      <c r="M561" s="187"/>
      <c r="N561" s="187"/>
      <c r="O561" s="187"/>
      <c r="P561" s="187"/>
      <c r="Q561" s="187"/>
      <c r="R561" s="187"/>
      <c r="S561" s="187"/>
      <c r="T561" s="187"/>
      <c r="U561" s="187"/>
      <c r="V561" s="187"/>
      <c r="W561" s="187"/>
      <c r="X561" s="187"/>
      <c r="Y561" s="187"/>
      <c r="Z561" s="187"/>
    </row>
    <row r="562" ht="15.75" customHeight="1">
      <c r="A562" s="203"/>
      <c r="B562" s="187"/>
      <c r="C562" s="187"/>
      <c r="D562" s="187"/>
      <c r="E562" s="187"/>
      <c r="F562" s="187"/>
      <c r="G562" s="187"/>
      <c r="H562" s="187"/>
      <c r="I562" s="187"/>
      <c r="J562" s="187"/>
      <c r="K562" s="187"/>
      <c r="L562" s="187"/>
      <c r="M562" s="187"/>
      <c r="N562" s="187"/>
      <c r="O562" s="187"/>
      <c r="P562" s="187"/>
      <c r="Q562" s="187"/>
      <c r="R562" s="187"/>
      <c r="S562" s="187"/>
      <c r="T562" s="187"/>
      <c r="U562" s="187"/>
      <c r="V562" s="187"/>
      <c r="W562" s="187"/>
      <c r="X562" s="187"/>
      <c r="Y562" s="187"/>
      <c r="Z562" s="187"/>
    </row>
    <row r="563" ht="15.75" customHeight="1">
      <c r="A563" s="203"/>
      <c r="B563" s="187"/>
      <c r="C563" s="187"/>
      <c r="D563" s="187"/>
      <c r="E563" s="187"/>
      <c r="F563" s="187"/>
      <c r="G563" s="187"/>
      <c r="H563" s="187"/>
      <c r="I563" s="187"/>
      <c r="J563" s="187"/>
      <c r="K563" s="187"/>
      <c r="L563" s="187"/>
      <c r="M563" s="187"/>
      <c r="N563" s="187"/>
      <c r="O563" s="187"/>
      <c r="P563" s="187"/>
      <c r="Q563" s="187"/>
      <c r="R563" s="187"/>
      <c r="S563" s="187"/>
      <c r="T563" s="187"/>
      <c r="U563" s="187"/>
      <c r="V563" s="187"/>
      <c r="W563" s="187"/>
      <c r="X563" s="187"/>
      <c r="Y563" s="187"/>
      <c r="Z563" s="187"/>
    </row>
    <row r="564" ht="15.75" customHeight="1">
      <c r="A564" s="203"/>
      <c r="B564" s="187"/>
      <c r="C564" s="187"/>
      <c r="D564" s="187"/>
      <c r="E564" s="187"/>
      <c r="F564" s="187"/>
      <c r="G564" s="187"/>
      <c r="H564" s="187"/>
      <c r="I564" s="187"/>
      <c r="J564" s="187"/>
      <c r="K564" s="187"/>
      <c r="L564" s="187"/>
      <c r="M564" s="187"/>
      <c r="N564" s="187"/>
      <c r="O564" s="187"/>
      <c r="P564" s="187"/>
      <c r="Q564" s="187"/>
      <c r="R564" s="187"/>
      <c r="S564" s="187"/>
      <c r="T564" s="187"/>
      <c r="U564" s="187"/>
      <c r="V564" s="187"/>
      <c r="W564" s="187"/>
      <c r="X564" s="187"/>
      <c r="Y564" s="187"/>
      <c r="Z564" s="187"/>
    </row>
    <row r="565" ht="15.75" customHeight="1">
      <c r="A565" s="203"/>
      <c r="B565" s="187"/>
      <c r="C565" s="187"/>
      <c r="D565" s="187"/>
      <c r="E565" s="187"/>
      <c r="F565" s="187"/>
      <c r="G565" s="187"/>
      <c r="H565" s="187"/>
      <c r="I565" s="187"/>
      <c r="J565" s="187"/>
      <c r="K565" s="187"/>
      <c r="L565" s="187"/>
      <c r="M565" s="187"/>
      <c r="N565" s="187"/>
      <c r="O565" s="187"/>
      <c r="P565" s="187"/>
      <c r="Q565" s="187"/>
      <c r="R565" s="187"/>
      <c r="S565" s="187"/>
      <c r="T565" s="187"/>
      <c r="U565" s="187"/>
      <c r="V565" s="187"/>
      <c r="W565" s="187"/>
      <c r="X565" s="187"/>
      <c r="Y565" s="187"/>
      <c r="Z565" s="187"/>
    </row>
    <row r="566" ht="15.75" customHeight="1">
      <c r="A566" s="203"/>
      <c r="B566" s="187"/>
      <c r="C566" s="187"/>
      <c r="D566" s="187"/>
      <c r="E566" s="187"/>
      <c r="F566" s="187"/>
      <c r="G566" s="187"/>
      <c r="H566" s="187"/>
      <c r="I566" s="187"/>
      <c r="J566" s="187"/>
      <c r="K566" s="187"/>
      <c r="L566" s="187"/>
      <c r="M566" s="187"/>
      <c r="N566" s="187"/>
      <c r="O566" s="187"/>
      <c r="P566" s="187"/>
      <c r="Q566" s="187"/>
      <c r="R566" s="187"/>
      <c r="S566" s="187"/>
      <c r="T566" s="187"/>
      <c r="U566" s="187"/>
      <c r="V566" s="187"/>
      <c r="W566" s="187"/>
      <c r="X566" s="187"/>
      <c r="Y566" s="187"/>
      <c r="Z566" s="187"/>
    </row>
    <row r="567" ht="15.75" customHeight="1">
      <c r="A567" s="203"/>
      <c r="B567" s="187"/>
      <c r="C567" s="187"/>
      <c r="D567" s="187"/>
      <c r="E567" s="187"/>
      <c r="F567" s="187"/>
      <c r="G567" s="187"/>
      <c r="H567" s="187"/>
      <c r="I567" s="187"/>
      <c r="J567" s="187"/>
      <c r="K567" s="187"/>
      <c r="L567" s="187"/>
      <c r="M567" s="187"/>
      <c r="N567" s="187"/>
      <c r="O567" s="187"/>
      <c r="P567" s="187"/>
      <c r="Q567" s="187"/>
      <c r="R567" s="187"/>
      <c r="S567" s="187"/>
      <c r="T567" s="187"/>
      <c r="U567" s="187"/>
      <c r="V567" s="187"/>
      <c r="W567" s="187"/>
      <c r="X567" s="187"/>
      <c r="Y567" s="187"/>
      <c r="Z567" s="187"/>
    </row>
    <row r="568" ht="15.75" customHeight="1">
      <c r="A568" s="203"/>
      <c r="B568" s="187"/>
      <c r="C568" s="187"/>
      <c r="D568" s="187"/>
      <c r="E568" s="187"/>
      <c r="F568" s="187"/>
      <c r="G568" s="187"/>
      <c r="H568" s="187"/>
      <c r="I568" s="187"/>
      <c r="J568" s="187"/>
      <c r="K568" s="187"/>
      <c r="L568" s="187"/>
      <c r="M568" s="187"/>
      <c r="N568" s="187"/>
      <c r="O568" s="187"/>
      <c r="P568" s="187"/>
      <c r="Q568" s="187"/>
      <c r="R568" s="187"/>
      <c r="S568" s="187"/>
      <c r="T568" s="187"/>
      <c r="U568" s="187"/>
      <c r="V568" s="187"/>
      <c r="W568" s="187"/>
      <c r="X568" s="187"/>
      <c r="Y568" s="187"/>
      <c r="Z568" s="187"/>
    </row>
    <row r="569" ht="15.75" customHeight="1">
      <c r="A569" s="203"/>
      <c r="B569" s="187"/>
      <c r="C569" s="187"/>
      <c r="D569" s="187"/>
      <c r="E569" s="187"/>
      <c r="F569" s="187"/>
      <c r="G569" s="187"/>
      <c r="H569" s="187"/>
      <c r="I569" s="187"/>
      <c r="J569" s="187"/>
      <c r="K569" s="187"/>
      <c r="L569" s="187"/>
      <c r="M569" s="187"/>
      <c r="N569" s="187"/>
      <c r="O569" s="187"/>
      <c r="P569" s="187"/>
      <c r="Q569" s="187"/>
      <c r="R569" s="187"/>
      <c r="S569" s="187"/>
      <c r="T569" s="187"/>
      <c r="U569" s="187"/>
      <c r="V569" s="187"/>
      <c r="W569" s="187"/>
      <c r="X569" s="187"/>
      <c r="Y569" s="187"/>
      <c r="Z569" s="187"/>
    </row>
    <row r="570" ht="15.75" customHeight="1">
      <c r="A570" s="203"/>
      <c r="B570" s="187"/>
      <c r="C570" s="187"/>
      <c r="D570" s="187"/>
      <c r="E570" s="187"/>
      <c r="F570" s="187"/>
      <c r="G570" s="187"/>
      <c r="H570" s="187"/>
      <c r="I570" s="187"/>
      <c r="J570" s="187"/>
      <c r="K570" s="187"/>
      <c r="L570" s="187"/>
      <c r="M570" s="187"/>
      <c r="N570" s="187"/>
      <c r="O570" s="187"/>
      <c r="P570" s="187"/>
      <c r="Q570" s="187"/>
      <c r="R570" s="187"/>
      <c r="S570" s="187"/>
      <c r="T570" s="187"/>
      <c r="U570" s="187"/>
      <c r="V570" s="187"/>
      <c r="W570" s="187"/>
      <c r="X570" s="187"/>
      <c r="Y570" s="187"/>
      <c r="Z570" s="187"/>
    </row>
    <row r="571" ht="15.75" customHeight="1">
      <c r="A571" s="203"/>
      <c r="B571" s="187"/>
      <c r="C571" s="187"/>
      <c r="D571" s="187"/>
      <c r="E571" s="187"/>
      <c r="F571" s="187"/>
      <c r="G571" s="187"/>
      <c r="H571" s="187"/>
      <c r="I571" s="187"/>
      <c r="J571" s="187"/>
      <c r="K571" s="187"/>
      <c r="L571" s="187"/>
      <c r="M571" s="187"/>
      <c r="N571" s="187"/>
      <c r="O571" s="187"/>
      <c r="P571" s="187"/>
      <c r="Q571" s="187"/>
      <c r="R571" s="187"/>
      <c r="S571" s="187"/>
      <c r="T571" s="187"/>
      <c r="U571" s="187"/>
      <c r="V571" s="187"/>
      <c r="W571" s="187"/>
      <c r="X571" s="187"/>
      <c r="Y571" s="187"/>
      <c r="Z571" s="187"/>
    </row>
    <row r="572" ht="15.75" customHeight="1">
      <c r="A572" s="203"/>
      <c r="B572" s="187"/>
      <c r="C572" s="187"/>
      <c r="D572" s="187"/>
      <c r="E572" s="187"/>
      <c r="F572" s="187"/>
      <c r="G572" s="187"/>
      <c r="H572" s="187"/>
      <c r="I572" s="187"/>
      <c r="J572" s="187"/>
      <c r="K572" s="187"/>
      <c r="L572" s="187"/>
      <c r="M572" s="187"/>
      <c r="N572" s="187"/>
      <c r="O572" s="187"/>
      <c r="P572" s="187"/>
      <c r="Q572" s="187"/>
      <c r="R572" s="187"/>
      <c r="S572" s="187"/>
      <c r="T572" s="187"/>
      <c r="U572" s="187"/>
      <c r="V572" s="187"/>
      <c r="W572" s="187"/>
      <c r="X572" s="187"/>
      <c r="Y572" s="187"/>
      <c r="Z572" s="187"/>
    </row>
    <row r="573" ht="15.75" customHeight="1">
      <c r="A573" s="203"/>
      <c r="B573" s="187"/>
      <c r="C573" s="187"/>
      <c r="D573" s="187"/>
      <c r="E573" s="187"/>
      <c r="F573" s="187"/>
      <c r="G573" s="187"/>
      <c r="H573" s="187"/>
      <c r="I573" s="187"/>
      <c r="J573" s="187"/>
      <c r="K573" s="187"/>
      <c r="L573" s="187"/>
      <c r="M573" s="187"/>
      <c r="N573" s="187"/>
      <c r="O573" s="187"/>
      <c r="P573" s="187"/>
      <c r="Q573" s="187"/>
      <c r="R573" s="187"/>
      <c r="S573" s="187"/>
      <c r="T573" s="187"/>
      <c r="U573" s="187"/>
      <c r="V573" s="187"/>
      <c r="W573" s="187"/>
      <c r="X573" s="187"/>
      <c r="Y573" s="187"/>
      <c r="Z573" s="187"/>
    </row>
    <row r="574" ht="15.75" customHeight="1">
      <c r="A574" s="203"/>
      <c r="B574" s="187"/>
      <c r="C574" s="187"/>
      <c r="D574" s="187"/>
      <c r="E574" s="187"/>
      <c r="F574" s="187"/>
      <c r="G574" s="187"/>
      <c r="H574" s="187"/>
      <c r="I574" s="187"/>
      <c r="J574" s="187"/>
      <c r="K574" s="187"/>
      <c r="L574" s="187"/>
      <c r="M574" s="187"/>
      <c r="N574" s="187"/>
      <c r="O574" s="187"/>
      <c r="P574" s="187"/>
      <c r="Q574" s="187"/>
      <c r="R574" s="187"/>
      <c r="S574" s="187"/>
      <c r="T574" s="187"/>
      <c r="U574" s="187"/>
      <c r="V574" s="187"/>
      <c r="W574" s="187"/>
      <c r="X574" s="187"/>
      <c r="Y574" s="187"/>
      <c r="Z574" s="187"/>
    </row>
    <row r="575" ht="15.75" customHeight="1">
      <c r="A575" s="203"/>
      <c r="B575" s="187"/>
      <c r="C575" s="187"/>
      <c r="D575" s="187"/>
      <c r="E575" s="187"/>
      <c r="F575" s="187"/>
      <c r="G575" s="187"/>
      <c r="H575" s="187"/>
      <c r="I575" s="187"/>
      <c r="J575" s="187"/>
      <c r="K575" s="187"/>
      <c r="L575" s="187"/>
      <c r="M575" s="187"/>
      <c r="N575" s="187"/>
      <c r="O575" s="187"/>
      <c r="P575" s="187"/>
      <c r="Q575" s="187"/>
      <c r="R575" s="187"/>
      <c r="S575" s="187"/>
      <c r="T575" s="187"/>
      <c r="U575" s="187"/>
      <c r="V575" s="187"/>
      <c r="W575" s="187"/>
      <c r="X575" s="187"/>
      <c r="Y575" s="187"/>
      <c r="Z575" s="187"/>
    </row>
    <row r="576" ht="15.75" customHeight="1">
      <c r="A576" s="203"/>
      <c r="B576" s="187"/>
      <c r="C576" s="187"/>
      <c r="D576" s="187"/>
      <c r="E576" s="187"/>
      <c r="F576" s="187"/>
      <c r="G576" s="187"/>
      <c r="H576" s="187"/>
      <c r="I576" s="187"/>
      <c r="J576" s="187"/>
      <c r="K576" s="187"/>
      <c r="L576" s="187"/>
      <c r="M576" s="187"/>
      <c r="N576" s="187"/>
      <c r="O576" s="187"/>
      <c r="P576" s="187"/>
      <c r="Q576" s="187"/>
      <c r="R576" s="187"/>
      <c r="S576" s="187"/>
      <c r="T576" s="187"/>
      <c r="U576" s="187"/>
      <c r="V576" s="187"/>
      <c r="W576" s="187"/>
      <c r="X576" s="187"/>
      <c r="Y576" s="187"/>
      <c r="Z576" s="187"/>
    </row>
    <row r="577" ht="15.75" customHeight="1">
      <c r="A577" s="203"/>
      <c r="B577" s="187"/>
      <c r="C577" s="187"/>
      <c r="D577" s="187"/>
      <c r="E577" s="187"/>
      <c r="F577" s="187"/>
      <c r="G577" s="187"/>
      <c r="H577" s="187"/>
      <c r="I577" s="187"/>
      <c r="J577" s="187"/>
      <c r="K577" s="187"/>
      <c r="L577" s="187"/>
      <c r="M577" s="187"/>
      <c r="N577" s="187"/>
      <c r="O577" s="187"/>
      <c r="P577" s="187"/>
      <c r="Q577" s="187"/>
      <c r="R577" s="187"/>
      <c r="S577" s="187"/>
      <c r="T577" s="187"/>
      <c r="U577" s="187"/>
      <c r="V577" s="187"/>
      <c r="W577" s="187"/>
      <c r="X577" s="187"/>
      <c r="Y577" s="187"/>
      <c r="Z577" s="187"/>
    </row>
    <row r="578" ht="15.75" customHeight="1">
      <c r="A578" s="203"/>
      <c r="B578" s="187"/>
      <c r="C578" s="187"/>
      <c r="D578" s="187"/>
      <c r="E578" s="187"/>
      <c r="F578" s="187"/>
      <c r="G578" s="187"/>
      <c r="H578" s="187"/>
      <c r="I578" s="187"/>
      <c r="J578" s="187"/>
      <c r="K578" s="187"/>
      <c r="L578" s="187"/>
      <c r="M578" s="187"/>
      <c r="N578" s="187"/>
      <c r="O578" s="187"/>
      <c r="P578" s="187"/>
      <c r="Q578" s="187"/>
      <c r="R578" s="187"/>
      <c r="S578" s="187"/>
      <c r="T578" s="187"/>
      <c r="U578" s="187"/>
      <c r="V578" s="187"/>
      <c r="W578" s="187"/>
      <c r="X578" s="187"/>
      <c r="Y578" s="187"/>
      <c r="Z578" s="187"/>
    </row>
    <row r="579" ht="15.75" customHeight="1">
      <c r="A579" s="203"/>
      <c r="B579" s="187"/>
      <c r="C579" s="187"/>
      <c r="D579" s="187"/>
      <c r="E579" s="187"/>
      <c r="F579" s="187"/>
      <c r="G579" s="187"/>
      <c r="H579" s="187"/>
      <c r="I579" s="187"/>
      <c r="J579" s="187"/>
      <c r="K579" s="187"/>
      <c r="L579" s="187"/>
      <c r="M579" s="187"/>
      <c r="N579" s="187"/>
      <c r="O579" s="187"/>
      <c r="P579" s="187"/>
      <c r="Q579" s="187"/>
      <c r="R579" s="187"/>
      <c r="S579" s="187"/>
      <c r="T579" s="187"/>
      <c r="U579" s="187"/>
      <c r="V579" s="187"/>
      <c r="W579" s="187"/>
      <c r="X579" s="187"/>
      <c r="Y579" s="187"/>
      <c r="Z579" s="187"/>
    </row>
    <row r="580" ht="15.75" customHeight="1">
      <c r="A580" s="203"/>
      <c r="B580" s="187"/>
      <c r="C580" s="187"/>
      <c r="D580" s="187"/>
      <c r="E580" s="187"/>
      <c r="F580" s="187"/>
      <c r="G580" s="187"/>
      <c r="H580" s="187"/>
      <c r="I580" s="187"/>
      <c r="J580" s="187"/>
      <c r="K580" s="187"/>
      <c r="L580" s="187"/>
      <c r="M580" s="187"/>
      <c r="N580" s="187"/>
      <c r="O580" s="187"/>
      <c r="P580" s="187"/>
      <c r="Q580" s="187"/>
      <c r="R580" s="187"/>
      <c r="S580" s="187"/>
      <c r="T580" s="187"/>
      <c r="U580" s="187"/>
      <c r="V580" s="187"/>
      <c r="W580" s="187"/>
      <c r="X580" s="187"/>
      <c r="Y580" s="187"/>
      <c r="Z580" s="187"/>
    </row>
    <row r="581" ht="15.75" customHeight="1">
      <c r="A581" s="203"/>
      <c r="B581" s="187"/>
      <c r="C581" s="187"/>
      <c r="D581" s="187"/>
      <c r="E581" s="187"/>
      <c r="F581" s="187"/>
      <c r="G581" s="187"/>
      <c r="H581" s="187"/>
      <c r="I581" s="187"/>
      <c r="J581" s="187"/>
      <c r="K581" s="187"/>
      <c r="L581" s="187"/>
      <c r="M581" s="187"/>
      <c r="N581" s="187"/>
      <c r="O581" s="187"/>
      <c r="P581" s="187"/>
      <c r="Q581" s="187"/>
      <c r="R581" s="187"/>
      <c r="S581" s="187"/>
      <c r="T581" s="187"/>
      <c r="U581" s="187"/>
      <c r="V581" s="187"/>
      <c r="W581" s="187"/>
      <c r="X581" s="187"/>
      <c r="Y581" s="187"/>
      <c r="Z581" s="187"/>
    </row>
    <row r="582" ht="15.75" customHeight="1">
      <c r="A582" s="203"/>
      <c r="B582" s="187"/>
      <c r="C582" s="187"/>
      <c r="D582" s="187"/>
      <c r="E582" s="187"/>
      <c r="F582" s="187"/>
      <c r="G582" s="187"/>
      <c r="H582" s="187"/>
      <c r="I582" s="187"/>
      <c r="J582" s="187"/>
      <c r="K582" s="187"/>
      <c r="L582" s="187"/>
      <c r="M582" s="187"/>
      <c r="N582" s="187"/>
      <c r="O582" s="187"/>
      <c r="P582" s="187"/>
      <c r="Q582" s="187"/>
      <c r="R582" s="187"/>
      <c r="S582" s="187"/>
      <c r="T582" s="187"/>
      <c r="U582" s="187"/>
      <c r="V582" s="187"/>
      <c r="W582" s="187"/>
      <c r="X582" s="187"/>
      <c r="Y582" s="187"/>
      <c r="Z582" s="187"/>
    </row>
    <row r="583" ht="15.75" customHeight="1">
      <c r="A583" s="203"/>
      <c r="B583" s="187"/>
      <c r="C583" s="187"/>
      <c r="D583" s="187"/>
      <c r="E583" s="187"/>
      <c r="F583" s="187"/>
      <c r="G583" s="187"/>
      <c r="H583" s="187"/>
      <c r="I583" s="187"/>
      <c r="J583" s="187"/>
      <c r="K583" s="187"/>
      <c r="L583" s="187"/>
      <c r="M583" s="187"/>
      <c r="N583" s="187"/>
      <c r="O583" s="187"/>
      <c r="P583" s="187"/>
      <c r="Q583" s="187"/>
      <c r="R583" s="187"/>
      <c r="S583" s="187"/>
      <c r="T583" s="187"/>
      <c r="U583" s="187"/>
      <c r="V583" s="187"/>
      <c r="W583" s="187"/>
      <c r="X583" s="187"/>
      <c r="Y583" s="187"/>
      <c r="Z583" s="187"/>
    </row>
    <row r="584" ht="15.75" customHeight="1">
      <c r="A584" s="203"/>
      <c r="B584" s="187"/>
      <c r="C584" s="187"/>
      <c r="D584" s="187"/>
      <c r="E584" s="187"/>
      <c r="F584" s="187"/>
      <c r="G584" s="187"/>
      <c r="H584" s="187"/>
      <c r="I584" s="187"/>
      <c r="J584" s="187"/>
      <c r="K584" s="187"/>
      <c r="L584" s="187"/>
      <c r="M584" s="187"/>
      <c r="N584" s="187"/>
      <c r="O584" s="187"/>
      <c r="P584" s="187"/>
      <c r="Q584" s="187"/>
      <c r="R584" s="187"/>
      <c r="S584" s="187"/>
      <c r="T584" s="187"/>
      <c r="U584" s="187"/>
      <c r="V584" s="187"/>
      <c r="W584" s="187"/>
      <c r="X584" s="187"/>
      <c r="Y584" s="187"/>
      <c r="Z584" s="187"/>
    </row>
    <row r="585" ht="15.75" customHeight="1">
      <c r="A585" s="203"/>
      <c r="B585" s="187"/>
      <c r="C585" s="187"/>
      <c r="D585" s="187"/>
      <c r="E585" s="187"/>
      <c r="F585" s="187"/>
      <c r="G585" s="187"/>
      <c r="H585" s="187"/>
      <c r="I585" s="187"/>
      <c r="J585" s="187"/>
      <c r="K585" s="187"/>
      <c r="L585" s="187"/>
      <c r="M585" s="187"/>
      <c r="N585" s="187"/>
      <c r="O585" s="187"/>
      <c r="P585" s="187"/>
      <c r="Q585" s="187"/>
      <c r="R585" s="187"/>
      <c r="S585" s="187"/>
      <c r="T585" s="187"/>
      <c r="U585" s="187"/>
      <c r="V585" s="187"/>
      <c r="W585" s="187"/>
      <c r="X585" s="187"/>
      <c r="Y585" s="187"/>
      <c r="Z585" s="187"/>
    </row>
    <row r="586" ht="15.75" customHeight="1">
      <c r="A586" s="203"/>
      <c r="B586" s="187"/>
      <c r="C586" s="187"/>
      <c r="D586" s="187"/>
      <c r="E586" s="187"/>
      <c r="F586" s="187"/>
      <c r="G586" s="187"/>
      <c r="H586" s="187"/>
      <c r="I586" s="187"/>
      <c r="J586" s="187"/>
      <c r="K586" s="187"/>
      <c r="L586" s="187"/>
      <c r="M586" s="187"/>
      <c r="N586" s="187"/>
      <c r="O586" s="187"/>
      <c r="P586" s="187"/>
      <c r="Q586" s="187"/>
      <c r="R586" s="187"/>
      <c r="S586" s="187"/>
      <c r="T586" s="187"/>
      <c r="U586" s="187"/>
      <c r="V586" s="187"/>
      <c r="W586" s="187"/>
      <c r="X586" s="187"/>
      <c r="Y586" s="187"/>
      <c r="Z586" s="187"/>
    </row>
    <row r="587" ht="15.75" customHeight="1">
      <c r="A587" s="203"/>
      <c r="B587" s="187"/>
      <c r="C587" s="187"/>
      <c r="D587" s="187"/>
      <c r="E587" s="187"/>
      <c r="F587" s="187"/>
      <c r="G587" s="187"/>
      <c r="H587" s="187"/>
      <c r="I587" s="187"/>
      <c r="J587" s="187"/>
      <c r="K587" s="187"/>
      <c r="L587" s="187"/>
      <c r="M587" s="187"/>
      <c r="N587" s="187"/>
      <c r="O587" s="187"/>
      <c r="P587" s="187"/>
      <c r="Q587" s="187"/>
      <c r="R587" s="187"/>
      <c r="S587" s="187"/>
      <c r="T587" s="187"/>
      <c r="U587" s="187"/>
      <c r="V587" s="187"/>
      <c r="W587" s="187"/>
      <c r="X587" s="187"/>
      <c r="Y587" s="187"/>
      <c r="Z587" s="187"/>
    </row>
    <row r="588" ht="15.75" customHeight="1">
      <c r="A588" s="203"/>
      <c r="B588" s="187"/>
      <c r="C588" s="187"/>
      <c r="D588" s="187"/>
      <c r="E588" s="187"/>
      <c r="F588" s="187"/>
      <c r="G588" s="187"/>
      <c r="H588" s="187"/>
      <c r="I588" s="187"/>
      <c r="J588" s="187"/>
      <c r="K588" s="187"/>
      <c r="L588" s="187"/>
      <c r="M588" s="187"/>
      <c r="N588" s="187"/>
      <c r="O588" s="187"/>
      <c r="P588" s="187"/>
      <c r="Q588" s="187"/>
      <c r="R588" s="187"/>
      <c r="S588" s="187"/>
      <c r="T588" s="187"/>
      <c r="U588" s="187"/>
      <c r="V588" s="187"/>
      <c r="W588" s="187"/>
      <c r="X588" s="187"/>
      <c r="Y588" s="187"/>
      <c r="Z588" s="187"/>
    </row>
    <row r="589" ht="15.75" customHeight="1">
      <c r="A589" s="203"/>
      <c r="B589" s="187"/>
      <c r="C589" s="187"/>
      <c r="D589" s="187"/>
      <c r="E589" s="187"/>
      <c r="F589" s="187"/>
      <c r="G589" s="187"/>
      <c r="H589" s="187"/>
      <c r="I589" s="187"/>
      <c r="J589" s="187"/>
      <c r="K589" s="187"/>
      <c r="L589" s="187"/>
      <c r="M589" s="187"/>
      <c r="N589" s="187"/>
      <c r="O589" s="187"/>
      <c r="P589" s="187"/>
      <c r="Q589" s="187"/>
      <c r="R589" s="187"/>
      <c r="S589" s="187"/>
      <c r="T589" s="187"/>
      <c r="U589" s="187"/>
      <c r="V589" s="187"/>
      <c r="W589" s="187"/>
      <c r="X589" s="187"/>
      <c r="Y589" s="187"/>
      <c r="Z589" s="187"/>
    </row>
    <row r="590" ht="15.75" customHeight="1">
      <c r="A590" s="203"/>
      <c r="B590" s="187"/>
      <c r="C590" s="187"/>
      <c r="D590" s="187"/>
      <c r="E590" s="187"/>
      <c r="F590" s="187"/>
      <c r="G590" s="187"/>
      <c r="H590" s="187"/>
      <c r="I590" s="187"/>
      <c r="J590" s="187"/>
      <c r="K590" s="187"/>
      <c r="L590" s="187"/>
      <c r="M590" s="187"/>
      <c r="N590" s="187"/>
      <c r="O590" s="187"/>
      <c r="P590" s="187"/>
      <c r="Q590" s="187"/>
      <c r="R590" s="187"/>
      <c r="S590" s="187"/>
      <c r="T590" s="187"/>
      <c r="U590" s="187"/>
      <c r="V590" s="187"/>
      <c r="W590" s="187"/>
      <c r="X590" s="187"/>
      <c r="Y590" s="187"/>
      <c r="Z590" s="187"/>
    </row>
    <row r="591" ht="15.75" customHeight="1">
      <c r="A591" s="203"/>
      <c r="B591" s="187"/>
      <c r="C591" s="187"/>
      <c r="D591" s="187"/>
      <c r="E591" s="187"/>
      <c r="F591" s="187"/>
      <c r="G591" s="187"/>
      <c r="H591" s="187"/>
      <c r="I591" s="187"/>
      <c r="J591" s="187"/>
      <c r="K591" s="187"/>
      <c r="L591" s="187"/>
      <c r="M591" s="187"/>
      <c r="N591" s="187"/>
      <c r="O591" s="187"/>
      <c r="P591" s="187"/>
      <c r="Q591" s="187"/>
      <c r="R591" s="187"/>
      <c r="S591" s="187"/>
      <c r="T591" s="187"/>
      <c r="U591" s="187"/>
      <c r="V591" s="187"/>
      <c r="W591" s="187"/>
      <c r="X591" s="187"/>
      <c r="Y591" s="187"/>
      <c r="Z591" s="187"/>
    </row>
    <row r="592" ht="15.75" customHeight="1">
      <c r="A592" s="203"/>
      <c r="B592" s="187"/>
      <c r="C592" s="187"/>
      <c r="D592" s="187"/>
      <c r="E592" s="187"/>
      <c r="F592" s="187"/>
      <c r="G592" s="187"/>
      <c r="H592" s="187"/>
      <c r="I592" s="187"/>
      <c r="J592" s="187"/>
      <c r="K592" s="187"/>
      <c r="L592" s="187"/>
      <c r="M592" s="187"/>
      <c r="N592" s="187"/>
      <c r="O592" s="187"/>
      <c r="P592" s="187"/>
      <c r="Q592" s="187"/>
      <c r="R592" s="187"/>
      <c r="S592" s="187"/>
      <c r="T592" s="187"/>
      <c r="U592" s="187"/>
      <c r="V592" s="187"/>
      <c r="W592" s="187"/>
      <c r="X592" s="187"/>
      <c r="Y592" s="187"/>
      <c r="Z592" s="187"/>
    </row>
    <row r="593" ht="15.75" customHeight="1">
      <c r="A593" s="203"/>
      <c r="B593" s="187"/>
      <c r="C593" s="187"/>
      <c r="D593" s="187"/>
      <c r="E593" s="187"/>
      <c r="F593" s="187"/>
      <c r="G593" s="187"/>
      <c r="H593" s="187"/>
      <c r="I593" s="187"/>
      <c r="J593" s="187"/>
      <c r="K593" s="187"/>
      <c r="L593" s="187"/>
      <c r="M593" s="187"/>
      <c r="N593" s="187"/>
      <c r="O593" s="187"/>
      <c r="P593" s="187"/>
      <c r="Q593" s="187"/>
      <c r="R593" s="187"/>
      <c r="S593" s="187"/>
      <c r="T593" s="187"/>
      <c r="U593" s="187"/>
      <c r="V593" s="187"/>
      <c r="W593" s="187"/>
      <c r="X593" s="187"/>
      <c r="Y593" s="187"/>
      <c r="Z593" s="187"/>
    </row>
    <row r="594" ht="15.75" customHeight="1">
      <c r="A594" s="203"/>
      <c r="B594" s="187"/>
      <c r="C594" s="187"/>
      <c r="D594" s="187"/>
      <c r="E594" s="187"/>
      <c r="F594" s="187"/>
      <c r="G594" s="187"/>
      <c r="H594" s="187"/>
      <c r="I594" s="187"/>
      <c r="J594" s="187"/>
      <c r="K594" s="187"/>
      <c r="L594" s="187"/>
      <c r="M594" s="187"/>
      <c r="N594" s="187"/>
      <c r="O594" s="187"/>
      <c r="P594" s="187"/>
      <c r="Q594" s="187"/>
      <c r="R594" s="187"/>
      <c r="S594" s="187"/>
      <c r="T594" s="187"/>
      <c r="U594" s="187"/>
      <c r="V594" s="187"/>
      <c r="W594" s="187"/>
      <c r="X594" s="187"/>
      <c r="Y594" s="187"/>
      <c r="Z594" s="187"/>
    </row>
    <row r="595" ht="15.75" customHeight="1">
      <c r="A595" s="203"/>
      <c r="B595" s="187"/>
      <c r="C595" s="187"/>
      <c r="D595" s="187"/>
      <c r="E595" s="187"/>
      <c r="F595" s="187"/>
      <c r="G595" s="187"/>
      <c r="H595" s="187"/>
      <c r="I595" s="187"/>
      <c r="J595" s="187"/>
      <c r="K595" s="187"/>
      <c r="L595" s="187"/>
      <c r="M595" s="187"/>
      <c r="N595" s="187"/>
      <c r="O595" s="187"/>
      <c r="P595" s="187"/>
      <c r="Q595" s="187"/>
      <c r="R595" s="187"/>
      <c r="S595" s="187"/>
      <c r="T595" s="187"/>
      <c r="U595" s="187"/>
      <c r="V595" s="187"/>
      <c r="W595" s="187"/>
      <c r="X595" s="187"/>
      <c r="Y595" s="187"/>
      <c r="Z595" s="187"/>
    </row>
    <row r="596" ht="15.75" customHeight="1">
      <c r="A596" s="203"/>
      <c r="B596" s="187"/>
      <c r="C596" s="187"/>
      <c r="D596" s="187"/>
      <c r="E596" s="187"/>
      <c r="F596" s="187"/>
      <c r="G596" s="187"/>
      <c r="H596" s="187"/>
      <c r="I596" s="187"/>
      <c r="J596" s="187"/>
      <c r="K596" s="187"/>
      <c r="L596" s="187"/>
      <c r="M596" s="187"/>
      <c r="N596" s="187"/>
      <c r="O596" s="187"/>
      <c r="P596" s="187"/>
      <c r="Q596" s="187"/>
      <c r="R596" s="187"/>
      <c r="S596" s="187"/>
      <c r="T596" s="187"/>
      <c r="U596" s="187"/>
      <c r="V596" s="187"/>
      <c r="W596" s="187"/>
      <c r="X596" s="187"/>
      <c r="Y596" s="187"/>
      <c r="Z596" s="187"/>
    </row>
    <row r="597" ht="15.75" customHeight="1">
      <c r="A597" s="203"/>
      <c r="B597" s="187"/>
      <c r="C597" s="187"/>
      <c r="D597" s="187"/>
      <c r="E597" s="187"/>
      <c r="F597" s="187"/>
      <c r="G597" s="187"/>
      <c r="H597" s="187"/>
      <c r="I597" s="187"/>
      <c r="J597" s="187"/>
      <c r="K597" s="187"/>
      <c r="L597" s="187"/>
      <c r="M597" s="187"/>
      <c r="N597" s="187"/>
      <c r="O597" s="187"/>
      <c r="P597" s="187"/>
      <c r="Q597" s="187"/>
      <c r="R597" s="187"/>
      <c r="S597" s="187"/>
      <c r="T597" s="187"/>
      <c r="U597" s="187"/>
      <c r="V597" s="187"/>
      <c r="W597" s="187"/>
      <c r="X597" s="187"/>
      <c r="Y597" s="187"/>
      <c r="Z597" s="187"/>
    </row>
    <row r="598" ht="15.75" customHeight="1">
      <c r="A598" s="203"/>
      <c r="B598" s="187"/>
      <c r="C598" s="187"/>
      <c r="D598" s="187"/>
      <c r="E598" s="187"/>
      <c r="F598" s="187"/>
      <c r="G598" s="187"/>
      <c r="H598" s="187"/>
      <c r="I598" s="187"/>
      <c r="J598" s="187"/>
      <c r="K598" s="187"/>
      <c r="L598" s="187"/>
      <c r="M598" s="187"/>
      <c r="N598" s="187"/>
      <c r="O598" s="187"/>
      <c r="P598" s="187"/>
      <c r="Q598" s="187"/>
      <c r="R598" s="187"/>
      <c r="S598" s="187"/>
      <c r="T598" s="187"/>
      <c r="U598" s="187"/>
      <c r="V598" s="187"/>
      <c r="W598" s="187"/>
      <c r="X598" s="187"/>
      <c r="Y598" s="187"/>
      <c r="Z598" s="187"/>
    </row>
    <row r="599" ht="15.75" customHeight="1">
      <c r="A599" s="203"/>
      <c r="B599" s="187"/>
      <c r="C599" s="187"/>
      <c r="D599" s="187"/>
      <c r="E599" s="187"/>
      <c r="F599" s="187"/>
      <c r="G599" s="187"/>
      <c r="H599" s="187"/>
      <c r="I599" s="187"/>
      <c r="J599" s="187"/>
      <c r="K599" s="187"/>
      <c r="L599" s="187"/>
      <c r="M599" s="187"/>
      <c r="N599" s="187"/>
      <c r="O599" s="187"/>
      <c r="P599" s="187"/>
      <c r="Q599" s="187"/>
      <c r="R599" s="187"/>
      <c r="S599" s="187"/>
      <c r="T599" s="187"/>
      <c r="U599" s="187"/>
      <c r="V599" s="187"/>
      <c r="W599" s="187"/>
      <c r="X599" s="187"/>
      <c r="Y599" s="187"/>
      <c r="Z599" s="187"/>
    </row>
    <row r="600" ht="15.75" customHeight="1">
      <c r="A600" s="203"/>
      <c r="B600" s="187"/>
      <c r="C600" s="187"/>
      <c r="D600" s="187"/>
      <c r="E600" s="187"/>
      <c r="F600" s="187"/>
      <c r="G600" s="187"/>
      <c r="H600" s="187"/>
      <c r="I600" s="187"/>
      <c r="J600" s="187"/>
      <c r="K600" s="187"/>
      <c r="L600" s="187"/>
      <c r="M600" s="187"/>
      <c r="N600" s="187"/>
      <c r="O600" s="187"/>
      <c r="P600" s="187"/>
      <c r="Q600" s="187"/>
      <c r="R600" s="187"/>
      <c r="S600" s="187"/>
      <c r="T600" s="187"/>
      <c r="U600" s="187"/>
      <c r="V600" s="187"/>
      <c r="W600" s="187"/>
      <c r="X600" s="187"/>
      <c r="Y600" s="187"/>
      <c r="Z600" s="187"/>
    </row>
    <row r="601" ht="15.75" customHeight="1">
      <c r="A601" s="203"/>
      <c r="B601" s="187"/>
      <c r="C601" s="187"/>
      <c r="D601" s="187"/>
      <c r="E601" s="187"/>
      <c r="F601" s="187"/>
      <c r="G601" s="187"/>
      <c r="H601" s="187"/>
      <c r="I601" s="187"/>
      <c r="J601" s="187"/>
      <c r="K601" s="187"/>
      <c r="L601" s="187"/>
      <c r="M601" s="187"/>
      <c r="N601" s="187"/>
      <c r="O601" s="187"/>
      <c r="P601" s="187"/>
      <c r="Q601" s="187"/>
      <c r="R601" s="187"/>
      <c r="S601" s="187"/>
      <c r="T601" s="187"/>
      <c r="U601" s="187"/>
      <c r="V601" s="187"/>
      <c r="W601" s="187"/>
      <c r="X601" s="187"/>
      <c r="Y601" s="187"/>
      <c r="Z601" s="187"/>
    </row>
    <row r="602" ht="15.75" customHeight="1">
      <c r="A602" s="203"/>
      <c r="B602" s="187"/>
      <c r="C602" s="187"/>
      <c r="D602" s="187"/>
      <c r="E602" s="187"/>
      <c r="F602" s="187"/>
      <c r="G602" s="187"/>
      <c r="H602" s="187"/>
      <c r="I602" s="187"/>
      <c r="J602" s="187"/>
      <c r="K602" s="187"/>
      <c r="L602" s="187"/>
      <c r="M602" s="187"/>
      <c r="N602" s="187"/>
      <c r="O602" s="187"/>
      <c r="P602" s="187"/>
      <c r="Q602" s="187"/>
      <c r="R602" s="187"/>
      <c r="S602" s="187"/>
      <c r="T602" s="187"/>
      <c r="U602" s="187"/>
      <c r="V602" s="187"/>
      <c r="W602" s="187"/>
      <c r="X602" s="187"/>
      <c r="Y602" s="187"/>
      <c r="Z602" s="187"/>
    </row>
    <row r="603" ht="15.75" customHeight="1">
      <c r="A603" s="203"/>
      <c r="B603" s="187"/>
      <c r="C603" s="187"/>
      <c r="D603" s="187"/>
      <c r="E603" s="187"/>
      <c r="F603" s="187"/>
      <c r="G603" s="187"/>
      <c r="H603" s="187"/>
      <c r="I603" s="187"/>
      <c r="J603" s="187"/>
      <c r="K603" s="187"/>
      <c r="L603" s="187"/>
      <c r="M603" s="187"/>
      <c r="N603" s="187"/>
      <c r="O603" s="187"/>
      <c r="P603" s="187"/>
      <c r="Q603" s="187"/>
      <c r="R603" s="187"/>
      <c r="S603" s="187"/>
      <c r="T603" s="187"/>
      <c r="U603" s="187"/>
      <c r="V603" s="187"/>
      <c r="W603" s="187"/>
      <c r="X603" s="187"/>
      <c r="Y603" s="187"/>
      <c r="Z603" s="187"/>
    </row>
    <row r="604" ht="15.75" customHeight="1">
      <c r="A604" s="203"/>
      <c r="B604" s="187"/>
      <c r="C604" s="187"/>
      <c r="D604" s="187"/>
      <c r="E604" s="187"/>
      <c r="F604" s="187"/>
      <c r="G604" s="187"/>
      <c r="H604" s="187"/>
      <c r="I604" s="187"/>
      <c r="J604" s="187"/>
      <c r="K604" s="187"/>
      <c r="L604" s="187"/>
      <c r="M604" s="187"/>
      <c r="N604" s="187"/>
      <c r="O604" s="187"/>
      <c r="P604" s="187"/>
      <c r="Q604" s="187"/>
      <c r="R604" s="187"/>
      <c r="S604" s="187"/>
      <c r="T604" s="187"/>
      <c r="U604" s="187"/>
      <c r="V604" s="187"/>
      <c r="W604" s="187"/>
      <c r="X604" s="187"/>
      <c r="Y604" s="187"/>
      <c r="Z604" s="187"/>
    </row>
    <row r="605" ht="15.75" customHeight="1">
      <c r="A605" s="203"/>
      <c r="B605" s="187"/>
      <c r="C605" s="187"/>
      <c r="D605" s="187"/>
      <c r="E605" s="187"/>
      <c r="F605" s="187"/>
      <c r="G605" s="187"/>
      <c r="H605" s="187"/>
      <c r="I605" s="187"/>
      <c r="J605" s="187"/>
      <c r="K605" s="187"/>
      <c r="L605" s="187"/>
      <c r="M605" s="187"/>
      <c r="N605" s="187"/>
      <c r="O605" s="187"/>
      <c r="P605" s="187"/>
      <c r="Q605" s="187"/>
      <c r="R605" s="187"/>
      <c r="S605" s="187"/>
      <c r="T605" s="187"/>
      <c r="U605" s="187"/>
      <c r="V605" s="187"/>
      <c r="W605" s="187"/>
      <c r="X605" s="187"/>
      <c r="Y605" s="187"/>
      <c r="Z605" s="187"/>
    </row>
    <row r="606" ht="15.75" customHeight="1">
      <c r="A606" s="203"/>
      <c r="B606" s="187"/>
      <c r="C606" s="187"/>
      <c r="D606" s="187"/>
      <c r="E606" s="187"/>
      <c r="F606" s="187"/>
      <c r="G606" s="187"/>
      <c r="H606" s="187"/>
      <c r="I606" s="187"/>
      <c r="J606" s="187"/>
      <c r="K606" s="187"/>
      <c r="L606" s="187"/>
      <c r="M606" s="187"/>
      <c r="N606" s="187"/>
      <c r="O606" s="187"/>
      <c r="P606" s="187"/>
      <c r="Q606" s="187"/>
      <c r="R606" s="187"/>
      <c r="S606" s="187"/>
      <c r="T606" s="187"/>
      <c r="U606" s="187"/>
      <c r="V606" s="187"/>
      <c r="W606" s="187"/>
      <c r="X606" s="187"/>
      <c r="Y606" s="187"/>
      <c r="Z606" s="187"/>
    </row>
    <row r="607" ht="15.75" customHeight="1">
      <c r="A607" s="203"/>
      <c r="B607" s="187"/>
      <c r="C607" s="187"/>
      <c r="D607" s="187"/>
      <c r="E607" s="187"/>
      <c r="F607" s="187"/>
      <c r="G607" s="187"/>
      <c r="H607" s="187"/>
      <c r="I607" s="187"/>
      <c r="J607" s="187"/>
      <c r="K607" s="187"/>
      <c r="L607" s="187"/>
      <c r="M607" s="187"/>
      <c r="N607" s="187"/>
      <c r="O607" s="187"/>
      <c r="P607" s="187"/>
      <c r="Q607" s="187"/>
      <c r="R607" s="187"/>
      <c r="S607" s="187"/>
      <c r="T607" s="187"/>
      <c r="U607" s="187"/>
      <c r="V607" s="187"/>
      <c r="W607" s="187"/>
      <c r="X607" s="187"/>
      <c r="Y607" s="187"/>
      <c r="Z607" s="187"/>
    </row>
    <row r="608" ht="15.75" customHeight="1">
      <c r="A608" s="203"/>
      <c r="B608" s="187"/>
      <c r="C608" s="187"/>
      <c r="D608" s="187"/>
      <c r="E608" s="187"/>
      <c r="F608" s="187"/>
      <c r="G608" s="187"/>
      <c r="H608" s="187"/>
      <c r="I608" s="187"/>
      <c r="J608" s="187"/>
      <c r="K608" s="187"/>
      <c r="L608" s="187"/>
      <c r="M608" s="187"/>
      <c r="N608" s="187"/>
      <c r="O608" s="187"/>
      <c r="P608" s="187"/>
      <c r="Q608" s="187"/>
      <c r="R608" s="187"/>
      <c r="S608" s="187"/>
      <c r="T608" s="187"/>
      <c r="U608" s="187"/>
      <c r="V608" s="187"/>
      <c r="W608" s="187"/>
      <c r="X608" s="187"/>
      <c r="Y608" s="187"/>
      <c r="Z608" s="187"/>
    </row>
    <row r="609" ht="15.75" customHeight="1">
      <c r="A609" s="203"/>
      <c r="B609" s="187"/>
      <c r="C609" s="187"/>
      <c r="D609" s="187"/>
      <c r="E609" s="187"/>
      <c r="F609" s="187"/>
      <c r="G609" s="187"/>
      <c r="H609" s="187"/>
      <c r="I609" s="187"/>
      <c r="J609" s="187"/>
      <c r="K609" s="187"/>
      <c r="L609" s="187"/>
      <c r="M609" s="187"/>
      <c r="N609" s="187"/>
      <c r="O609" s="187"/>
      <c r="P609" s="187"/>
      <c r="Q609" s="187"/>
      <c r="R609" s="187"/>
      <c r="S609" s="187"/>
      <c r="T609" s="187"/>
      <c r="U609" s="187"/>
      <c r="V609" s="187"/>
      <c r="W609" s="187"/>
      <c r="X609" s="187"/>
      <c r="Y609" s="187"/>
      <c r="Z609" s="187"/>
    </row>
    <row r="610" ht="15.75" customHeight="1">
      <c r="A610" s="203"/>
      <c r="B610" s="187"/>
      <c r="C610" s="187"/>
      <c r="D610" s="187"/>
      <c r="E610" s="187"/>
      <c r="F610" s="187"/>
      <c r="G610" s="187"/>
      <c r="H610" s="187"/>
      <c r="I610" s="187"/>
      <c r="J610" s="187"/>
      <c r="K610" s="187"/>
      <c r="L610" s="187"/>
      <c r="M610" s="187"/>
      <c r="N610" s="187"/>
      <c r="O610" s="187"/>
      <c r="P610" s="187"/>
      <c r="Q610" s="187"/>
      <c r="R610" s="187"/>
      <c r="S610" s="187"/>
      <c r="T610" s="187"/>
      <c r="U610" s="187"/>
      <c r="V610" s="187"/>
      <c r="W610" s="187"/>
      <c r="X610" s="187"/>
      <c r="Y610" s="187"/>
      <c r="Z610" s="187"/>
    </row>
    <row r="611" ht="15.75" customHeight="1">
      <c r="A611" s="203"/>
      <c r="B611" s="187"/>
      <c r="C611" s="187"/>
      <c r="D611" s="187"/>
      <c r="E611" s="187"/>
      <c r="F611" s="187"/>
      <c r="G611" s="187"/>
      <c r="H611" s="187"/>
      <c r="I611" s="187"/>
      <c r="J611" s="187"/>
      <c r="K611" s="187"/>
      <c r="L611" s="187"/>
      <c r="M611" s="187"/>
      <c r="N611" s="187"/>
      <c r="O611" s="187"/>
      <c r="P611" s="187"/>
      <c r="Q611" s="187"/>
      <c r="R611" s="187"/>
      <c r="S611" s="187"/>
      <c r="T611" s="187"/>
      <c r="U611" s="187"/>
      <c r="V611" s="187"/>
      <c r="W611" s="187"/>
      <c r="X611" s="187"/>
      <c r="Y611" s="187"/>
      <c r="Z611" s="187"/>
    </row>
    <row r="612" ht="15.75" customHeight="1">
      <c r="A612" s="203"/>
      <c r="B612" s="187"/>
      <c r="C612" s="187"/>
      <c r="D612" s="187"/>
      <c r="E612" s="187"/>
      <c r="F612" s="187"/>
      <c r="G612" s="187"/>
      <c r="H612" s="187"/>
      <c r="I612" s="187"/>
      <c r="J612" s="187"/>
      <c r="K612" s="187"/>
      <c r="L612" s="187"/>
      <c r="M612" s="187"/>
      <c r="N612" s="187"/>
      <c r="O612" s="187"/>
      <c r="P612" s="187"/>
      <c r="Q612" s="187"/>
      <c r="R612" s="187"/>
      <c r="S612" s="187"/>
      <c r="T612" s="187"/>
      <c r="U612" s="187"/>
      <c r="V612" s="187"/>
      <c r="W612" s="187"/>
      <c r="X612" s="187"/>
      <c r="Y612" s="187"/>
      <c r="Z612" s="187"/>
    </row>
    <row r="613" ht="15.75" customHeight="1">
      <c r="A613" s="203"/>
      <c r="B613" s="187"/>
      <c r="C613" s="187"/>
      <c r="D613" s="187"/>
      <c r="E613" s="187"/>
      <c r="F613" s="187"/>
      <c r="G613" s="187"/>
      <c r="H613" s="187"/>
      <c r="I613" s="187"/>
      <c r="J613" s="187"/>
      <c r="K613" s="187"/>
      <c r="L613" s="187"/>
      <c r="M613" s="187"/>
      <c r="N613" s="187"/>
      <c r="O613" s="187"/>
      <c r="P613" s="187"/>
      <c r="Q613" s="187"/>
      <c r="R613" s="187"/>
      <c r="S613" s="187"/>
      <c r="T613" s="187"/>
      <c r="U613" s="187"/>
      <c r="V613" s="187"/>
      <c r="W613" s="187"/>
      <c r="X613" s="187"/>
      <c r="Y613" s="187"/>
      <c r="Z613" s="187"/>
    </row>
    <row r="614" ht="15.75" customHeight="1">
      <c r="A614" s="203"/>
      <c r="B614" s="187"/>
      <c r="C614" s="187"/>
      <c r="D614" s="187"/>
      <c r="E614" s="187"/>
      <c r="F614" s="187"/>
      <c r="G614" s="187"/>
      <c r="H614" s="187"/>
      <c r="I614" s="187"/>
      <c r="J614" s="187"/>
      <c r="K614" s="187"/>
      <c r="L614" s="187"/>
      <c r="M614" s="187"/>
      <c r="N614" s="187"/>
      <c r="O614" s="187"/>
      <c r="P614" s="187"/>
      <c r="Q614" s="187"/>
      <c r="R614" s="187"/>
      <c r="S614" s="187"/>
      <c r="T614" s="187"/>
      <c r="U614" s="187"/>
      <c r="V614" s="187"/>
      <c r="W614" s="187"/>
      <c r="X614" s="187"/>
      <c r="Y614" s="187"/>
      <c r="Z614" s="187"/>
    </row>
    <row r="615" ht="15.75" customHeight="1">
      <c r="A615" s="203"/>
      <c r="B615" s="187"/>
      <c r="C615" s="187"/>
      <c r="D615" s="187"/>
      <c r="E615" s="187"/>
      <c r="F615" s="187"/>
      <c r="G615" s="187"/>
      <c r="H615" s="187"/>
      <c r="I615" s="187"/>
      <c r="J615" s="187"/>
      <c r="K615" s="187"/>
      <c r="L615" s="187"/>
      <c r="M615" s="187"/>
      <c r="N615" s="187"/>
      <c r="O615" s="187"/>
      <c r="P615" s="187"/>
      <c r="Q615" s="187"/>
      <c r="R615" s="187"/>
      <c r="S615" s="187"/>
      <c r="T615" s="187"/>
      <c r="U615" s="187"/>
      <c r="V615" s="187"/>
      <c r="W615" s="187"/>
      <c r="X615" s="187"/>
      <c r="Y615" s="187"/>
      <c r="Z615" s="187"/>
    </row>
    <row r="616" ht="15.75" customHeight="1">
      <c r="A616" s="203"/>
      <c r="B616" s="187"/>
      <c r="C616" s="187"/>
      <c r="D616" s="187"/>
      <c r="E616" s="187"/>
      <c r="F616" s="187"/>
      <c r="G616" s="187"/>
      <c r="H616" s="187"/>
      <c r="I616" s="187"/>
      <c r="J616" s="187"/>
      <c r="K616" s="187"/>
      <c r="L616" s="187"/>
      <c r="M616" s="187"/>
      <c r="N616" s="187"/>
      <c r="O616" s="187"/>
      <c r="P616" s="187"/>
      <c r="Q616" s="187"/>
      <c r="R616" s="187"/>
      <c r="S616" s="187"/>
      <c r="T616" s="187"/>
      <c r="U616" s="187"/>
      <c r="V616" s="187"/>
      <c r="W616" s="187"/>
      <c r="X616" s="187"/>
      <c r="Y616" s="187"/>
      <c r="Z616" s="187"/>
    </row>
    <row r="617" ht="15.75" customHeight="1">
      <c r="A617" s="203"/>
      <c r="B617" s="187"/>
      <c r="C617" s="187"/>
      <c r="D617" s="187"/>
      <c r="E617" s="187"/>
      <c r="F617" s="187"/>
      <c r="G617" s="187"/>
      <c r="H617" s="187"/>
      <c r="I617" s="187"/>
      <c r="J617" s="187"/>
      <c r="K617" s="187"/>
      <c r="L617" s="187"/>
      <c r="M617" s="187"/>
      <c r="N617" s="187"/>
      <c r="O617" s="187"/>
      <c r="P617" s="187"/>
      <c r="Q617" s="187"/>
      <c r="R617" s="187"/>
      <c r="S617" s="187"/>
      <c r="T617" s="187"/>
      <c r="U617" s="187"/>
      <c r="V617" s="187"/>
      <c r="W617" s="187"/>
      <c r="X617" s="187"/>
      <c r="Y617" s="187"/>
      <c r="Z617" s="187"/>
    </row>
    <row r="618" ht="15.75" customHeight="1">
      <c r="A618" s="203"/>
      <c r="B618" s="187"/>
      <c r="C618" s="187"/>
      <c r="D618" s="187"/>
      <c r="E618" s="187"/>
      <c r="F618" s="187"/>
      <c r="G618" s="187"/>
      <c r="H618" s="187"/>
      <c r="I618" s="187"/>
      <c r="J618" s="187"/>
      <c r="K618" s="187"/>
      <c r="L618" s="187"/>
      <c r="M618" s="187"/>
      <c r="N618" s="187"/>
      <c r="O618" s="187"/>
      <c r="P618" s="187"/>
      <c r="Q618" s="187"/>
      <c r="R618" s="187"/>
      <c r="S618" s="187"/>
      <c r="T618" s="187"/>
      <c r="U618" s="187"/>
      <c r="V618" s="187"/>
      <c r="W618" s="187"/>
      <c r="X618" s="187"/>
      <c r="Y618" s="187"/>
      <c r="Z618" s="187"/>
    </row>
    <row r="619" ht="15.75" customHeight="1">
      <c r="A619" s="203"/>
      <c r="B619" s="187"/>
      <c r="C619" s="187"/>
      <c r="D619" s="187"/>
      <c r="E619" s="187"/>
      <c r="F619" s="187"/>
      <c r="G619" s="187"/>
      <c r="H619" s="187"/>
      <c r="I619" s="187"/>
      <c r="J619" s="187"/>
      <c r="K619" s="187"/>
      <c r="L619" s="187"/>
      <c r="M619" s="187"/>
      <c r="N619" s="187"/>
      <c r="O619" s="187"/>
      <c r="P619" s="187"/>
      <c r="Q619" s="187"/>
      <c r="R619" s="187"/>
      <c r="S619" s="187"/>
      <c r="T619" s="187"/>
      <c r="U619" s="187"/>
      <c r="V619" s="187"/>
      <c r="W619" s="187"/>
      <c r="X619" s="187"/>
      <c r="Y619" s="187"/>
      <c r="Z619" s="187"/>
    </row>
    <row r="620" ht="15.75" customHeight="1">
      <c r="A620" s="203"/>
      <c r="B620" s="187"/>
      <c r="C620" s="187"/>
      <c r="D620" s="187"/>
      <c r="E620" s="187"/>
      <c r="F620" s="187"/>
      <c r="G620" s="187"/>
      <c r="H620" s="187"/>
      <c r="I620" s="187"/>
      <c r="J620" s="187"/>
      <c r="K620" s="187"/>
      <c r="L620" s="187"/>
      <c r="M620" s="187"/>
      <c r="N620" s="187"/>
      <c r="O620" s="187"/>
      <c r="P620" s="187"/>
      <c r="Q620" s="187"/>
      <c r="R620" s="187"/>
      <c r="S620" s="187"/>
      <c r="T620" s="187"/>
      <c r="U620" s="187"/>
      <c r="V620" s="187"/>
      <c r="W620" s="187"/>
      <c r="X620" s="187"/>
      <c r="Y620" s="187"/>
      <c r="Z620" s="187"/>
    </row>
    <row r="621" ht="15.75" customHeight="1">
      <c r="A621" s="203"/>
      <c r="B621" s="187"/>
      <c r="C621" s="187"/>
      <c r="D621" s="187"/>
      <c r="E621" s="187"/>
      <c r="F621" s="187"/>
      <c r="G621" s="187"/>
      <c r="H621" s="187"/>
      <c r="I621" s="187"/>
      <c r="J621" s="187"/>
      <c r="K621" s="187"/>
      <c r="L621" s="187"/>
      <c r="M621" s="187"/>
      <c r="N621" s="187"/>
      <c r="O621" s="187"/>
      <c r="P621" s="187"/>
      <c r="Q621" s="187"/>
      <c r="R621" s="187"/>
      <c r="S621" s="187"/>
      <c r="T621" s="187"/>
      <c r="U621" s="187"/>
      <c r="V621" s="187"/>
      <c r="W621" s="187"/>
      <c r="X621" s="187"/>
      <c r="Y621" s="187"/>
      <c r="Z621" s="187"/>
    </row>
    <row r="622" ht="15.75" customHeight="1">
      <c r="A622" s="203"/>
      <c r="B622" s="187"/>
      <c r="C622" s="187"/>
      <c r="D622" s="187"/>
      <c r="E622" s="187"/>
      <c r="F622" s="187"/>
      <c r="G622" s="187"/>
      <c r="H622" s="187"/>
      <c r="I622" s="187"/>
      <c r="J622" s="187"/>
      <c r="K622" s="187"/>
      <c r="L622" s="187"/>
      <c r="M622" s="187"/>
      <c r="N622" s="187"/>
      <c r="O622" s="187"/>
      <c r="P622" s="187"/>
      <c r="Q622" s="187"/>
      <c r="R622" s="187"/>
      <c r="S622" s="187"/>
      <c r="T622" s="187"/>
      <c r="U622" s="187"/>
      <c r="V622" s="187"/>
      <c r="W622" s="187"/>
      <c r="X622" s="187"/>
      <c r="Y622" s="187"/>
      <c r="Z622" s="187"/>
    </row>
    <row r="623" ht="15.75" customHeight="1">
      <c r="A623" s="203"/>
      <c r="B623" s="187"/>
      <c r="C623" s="187"/>
      <c r="D623" s="187"/>
      <c r="E623" s="187"/>
      <c r="F623" s="187"/>
      <c r="G623" s="187"/>
      <c r="H623" s="187"/>
      <c r="I623" s="187"/>
      <c r="J623" s="187"/>
      <c r="K623" s="187"/>
      <c r="L623" s="187"/>
      <c r="M623" s="187"/>
      <c r="N623" s="187"/>
      <c r="O623" s="187"/>
      <c r="P623" s="187"/>
      <c r="Q623" s="187"/>
      <c r="R623" s="187"/>
      <c r="S623" s="187"/>
      <c r="T623" s="187"/>
      <c r="U623" s="187"/>
      <c r="V623" s="187"/>
      <c r="W623" s="187"/>
      <c r="X623" s="187"/>
      <c r="Y623" s="187"/>
      <c r="Z623" s="187"/>
    </row>
    <row r="624" ht="15.75" customHeight="1">
      <c r="A624" s="203"/>
      <c r="B624" s="187"/>
      <c r="C624" s="187"/>
      <c r="D624" s="187"/>
      <c r="E624" s="187"/>
      <c r="F624" s="187"/>
      <c r="G624" s="187"/>
      <c r="H624" s="187"/>
      <c r="I624" s="187"/>
      <c r="J624" s="187"/>
      <c r="K624" s="187"/>
      <c r="L624" s="187"/>
      <c r="M624" s="187"/>
      <c r="N624" s="187"/>
      <c r="O624" s="187"/>
      <c r="P624" s="187"/>
      <c r="Q624" s="187"/>
      <c r="R624" s="187"/>
      <c r="S624" s="187"/>
      <c r="T624" s="187"/>
      <c r="U624" s="187"/>
      <c r="V624" s="187"/>
      <c r="W624" s="187"/>
      <c r="X624" s="187"/>
      <c r="Y624" s="187"/>
      <c r="Z624" s="187"/>
    </row>
    <row r="625" ht="15.75" customHeight="1">
      <c r="A625" s="203"/>
      <c r="B625" s="187"/>
      <c r="C625" s="187"/>
      <c r="D625" s="187"/>
      <c r="E625" s="187"/>
      <c r="F625" s="187"/>
      <c r="G625" s="187"/>
      <c r="H625" s="187"/>
      <c r="I625" s="187"/>
      <c r="J625" s="187"/>
      <c r="K625" s="187"/>
      <c r="L625" s="187"/>
      <c r="M625" s="187"/>
      <c r="N625" s="187"/>
      <c r="O625" s="187"/>
      <c r="P625" s="187"/>
      <c r="Q625" s="187"/>
      <c r="R625" s="187"/>
      <c r="S625" s="187"/>
      <c r="T625" s="187"/>
      <c r="U625" s="187"/>
      <c r="V625" s="187"/>
      <c r="W625" s="187"/>
      <c r="X625" s="187"/>
      <c r="Y625" s="187"/>
      <c r="Z625" s="187"/>
    </row>
    <row r="626" ht="15.75" customHeight="1">
      <c r="A626" s="203"/>
      <c r="B626" s="187"/>
      <c r="C626" s="187"/>
      <c r="D626" s="187"/>
      <c r="E626" s="187"/>
      <c r="F626" s="187"/>
      <c r="G626" s="187"/>
      <c r="H626" s="187"/>
      <c r="I626" s="187"/>
      <c r="J626" s="187"/>
      <c r="K626" s="187"/>
      <c r="L626" s="187"/>
      <c r="M626" s="187"/>
      <c r="N626" s="187"/>
      <c r="O626" s="187"/>
      <c r="P626" s="187"/>
      <c r="Q626" s="187"/>
      <c r="R626" s="187"/>
      <c r="S626" s="187"/>
      <c r="T626" s="187"/>
      <c r="U626" s="187"/>
      <c r="V626" s="187"/>
      <c r="W626" s="187"/>
      <c r="X626" s="187"/>
      <c r="Y626" s="187"/>
      <c r="Z626" s="187"/>
    </row>
    <row r="627" ht="15.75" customHeight="1">
      <c r="A627" s="203"/>
      <c r="B627" s="187"/>
      <c r="C627" s="187"/>
      <c r="D627" s="187"/>
      <c r="E627" s="187"/>
      <c r="F627" s="187"/>
      <c r="G627" s="187"/>
      <c r="H627" s="187"/>
      <c r="I627" s="187"/>
      <c r="J627" s="187"/>
      <c r="K627" s="187"/>
      <c r="L627" s="187"/>
      <c r="M627" s="187"/>
      <c r="N627" s="187"/>
      <c r="O627" s="187"/>
      <c r="P627" s="187"/>
      <c r="Q627" s="187"/>
      <c r="R627" s="187"/>
      <c r="S627" s="187"/>
      <c r="T627" s="187"/>
      <c r="U627" s="187"/>
      <c r="V627" s="187"/>
      <c r="W627" s="187"/>
      <c r="X627" s="187"/>
      <c r="Y627" s="187"/>
      <c r="Z627" s="187"/>
    </row>
    <row r="628" ht="15.75" customHeight="1">
      <c r="A628" s="203"/>
      <c r="B628" s="187"/>
      <c r="C628" s="187"/>
      <c r="D628" s="187"/>
      <c r="E628" s="187"/>
      <c r="F628" s="187"/>
      <c r="G628" s="187"/>
      <c r="H628" s="187"/>
      <c r="I628" s="187"/>
      <c r="J628" s="187"/>
      <c r="K628" s="187"/>
      <c r="L628" s="187"/>
      <c r="M628" s="187"/>
      <c r="N628" s="187"/>
      <c r="O628" s="187"/>
      <c r="P628" s="187"/>
      <c r="Q628" s="187"/>
      <c r="R628" s="187"/>
      <c r="S628" s="187"/>
      <c r="T628" s="187"/>
      <c r="U628" s="187"/>
      <c r="V628" s="187"/>
      <c r="W628" s="187"/>
      <c r="X628" s="187"/>
      <c r="Y628" s="187"/>
      <c r="Z628" s="187"/>
    </row>
    <row r="629" ht="15.75" customHeight="1">
      <c r="A629" s="203"/>
      <c r="B629" s="187"/>
      <c r="C629" s="187"/>
      <c r="D629" s="187"/>
      <c r="E629" s="187"/>
      <c r="F629" s="187"/>
      <c r="G629" s="187"/>
      <c r="H629" s="187"/>
      <c r="I629" s="187"/>
      <c r="J629" s="187"/>
      <c r="K629" s="187"/>
      <c r="L629" s="187"/>
      <c r="M629" s="187"/>
      <c r="N629" s="187"/>
      <c r="O629" s="187"/>
      <c r="P629" s="187"/>
      <c r="Q629" s="187"/>
      <c r="R629" s="187"/>
      <c r="S629" s="187"/>
      <c r="T629" s="187"/>
      <c r="U629" s="187"/>
      <c r="V629" s="187"/>
      <c r="W629" s="187"/>
      <c r="X629" s="187"/>
      <c r="Y629" s="187"/>
      <c r="Z629" s="187"/>
    </row>
    <row r="630" ht="15.75" customHeight="1">
      <c r="A630" s="203"/>
      <c r="B630" s="187"/>
      <c r="C630" s="187"/>
      <c r="D630" s="187"/>
      <c r="E630" s="187"/>
      <c r="F630" s="187"/>
      <c r="G630" s="187"/>
      <c r="H630" s="187"/>
      <c r="I630" s="187"/>
      <c r="J630" s="187"/>
      <c r="K630" s="187"/>
      <c r="L630" s="187"/>
      <c r="M630" s="187"/>
      <c r="N630" s="187"/>
      <c r="O630" s="187"/>
      <c r="P630" s="187"/>
      <c r="Q630" s="187"/>
      <c r="R630" s="187"/>
      <c r="S630" s="187"/>
      <c r="T630" s="187"/>
      <c r="U630" s="187"/>
      <c r="V630" s="187"/>
      <c r="W630" s="187"/>
      <c r="X630" s="187"/>
      <c r="Y630" s="187"/>
      <c r="Z630" s="187"/>
    </row>
    <row r="631" ht="15.75" customHeight="1">
      <c r="A631" s="203"/>
      <c r="B631" s="187"/>
      <c r="C631" s="187"/>
      <c r="D631" s="187"/>
      <c r="E631" s="187"/>
      <c r="F631" s="187"/>
      <c r="G631" s="187"/>
      <c r="H631" s="187"/>
      <c r="I631" s="187"/>
      <c r="J631" s="187"/>
      <c r="K631" s="187"/>
      <c r="L631" s="187"/>
      <c r="M631" s="187"/>
      <c r="N631" s="187"/>
      <c r="O631" s="187"/>
      <c r="P631" s="187"/>
      <c r="Q631" s="187"/>
      <c r="R631" s="187"/>
      <c r="S631" s="187"/>
      <c r="T631" s="187"/>
      <c r="U631" s="187"/>
      <c r="V631" s="187"/>
      <c r="W631" s="187"/>
      <c r="X631" s="187"/>
      <c r="Y631" s="187"/>
      <c r="Z631" s="187"/>
    </row>
    <row r="632" ht="15.75" customHeight="1">
      <c r="A632" s="203"/>
      <c r="B632" s="187"/>
      <c r="C632" s="187"/>
      <c r="D632" s="187"/>
      <c r="E632" s="187"/>
      <c r="F632" s="187"/>
      <c r="G632" s="187"/>
      <c r="H632" s="187"/>
      <c r="I632" s="187"/>
      <c r="J632" s="187"/>
      <c r="K632" s="187"/>
      <c r="L632" s="187"/>
      <c r="M632" s="187"/>
      <c r="N632" s="187"/>
      <c r="O632" s="187"/>
      <c r="P632" s="187"/>
      <c r="Q632" s="187"/>
      <c r="R632" s="187"/>
      <c r="S632" s="187"/>
      <c r="T632" s="187"/>
      <c r="U632" s="187"/>
      <c r="V632" s="187"/>
      <c r="W632" s="187"/>
      <c r="X632" s="187"/>
      <c r="Y632" s="187"/>
      <c r="Z632" s="187"/>
    </row>
    <row r="633" ht="15.75" customHeight="1">
      <c r="A633" s="203"/>
      <c r="B633" s="187"/>
      <c r="C633" s="187"/>
      <c r="D633" s="187"/>
      <c r="E633" s="187"/>
      <c r="F633" s="187"/>
      <c r="G633" s="187"/>
      <c r="H633" s="187"/>
      <c r="I633" s="187"/>
      <c r="J633" s="187"/>
      <c r="K633" s="187"/>
      <c r="L633" s="187"/>
      <c r="M633" s="187"/>
      <c r="N633" s="187"/>
      <c r="O633" s="187"/>
      <c r="P633" s="187"/>
      <c r="Q633" s="187"/>
      <c r="R633" s="187"/>
      <c r="S633" s="187"/>
      <c r="T633" s="187"/>
      <c r="U633" s="187"/>
      <c r="V633" s="187"/>
      <c r="W633" s="187"/>
      <c r="X633" s="187"/>
      <c r="Y633" s="187"/>
      <c r="Z633" s="187"/>
    </row>
    <row r="634" ht="15.75" customHeight="1">
      <c r="A634" s="203"/>
      <c r="B634" s="187"/>
      <c r="C634" s="187"/>
      <c r="D634" s="187"/>
      <c r="E634" s="187"/>
      <c r="F634" s="187"/>
      <c r="G634" s="187"/>
      <c r="H634" s="187"/>
      <c r="I634" s="187"/>
      <c r="J634" s="187"/>
      <c r="K634" s="187"/>
      <c r="L634" s="187"/>
      <c r="M634" s="187"/>
      <c r="N634" s="187"/>
      <c r="O634" s="187"/>
      <c r="P634" s="187"/>
      <c r="Q634" s="187"/>
      <c r="R634" s="187"/>
      <c r="S634" s="187"/>
      <c r="T634" s="187"/>
      <c r="U634" s="187"/>
      <c r="V634" s="187"/>
      <c r="W634" s="187"/>
      <c r="X634" s="187"/>
      <c r="Y634" s="187"/>
      <c r="Z634" s="187"/>
    </row>
    <row r="635" ht="15.75" customHeight="1">
      <c r="A635" s="203"/>
      <c r="B635" s="187"/>
      <c r="C635" s="187"/>
      <c r="D635" s="187"/>
      <c r="E635" s="187"/>
      <c r="F635" s="187"/>
      <c r="G635" s="187"/>
      <c r="H635" s="187"/>
      <c r="I635" s="187"/>
      <c r="J635" s="187"/>
      <c r="K635" s="187"/>
      <c r="L635" s="187"/>
      <c r="M635" s="187"/>
      <c r="N635" s="187"/>
      <c r="O635" s="187"/>
      <c r="P635" s="187"/>
      <c r="Q635" s="187"/>
      <c r="R635" s="187"/>
      <c r="S635" s="187"/>
      <c r="T635" s="187"/>
      <c r="U635" s="187"/>
      <c r="V635" s="187"/>
      <c r="W635" s="187"/>
      <c r="X635" s="187"/>
      <c r="Y635" s="187"/>
      <c r="Z635" s="187"/>
    </row>
    <row r="636" ht="15.75" customHeight="1">
      <c r="A636" s="203"/>
      <c r="B636" s="187"/>
      <c r="C636" s="187"/>
      <c r="D636" s="187"/>
      <c r="E636" s="187"/>
      <c r="F636" s="187"/>
      <c r="G636" s="187"/>
      <c r="H636" s="187"/>
      <c r="I636" s="187"/>
      <c r="J636" s="187"/>
      <c r="K636" s="187"/>
      <c r="L636" s="187"/>
      <c r="M636" s="187"/>
      <c r="N636" s="187"/>
      <c r="O636" s="187"/>
      <c r="P636" s="187"/>
      <c r="Q636" s="187"/>
      <c r="R636" s="187"/>
      <c r="S636" s="187"/>
      <c r="T636" s="187"/>
      <c r="U636" s="187"/>
      <c r="V636" s="187"/>
      <c r="W636" s="187"/>
      <c r="X636" s="187"/>
      <c r="Y636" s="187"/>
      <c r="Z636" s="187"/>
    </row>
    <row r="637" ht="15.75" customHeight="1">
      <c r="A637" s="203"/>
      <c r="B637" s="187"/>
      <c r="C637" s="187"/>
      <c r="D637" s="187"/>
      <c r="E637" s="187"/>
      <c r="F637" s="187"/>
      <c r="G637" s="187"/>
      <c r="H637" s="187"/>
      <c r="I637" s="187"/>
      <c r="J637" s="187"/>
      <c r="K637" s="187"/>
      <c r="L637" s="187"/>
      <c r="M637" s="187"/>
      <c r="N637" s="187"/>
      <c r="O637" s="187"/>
      <c r="P637" s="187"/>
      <c r="Q637" s="187"/>
      <c r="R637" s="187"/>
      <c r="S637" s="187"/>
      <c r="T637" s="187"/>
      <c r="U637" s="187"/>
      <c r="V637" s="187"/>
      <c r="W637" s="187"/>
      <c r="X637" s="187"/>
      <c r="Y637" s="187"/>
      <c r="Z637" s="187"/>
    </row>
    <row r="638" ht="15.75" customHeight="1">
      <c r="A638" s="203"/>
      <c r="B638" s="187"/>
      <c r="C638" s="187"/>
      <c r="D638" s="187"/>
      <c r="E638" s="187"/>
      <c r="F638" s="187"/>
      <c r="G638" s="187"/>
      <c r="H638" s="187"/>
      <c r="I638" s="187"/>
      <c r="J638" s="187"/>
      <c r="K638" s="187"/>
      <c r="L638" s="187"/>
      <c r="M638" s="187"/>
      <c r="N638" s="187"/>
      <c r="O638" s="187"/>
      <c r="P638" s="187"/>
      <c r="Q638" s="187"/>
      <c r="R638" s="187"/>
      <c r="S638" s="187"/>
      <c r="T638" s="187"/>
      <c r="U638" s="187"/>
      <c r="V638" s="187"/>
      <c r="W638" s="187"/>
      <c r="X638" s="187"/>
      <c r="Y638" s="187"/>
      <c r="Z638" s="187"/>
    </row>
    <row r="639" ht="15.75" customHeight="1">
      <c r="A639" s="203"/>
      <c r="B639" s="187"/>
      <c r="C639" s="187"/>
      <c r="D639" s="187"/>
      <c r="E639" s="187"/>
      <c r="F639" s="187"/>
      <c r="G639" s="187"/>
      <c r="H639" s="187"/>
      <c r="I639" s="187"/>
      <c r="J639" s="187"/>
      <c r="K639" s="187"/>
      <c r="L639" s="187"/>
      <c r="M639" s="187"/>
      <c r="N639" s="187"/>
      <c r="O639" s="187"/>
      <c r="P639" s="187"/>
      <c r="Q639" s="187"/>
      <c r="R639" s="187"/>
      <c r="S639" s="187"/>
      <c r="T639" s="187"/>
      <c r="U639" s="187"/>
      <c r="V639" s="187"/>
      <c r="W639" s="187"/>
      <c r="X639" s="187"/>
      <c r="Y639" s="187"/>
      <c r="Z639" s="187"/>
    </row>
    <row r="640" ht="15.75" customHeight="1">
      <c r="A640" s="203"/>
      <c r="B640" s="187"/>
      <c r="C640" s="187"/>
      <c r="D640" s="187"/>
      <c r="E640" s="187"/>
      <c r="F640" s="187"/>
      <c r="G640" s="187"/>
      <c r="H640" s="187"/>
      <c r="I640" s="187"/>
      <c r="J640" s="187"/>
      <c r="K640" s="187"/>
      <c r="L640" s="187"/>
      <c r="M640" s="187"/>
      <c r="N640" s="187"/>
      <c r="O640" s="187"/>
      <c r="P640" s="187"/>
      <c r="Q640" s="187"/>
      <c r="R640" s="187"/>
      <c r="S640" s="187"/>
      <c r="T640" s="187"/>
      <c r="U640" s="187"/>
      <c r="V640" s="187"/>
      <c r="W640" s="187"/>
      <c r="X640" s="187"/>
      <c r="Y640" s="187"/>
      <c r="Z640" s="187"/>
    </row>
    <row r="641" ht="15.75" customHeight="1">
      <c r="A641" s="203"/>
      <c r="B641" s="187"/>
      <c r="C641" s="187"/>
      <c r="D641" s="187"/>
      <c r="E641" s="187"/>
      <c r="F641" s="187"/>
      <c r="G641" s="187"/>
      <c r="H641" s="187"/>
      <c r="I641" s="187"/>
      <c r="J641" s="187"/>
      <c r="K641" s="187"/>
      <c r="L641" s="187"/>
      <c r="M641" s="187"/>
      <c r="N641" s="187"/>
      <c r="O641" s="187"/>
      <c r="P641" s="187"/>
      <c r="Q641" s="187"/>
      <c r="R641" s="187"/>
      <c r="S641" s="187"/>
      <c r="T641" s="187"/>
      <c r="U641" s="187"/>
      <c r="V641" s="187"/>
      <c r="W641" s="187"/>
      <c r="X641" s="187"/>
      <c r="Y641" s="187"/>
      <c r="Z641" s="187"/>
    </row>
    <row r="642" ht="15.75" customHeight="1">
      <c r="A642" s="203"/>
      <c r="B642" s="187"/>
      <c r="C642" s="187"/>
      <c r="D642" s="187"/>
      <c r="E642" s="187"/>
      <c r="F642" s="187"/>
      <c r="G642" s="187"/>
      <c r="H642" s="187"/>
      <c r="I642" s="187"/>
      <c r="J642" s="187"/>
      <c r="K642" s="187"/>
      <c r="L642" s="187"/>
      <c r="M642" s="187"/>
      <c r="N642" s="187"/>
      <c r="O642" s="187"/>
      <c r="P642" s="187"/>
      <c r="Q642" s="187"/>
      <c r="R642" s="187"/>
      <c r="S642" s="187"/>
      <c r="T642" s="187"/>
      <c r="U642" s="187"/>
      <c r="V642" s="187"/>
      <c r="W642" s="187"/>
      <c r="X642" s="187"/>
      <c r="Y642" s="187"/>
      <c r="Z642" s="187"/>
    </row>
    <row r="643" ht="15.75" customHeight="1">
      <c r="A643" s="203"/>
      <c r="B643" s="187"/>
      <c r="C643" s="187"/>
      <c r="D643" s="187"/>
      <c r="E643" s="187"/>
      <c r="F643" s="187"/>
      <c r="G643" s="187"/>
      <c r="H643" s="187"/>
      <c r="I643" s="187"/>
      <c r="J643" s="187"/>
      <c r="K643" s="187"/>
      <c r="L643" s="187"/>
      <c r="M643" s="187"/>
      <c r="N643" s="187"/>
      <c r="O643" s="187"/>
      <c r="P643" s="187"/>
      <c r="Q643" s="187"/>
      <c r="R643" s="187"/>
      <c r="S643" s="187"/>
      <c r="T643" s="187"/>
      <c r="U643" s="187"/>
      <c r="V643" s="187"/>
      <c r="W643" s="187"/>
      <c r="X643" s="187"/>
      <c r="Y643" s="187"/>
      <c r="Z643" s="187"/>
    </row>
    <row r="644" ht="15.75" customHeight="1">
      <c r="A644" s="203"/>
      <c r="B644" s="187"/>
      <c r="C644" s="187"/>
      <c r="D644" s="187"/>
      <c r="E644" s="187"/>
      <c r="F644" s="187"/>
      <c r="G644" s="187"/>
      <c r="H644" s="187"/>
      <c r="I644" s="187"/>
      <c r="J644" s="187"/>
      <c r="K644" s="187"/>
      <c r="L644" s="187"/>
      <c r="M644" s="187"/>
      <c r="N644" s="187"/>
      <c r="O644" s="187"/>
      <c r="P644" s="187"/>
      <c r="Q644" s="187"/>
      <c r="R644" s="187"/>
      <c r="S644" s="187"/>
      <c r="T644" s="187"/>
      <c r="U644" s="187"/>
      <c r="V644" s="187"/>
      <c r="W644" s="187"/>
      <c r="X644" s="187"/>
      <c r="Y644" s="187"/>
      <c r="Z644" s="187"/>
    </row>
    <row r="645" ht="15.75" customHeight="1">
      <c r="A645" s="203"/>
      <c r="B645" s="187"/>
      <c r="C645" s="187"/>
      <c r="D645" s="187"/>
      <c r="E645" s="187"/>
      <c r="F645" s="187"/>
      <c r="G645" s="187"/>
      <c r="H645" s="187"/>
      <c r="I645" s="187"/>
      <c r="J645" s="187"/>
      <c r="K645" s="187"/>
      <c r="L645" s="187"/>
      <c r="M645" s="187"/>
      <c r="N645" s="187"/>
      <c r="O645" s="187"/>
      <c r="P645" s="187"/>
      <c r="Q645" s="187"/>
      <c r="R645" s="187"/>
      <c r="S645" s="187"/>
      <c r="T645" s="187"/>
      <c r="U645" s="187"/>
      <c r="V645" s="187"/>
      <c r="W645" s="187"/>
      <c r="X645" s="187"/>
      <c r="Y645" s="187"/>
      <c r="Z645" s="187"/>
    </row>
    <row r="646" ht="15.75" customHeight="1">
      <c r="A646" s="203"/>
      <c r="B646" s="187"/>
      <c r="C646" s="187"/>
      <c r="D646" s="187"/>
      <c r="E646" s="187"/>
      <c r="F646" s="187"/>
      <c r="G646" s="187"/>
      <c r="H646" s="187"/>
      <c r="I646" s="187"/>
      <c r="J646" s="187"/>
      <c r="K646" s="187"/>
      <c r="L646" s="187"/>
      <c r="M646" s="187"/>
      <c r="N646" s="187"/>
      <c r="O646" s="187"/>
      <c r="P646" s="187"/>
      <c r="Q646" s="187"/>
      <c r="R646" s="187"/>
      <c r="S646" s="187"/>
      <c r="T646" s="187"/>
      <c r="U646" s="187"/>
      <c r="V646" s="187"/>
      <c r="W646" s="187"/>
      <c r="X646" s="187"/>
      <c r="Y646" s="187"/>
      <c r="Z646" s="187"/>
    </row>
    <row r="647" ht="15.75" customHeight="1">
      <c r="A647" s="203"/>
      <c r="B647" s="187"/>
      <c r="C647" s="187"/>
      <c r="D647" s="187"/>
      <c r="E647" s="187"/>
      <c r="F647" s="187"/>
      <c r="G647" s="187"/>
      <c r="H647" s="187"/>
      <c r="I647" s="187"/>
      <c r="J647" s="187"/>
      <c r="K647" s="187"/>
      <c r="L647" s="187"/>
      <c r="M647" s="187"/>
      <c r="N647" s="187"/>
      <c r="O647" s="187"/>
      <c r="P647" s="187"/>
      <c r="Q647" s="187"/>
      <c r="R647" s="187"/>
      <c r="S647" s="187"/>
      <c r="T647" s="187"/>
      <c r="U647" s="187"/>
      <c r="V647" s="187"/>
      <c r="W647" s="187"/>
      <c r="X647" s="187"/>
      <c r="Y647" s="187"/>
      <c r="Z647" s="187"/>
    </row>
    <row r="648" ht="15.75" customHeight="1">
      <c r="A648" s="203"/>
      <c r="B648" s="187"/>
      <c r="C648" s="187"/>
      <c r="D648" s="187"/>
      <c r="E648" s="187"/>
      <c r="F648" s="187"/>
      <c r="G648" s="187"/>
      <c r="H648" s="187"/>
      <c r="I648" s="187"/>
      <c r="J648" s="187"/>
      <c r="K648" s="187"/>
      <c r="L648" s="187"/>
      <c r="M648" s="187"/>
      <c r="N648" s="187"/>
      <c r="O648" s="187"/>
      <c r="P648" s="187"/>
      <c r="Q648" s="187"/>
      <c r="R648" s="187"/>
      <c r="S648" s="187"/>
      <c r="T648" s="187"/>
      <c r="U648" s="187"/>
      <c r="V648" s="187"/>
      <c r="W648" s="187"/>
      <c r="X648" s="187"/>
      <c r="Y648" s="187"/>
      <c r="Z648" s="187"/>
    </row>
    <row r="649" ht="15.75" customHeight="1">
      <c r="A649" s="203"/>
      <c r="B649" s="187"/>
      <c r="C649" s="187"/>
      <c r="D649" s="187"/>
      <c r="E649" s="187"/>
      <c r="F649" s="187"/>
      <c r="G649" s="187"/>
      <c r="H649" s="187"/>
      <c r="I649" s="187"/>
      <c r="J649" s="187"/>
      <c r="K649" s="187"/>
      <c r="L649" s="187"/>
      <c r="M649" s="187"/>
      <c r="N649" s="187"/>
      <c r="O649" s="187"/>
      <c r="P649" s="187"/>
      <c r="Q649" s="187"/>
      <c r="R649" s="187"/>
      <c r="S649" s="187"/>
      <c r="T649" s="187"/>
      <c r="U649" s="187"/>
      <c r="V649" s="187"/>
      <c r="W649" s="187"/>
      <c r="X649" s="187"/>
      <c r="Y649" s="187"/>
      <c r="Z649" s="187"/>
    </row>
    <row r="650" ht="15.75" customHeight="1">
      <c r="A650" s="203"/>
      <c r="B650" s="187"/>
      <c r="C650" s="187"/>
      <c r="D650" s="187"/>
      <c r="E650" s="187"/>
      <c r="F650" s="187"/>
      <c r="G650" s="187"/>
      <c r="H650" s="187"/>
      <c r="I650" s="187"/>
      <c r="J650" s="187"/>
      <c r="K650" s="187"/>
      <c r="L650" s="187"/>
      <c r="M650" s="187"/>
      <c r="N650" s="187"/>
      <c r="O650" s="187"/>
      <c r="P650" s="187"/>
      <c r="Q650" s="187"/>
      <c r="R650" s="187"/>
      <c r="S650" s="187"/>
      <c r="T650" s="187"/>
      <c r="U650" s="187"/>
      <c r="V650" s="187"/>
      <c r="W650" s="187"/>
      <c r="X650" s="187"/>
      <c r="Y650" s="187"/>
      <c r="Z650" s="187"/>
    </row>
    <row r="651" ht="15.75" customHeight="1">
      <c r="A651" s="203"/>
      <c r="B651" s="187"/>
      <c r="C651" s="187"/>
      <c r="D651" s="187"/>
      <c r="E651" s="187"/>
      <c r="F651" s="187"/>
      <c r="G651" s="187"/>
      <c r="H651" s="187"/>
      <c r="I651" s="187"/>
      <c r="J651" s="187"/>
      <c r="K651" s="187"/>
      <c r="L651" s="187"/>
      <c r="M651" s="187"/>
      <c r="N651" s="187"/>
      <c r="O651" s="187"/>
      <c r="P651" s="187"/>
      <c r="Q651" s="187"/>
      <c r="R651" s="187"/>
      <c r="S651" s="187"/>
      <c r="T651" s="187"/>
      <c r="U651" s="187"/>
      <c r="V651" s="187"/>
      <c r="W651" s="187"/>
      <c r="X651" s="187"/>
      <c r="Y651" s="187"/>
      <c r="Z651" s="187"/>
    </row>
    <row r="652" ht="15.75" customHeight="1">
      <c r="A652" s="203"/>
      <c r="B652" s="187"/>
      <c r="C652" s="187"/>
      <c r="D652" s="187"/>
      <c r="E652" s="187"/>
      <c r="F652" s="187"/>
      <c r="G652" s="187"/>
      <c r="H652" s="187"/>
      <c r="I652" s="187"/>
      <c r="J652" s="187"/>
      <c r="K652" s="187"/>
      <c r="L652" s="187"/>
      <c r="M652" s="187"/>
      <c r="N652" s="187"/>
      <c r="O652" s="187"/>
      <c r="P652" s="187"/>
      <c r="Q652" s="187"/>
      <c r="R652" s="187"/>
      <c r="S652" s="187"/>
      <c r="T652" s="187"/>
      <c r="U652" s="187"/>
      <c r="V652" s="187"/>
      <c r="W652" s="187"/>
      <c r="X652" s="187"/>
      <c r="Y652" s="187"/>
      <c r="Z652" s="187"/>
    </row>
    <row r="653" ht="15.75" customHeight="1">
      <c r="A653" s="203"/>
      <c r="B653" s="187"/>
      <c r="C653" s="187"/>
      <c r="D653" s="187"/>
      <c r="E653" s="187"/>
      <c r="F653" s="187"/>
      <c r="G653" s="187"/>
      <c r="H653" s="187"/>
      <c r="I653" s="187"/>
      <c r="J653" s="187"/>
      <c r="K653" s="187"/>
      <c r="L653" s="187"/>
      <c r="M653" s="187"/>
      <c r="N653" s="187"/>
      <c r="O653" s="187"/>
      <c r="P653" s="187"/>
      <c r="Q653" s="187"/>
      <c r="R653" s="187"/>
      <c r="S653" s="187"/>
      <c r="T653" s="187"/>
      <c r="U653" s="187"/>
      <c r="V653" s="187"/>
      <c r="W653" s="187"/>
      <c r="X653" s="187"/>
      <c r="Y653" s="187"/>
      <c r="Z653" s="187"/>
    </row>
    <row r="654" ht="15.75" customHeight="1">
      <c r="A654" s="203"/>
      <c r="B654" s="187"/>
      <c r="C654" s="187"/>
      <c r="D654" s="187"/>
      <c r="E654" s="187"/>
      <c r="F654" s="187"/>
      <c r="G654" s="187"/>
      <c r="H654" s="187"/>
      <c r="I654" s="187"/>
      <c r="J654" s="187"/>
      <c r="K654" s="187"/>
      <c r="L654" s="187"/>
      <c r="M654" s="187"/>
      <c r="N654" s="187"/>
      <c r="O654" s="187"/>
      <c r="P654" s="187"/>
      <c r="Q654" s="187"/>
      <c r="R654" s="187"/>
      <c r="S654" s="187"/>
      <c r="T654" s="187"/>
      <c r="U654" s="187"/>
      <c r="V654" s="187"/>
      <c r="W654" s="187"/>
      <c r="X654" s="187"/>
      <c r="Y654" s="187"/>
      <c r="Z654" s="187"/>
    </row>
    <row r="655" ht="15.75" customHeight="1">
      <c r="A655" s="203"/>
      <c r="B655" s="187"/>
      <c r="C655" s="187"/>
      <c r="D655" s="187"/>
      <c r="E655" s="187"/>
      <c r="F655" s="187"/>
      <c r="G655" s="187"/>
      <c r="H655" s="187"/>
      <c r="I655" s="187"/>
      <c r="J655" s="187"/>
      <c r="K655" s="187"/>
      <c r="L655" s="187"/>
      <c r="M655" s="187"/>
      <c r="N655" s="187"/>
      <c r="O655" s="187"/>
      <c r="P655" s="187"/>
      <c r="Q655" s="187"/>
      <c r="R655" s="187"/>
      <c r="S655" s="187"/>
      <c r="T655" s="187"/>
      <c r="U655" s="187"/>
      <c r="V655" s="187"/>
      <c r="W655" s="187"/>
      <c r="X655" s="187"/>
      <c r="Y655" s="187"/>
      <c r="Z655" s="187"/>
    </row>
    <row r="656" ht="15.75" customHeight="1">
      <c r="A656" s="203"/>
      <c r="B656" s="187"/>
      <c r="C656" s="187"/>
      <c r="D656" s="187"/>
      <c r="E656" s="187"/>
      <c r="F656" s="187"/>
      <c r="G656" s="187"/>
      <c r="H656" s="187"/>
      <c r="I656" s="187"/>
      <c r="J656" s="187"/>
      <c r="K656" s="187"/>
      <c r="L656" s="187"/>
      <c r="M656" s="187"/>
      <c r="N656" s="187"/>
      <c r="O656" s="187"/>
      <c r="P656" s="187"/>
      <c r="Q656" s="187"/>
      <c r="R656" s="187"/>
      <c r="S656" s="187"/>
      <c r="T656" s="187"/>
      <c r="U656" s="187"/>
      <c r="V656" s="187"/>
      <c r="W656" s="187"/>
      <c r="X656" s="187"/>
      <c r="Y656" s="187"/>
      <c r="Z656" s="187"/>
    </row>
    <row r="657" ht="15.75" customHeight="1">
      <c r="A657" s="203"/>
      <c r="B657" s="187"/>
      <c r="C657" s="187"/>
      <c r="D657" s="187"/>
      <c r="E657" s="187"/>
      <c r="F657" s="187"/>
      <c r="G657" s="187"/>
      <c r="H657" s="187"/>
      <c r="I657" s="187"/>
      <c r="J657" s="187"/>
      <c r="K657" s="187"/>
      <c r="L657" s="187"/>
      <c r="M657" s="187"/>
      <c r="N657" s="187"/>
      <c r="O657" s="187"/>
      <c r="P657" s="187"/>
      <c r="Q657" s="187"/>
      <c r="R657" s="187"/>
      <c r="S657" s="187"/>
      <c r="T657" s="187"/>
      <c r="U657" s="187"/>
      <c r="V657" s="187"/>
      <c r="W657" s="187"/>
      <c r="X657" s="187"/>
      <c r="Y657" s="187"/>
      <c r="Z657" s="187"/>
    </row>
    <row r="658" ht="15.75" customHeight="1">
      <c r="A658" s="203"/>
      <c r="B658" s="187"/>
      <c r="C658" s="187"/>
      <c r="D658" s="187"/>
      <c r="E658" s="187"/>
      <c r="F658" s="187"/>
      <c r="G658" s="187"/>
      <c r="H658" s="187"/>
      <c r="I658" s="187"/>
      <c r="J658" s="187"/>
      <c r="K658" s="187"/>
      <c r="L658" s="187"/>
      <c r="M658" s="187"/>
      <c r="N658" s="187"/>
      <c r="O658" s="187"/>
      <c r="P658" s="187"/>
      <c r="Q658" s="187"/>
      <c r="R658" s="187"/>
      <c r="S658" s="187"/>
      <c r="T658" s="187"/>
      <c r="U658" s="187"/>
      <c r="V658" s="187"/>
      <c r="W658" s="187"/>
      <c r="X658" s="187"/>
      <c r="Y658" s="187"/>
      <c r="Z658" s="187"/>
    </row>
    <row r="659" ht="15.75" customHeight="1">
      <c r="A659" s="203"/>
      <c r="B659" s="187"/>
      <c r="C659" s="187"/>
      <c r="D659" s="187"/>
      <c r="E659" s="187"/>
      <c r="F659" s="187"/>
      <c r="G659" s="187"/>
      <c r="H659" s="187"/>
      <c r="I659" s="187"/>
      <c r="J659" s="187"/>
      <c r="K659" s="187"/>
      <c r="L659" s="187"/>
      <c r="M659" s="187"/>
      <c r="N659" s="187"/>
      <c r="O659" s="187"/>
      <c r="P659" s="187"/>
      <c r="Q659" s="187"/>
      <c r="R659" s="187"/>
      <c r="S659" s="187"/>
      <c r="T659" s="187"/>
      <c r="U659" s="187"/>
      <c r="V659" s="187"/>
      <c r="W659" s="187"/>
      <c r="X659" s="187"/>
      <c r="Y659" s="187"/>
      <c r="Z659" s="187"/>
    </row>
    <row r="660" ht="15.75" customHeight="1">
      <c r="A660" s="203"/>
      <c r="B660" s="187"/>
      <c r="C660" s="187"/>
      <c r="D660" s="187"/>
      <c r="E660" s="187"/>
      <c r="F660" s="187"/>
      <c r="G660" s="187"/>
      <c r="H660" s="187"/>
      <c r="I660" s="187"/>
      <c r="J660" s="187"/>
      <c r="K660" s="187"/>
      <c r="L660" s="187"/>
      <c r="M660" s="187"/>
      <c r="N660" s="187"/>
      <c r="O660" s="187"/>
      <c r="P660" s="187"/>
      <c r="Q660" s="187"/>
      <c r="R660" s="187"/>
      <c r="S660" s="187"/>
      <c r="T660" s="187"/>
      <c r="U660" s="187"/>
      <c r="V660" s="187"/>
      <c r="W660" s="187"/>
      <c r="X660" s="187"/>
      <c r="Y660" s="187"/>
      <c r="Z660" s="187"/>
    </row>
    <row r="661" ht="15.75" customHeight="1">
      <c r="A661" s="203"/>
      <c r="B661" s="187"/>
      <c r="C661" s="187"/>
      <c r="D661" s="187"/>
      <c r="E661" s="187"/>
      <c r="F661" s="187"/>
      <c r="G661" s="187"/>
      <c r="H661" s="187"/>
      <c r="I661" s="187"/>
      <c r="J661" s="187"/>
      <c r="K661" s="187"/>
      <c r="L661" s="187"/>
      <c r="M661" s="187"/>
      <c r="N661" s="187"/>
      <c r="O661" s="187"/>
      <c r="P661" s="187"/>
      <c r="Q661" s="187"/>
      <c r="R661" s="187"/>
      <c r="S661" s="187"/>
      <c r="T661" s="187"/>
      <c r="U661" s="187"/>
      <c r="V661" s="187"/>
      <c r="W661" s="187"/>
      <c r="X661" s="187"/>
      <c r="Y661" s="187"/>
      <c r="Z661" s="187"/>
    </row>
    <row r="662" ht="15.75" customHeight="1">
      <c r="A662" s="203"/>
      <c r="B662" s="187"/>
      <c r="C662" s="187"/>
      <c r="D662" s="187"/>
      <c r="E662" s="187"/>
      <c r="F662" s="187"/>
      <c r="G662" s="187"/>
      <c r="H662" s="187"/>
      <c r="I662" s="187"/>
      <c r="J662" s="187"/>
      <c r="K662" s="187"/>
      <c r="L662" s="187"/>
      <c r="M662" s="187"/>
      <c r="N662" s="187"/>
      <c r="O662" s="187"/>
      <c r="P662" s="187"/>
      <c r="Q662" s="187"/>
      <c r="R662" s="187"/>
      <c r="S662" s="187"/>
      <c r="T662" s="187"/>
      <c r="U662" s="187"/>
      <c r="V662" s="187"/>
      <c r="W662" s="187"/>
      <c r="X662" s="187"/>
      <c r="Y662" s="187"/>
      <c r="Z662" s="187"/>
    </row>
    <row r="663" ht="15.75" customHeight="1">
      <c r="A663" s="203"/>
      <c r="B663" s="187"/>
      <c r="C663" s="187"/>
      <c r="D663" s="187"/>
      <c r="E663" s="187"/>
      <c r="F663" s="187"/>
      <c r="G663" s="187"/>
      <c r="H663" s="187"/>
      <c r="I663" s="187"/>
      <c r="J663" s="187"/>
      <c r="K663" s="187"/>
      <c r="L663" s="187"/>
      <c r="M663" s="187"/>
      <c r="N663" s="187"/>
      <c r="O663" s="187"/>
      <c r="P663" s="187"/>
      <c r="Q663" s="187"/>
      <c r="R663" s="187"/>
      <c r="S663" s="187"/>
      <c r="T663" s="187"/>
      <c r="U663" s="187"/>
      <c r="V663" s="187"/>
      <c r="W663" s="187"/>
      <c r="X663" s="187"/>
      <c r="Y663" s="187"/>
      <c r="Z663" s="187"/>
    </row>
    <row r="664" ht="15.75" customHeight="1">
      <c r="A664" s="203"/>
      <c r="B664" s="187"/>
      <c r="C664" s="187"/>
      <c r="D664" s="187"/>
      <c r="E664" s="187"/>
      <c r="F664" s="187"/>
      <c r="G664" s="187"/>
      <c r="H664" s="187"/>
      <c r="I664" s="187"/>
      <c r="J664" s="187"/>
      <c r="K664" s="187"/>
      <c r="L664" s="187"/>
      <c r="M664" s="187"/>
      <c r="N664" s="187"/>
      <c r="O664" s="187"/>
      <c r="P664" s="187"/>
      <c r="Q664" s="187"/>
      <c r="R664" s="187"/>
      <c r="S664" s="187"/>
      <c r="T664" s="187"/>
      <c r="U664" s="187"/>
      <c r="V664" s="187"/>
      <c r="W664" s="187"/>
      <c r="X664" s="187"/>
      <c r="Y664" s="187"/>
      <c r="Z664" s="187"/>
    </row>
    <row r="665" ht="15.75" customHeight="1">
      <c r="A665" s="203"/>
      <c r="B665" s="187"/>
      <c r="C665" s="187"/>
      <c r="D665" s="187"/>
      <c r="E665" s="187"/>
      <c r="F665" s="187"/>
      <c r="G665" s="187"/>
      <c r="H665" s="187"/>
      <c r="I665" s="187"/>
      <c r="J665" s="187"/>
      <c r="K665" s="187"/>
      <c r="L665" s="187"/>
      <c r="M665" s="187"/>
      <c r="N665" s="187"/>
      <c r="O665" s="187"/>
      <c r="P665" s="187"/>
      <c r="Q665" s="187"/>
      <c r="R665" s="187"/>
      <c r="S665" s="187"/>
      <c r="T665" s="187"/>
      <c r="U665" s="187"/>
      <c r="V665" s="187"/>
      <c r="W665" s="187"/>
      <c r="X665" s="187"/>
      <c r="Y665" s="187"/>
      <c r="Z665" s="187"/>
    </row>
    <row r="666" ht="15.75" customHeight="1">
      <c r="A666" s="203"/>
      <c r="B666" s="187"/>
      <c r="C666" s="187"/>
      <c r="D666" s="187"/>
      <c r="E666" s="187"/>
      <c r="F666" s="187"/>
      <c r="G666" s="187"/>
      <c r="H666" s="187"/>
      <c r="I666" s="187"/>
      <c r="J666" s="187"/>
      <c r="K666" s="187"/>
      <c r="L666" s="187"/>
      <c r="M666" s="187"/>
      <c r="N666" s="187"/>
      <c r="O666" s="187"/>
      <c r="P666" s="187"/>
      <c r="Q666" s="187"/>
      <c r="R666" s="187"/>
      <c r="S666" s="187"/>
      <c r="T666" s="187"/>
      <c r="U666" s="187"/>
      <c r="V666" s="187"/>
      <c r="W666" s="187"/>
      <c r="X666" s="187"/>
      <c r="Y666" s="187"/>
      <c r="Z666" s="187"/>
    </row>
    <row r="667" ht="15.75" customHeight="1">
      <c r="A667" s="203"/>
      <c r="B667" s="187"/>
      <c r="C667" s="187"/>
      <c r="D667" s="187"/>
      <c r="E667" s="187"/>
      <c r="F667" s="187"/>
      <c r="G667" s="187"/>
      <c r="H667" s="187"/>
      <c r="I667" s="187"/>
      <c r="J667" s="187"/>
      <c r="K667" s="187"/>
      <c r="L667" s="187"/>
      <c r="M667" s="187"/>
      <c r="N667" s="187"/>
      <c r="O667" s="187"/>
      <c r="P667" s="187"/>
      <c r="Q667" s="187"/>
      <c r="R667" s="187"/>
      <c r="S667" s="187"/>
      <c r="T667" s="187"/>
      <c r="U667" s="187"/>
      <c r="V667" s="187"/>
      <c r="W667" s="187"/>
      <c r="X667" s="187"/>
      <c r="Y667" s="187"/>
      <c r="Z667" s="187"/>
    </row>
    <row r="668" ht="15.75" customHeight="1">
      <c r="A668" s="203"/>
      <c r="B668" s="187"/>
      <c r="C668" s="187"/>
      <c r="D668" s="187"/>
      <c r="E668" s="187"/>
      <c r="F668" s="187"/>
      <c r="G668" s="187"/>
      <c r="H668" s="187"/>
      <c r="I668" s="187"/>
      <c r="J668" s="187"/>
      <c r="K668" s="187"/>
      <c r="L668" s="187"/>
      <c r="M668" s="187"/>
      <c r="N668" s="187"/>
      <c r="O668" s="187"/>
      <c r="P668" s="187"/>
      <c r="Q668" s="187"/>
      <c r="R668" s="187"/>
      <c r="S668" s="187"/>
      <c r="T668" s="187"/>
      <c r="U668" s="187"/>
      <c r="V668" s="187"/>
      <c r="W668" s="187"/>
      <c r="X668" s="187"/>
      <c r="Y668" s="187"/>
      <c r="Z668" s="187"/>
    </row>
    <row r="669" ht="15.75" customHeight="1">
      <c r="A669" s="203"/>
      <c r="B669" s="187"/>
      <c r="C669" s="187"/>
      <c r="D669" s="187"/>
      <c r="E669" s="187"/>
      <c r="F669" s="187"/>
      <c r="G669" s="187"/>
      <c r="H669" s="187"/>
      <c r="I669" s="187"/>
      <c r="J669" s="187"/>
      <c r="K669" s="187"/>
      <c r="L669" s="187"/>
      <c r="M669" s="187"/>
      <c r="N669" s="187"/>
      <c r="O669" s="187"/>
      <c r="P669" s="187"/>
      <c r="Q669" s="187"/>
      <c r="R669" s="187"/>
      <c r="S669" s="187"/>
      <c r="T669" s="187"/>
      <c r="U669" s="187"/>
      <c r="V669" s="187"/>
      <c r="W669" s="187"/>
      <c r="X669" s="187"/>
      <c r="Y669" s="187"/>
      <c r="Z669" s="187"/>
    </row>
    <row r="670" ht="15.75" customHeight="1">
      <c r="A670" s="203"/>
      <c r="B670" s="187"/>
      <c r="C670" s="187"/>
      <c r="D670" s="187"/>
      <c r="E670" s="187"/>
      <c r="F670" s="187"/>
      <c r="G670" s="187"/>
      <c r="H670" s="187"/>
      <c r="I670" s="187"/>
      <c r="J670" s="187"/>
      <c r="K670" s="187"/>
      <c r="L670" s="187"/>
      <c r="M670" s="187"/>
      <c r="N670" s="187"/>
      <c r="O670" s="187"/>
      <c r="P670" s="187"/>
      <c r="Q670" s="187"/>
      <c r="R670" s="187"/>
      <c r="S670" s="187"/>
      <c r="T670" s="187"/>
      <c r="U670" s="187"/>
      <c r="V670" s="187"/>
      <c r="W670" s="187"/>
      <c r="X670" s="187"/>
      <c r="Y670" s="187"/>
      <c r="Z670" s="187"/>
    </row>
    <row r="671" ht="15.75" customHeight="1">
      <c r="A671" s="203"/>
      <c r="B671" s="187"/>
      <c r="C671" s="187"/>
      <c r="D671" s="187"/>
      <c r="E671" s="187"/>
      <c r="F671" s="187"/>
      <c r="G671" s="187"/>
      <c r="H671" s="187"/>
      <c r="I671" s="187"/>
      <c r="J671" s="187"/>
      <c r="K671" s="187"/>
      <c r="L671" s="187"/>
      <c r="M671" s="187"/>
      <c r="N671" s="187"/>
      <c r="O671" s="187"/>
      <c r="P671" s="187"/>
      <c r="Q671" s="187"/>
      <c r="R671" s="187"/>
      <c r="S671" s="187"/>
      <c r="T671" s="187"/>
      <c r="U671" s="187"/>
      <c r="V671" s="187"/>
      <c r="W671" s="187"/>
      <c r="X671" s="187"/>
      <c r="Y671" s="187"/>
      <c r="Z671" s="187"/>
    </row>
    <row r="672" ht="15.75" customHeight="1">
      <c r="A672" s="203"/>
      <c r="B672" s="187"/>
      <c r="C672" s="187"/>
      <c r="D672" s="187"/>
      <c r="E672" s="187"/>
      <c r="F672" s="187"/>
      <c r="G672" s="187"/>
      <c r="H672" s="187"/>
      <c r="I672" s="187"/>
      <c r="J672" s="187"/>
      <c r="K672" s="187"/>
      <c r="L672" s="187"/>
      <c r="M672" s="187"/>
      <c r="N672" s="187"/>
      <c r="O672" s="187"/>
      <c r="P672" s="187"/>
      <c r="Q672" s="187"/>
      <c r="R672" s="187"/>
      <c r="S672" s="187"/>
      <c r="T672" s="187"/>
      <c r="U672" s="187"/>
      <c r="V672" s="187"/>
      <c r="W672" s="187"/>
      <c r="X672" s="187"/>
      <c r="Y672" s="187"/>
      <c r="Z672" s="187"/>
    </row>
    <row r="673" ht="15.75" customHeight="1">
      <c r="A673" s="203"/>
      <c r="B673" s="187"/>
      <c r="C673" s="187"/>
      <c r="D673" s="187"/>
      <c r="E673" s="187"/>
      <c r="F673" s="187"/>
      <c r="G673" s="187"/>
      <c r="H673" s="187"/>
      <c r="I673" s="187"/>
      <c r="J673" s="187"/>
      <c r="K673" s="187"/>
      <c r="L673" s="187"/>
      <c r="M673" s="187"/>
      <c r="N673" s="187"/>
      <c r="O673" s="187"/>
      <c r="P673" s="187"/>
      <c r="Q673" s="187"/>
      <c r="R673" s="187"/>
      <c r="S673" s="187"/>
      <c r="T673" s="187"/>
      <c r="U673" s="187"/>
      <c r="V673" s="187"/>
      <c r="W673" s="187"/>
      <c r="X673" s="187"/>
      <c r="Y673" s="187"/>
      <c r="Z673" s="187"/>
    </row>
    <row r="674" ht="15.75" customHeight="1">
      <c r="A674" s="203"/>
      <c r="B674" s="187"/>
      <c r="C674" s="187"/>
      <c r="D674" s="187"/>
      <c r="E674" s="187"/>
      <c r="F674" s="187"/>
      <c r="G674" s="187"/>
      <c r="H674" s="187"/>
      <c r="I674" s="187"/>
      <c r="J674" s="187"/>
      <c r="K674" s="187"/>
      <c r="L674" s="187"/>
      <c r="M674" s="187"/>
      <c r="N674" s="187"/>
      <c r="O674" s="187"/>
      <c r="P674" s="187"/>
      <c r="Q674" s="187"/>
      <c r="R674" s="187"/>
      <c r="S674" s="187"/>
      <c r="T674" s="187"/>
      <c r="U674" s="187"/>
      <c r="V674" s="187"/>
      <c r="W674" s="187"/>
      <c r="X674" s="187"/>
      <c r="Y674" s="187"/>
      <c r="Z674" s="187"/>
    </row>
    <row r="675" ht="15.75" customHeight="1">
      <c r="A675" s="203"/>
      <c r="B675" s="187"/>
      <c r="C675" s="187"/>
      <c r="D675" s="187"/>
      <c r="E675" s="187"/>
      <c r="F675" s="187"/>
      <c r="G675" s="187"/>
      <c r="H675" s="187"/>
      <c r="I675" s="187"/>
      <c r="J675" s="187"/>
      <c r="K675" s="187"/>
      <c r="L675" s="187"/>
      <c r="M675" s="187"/>
      <c r="N675" s="187"/>
      <c r="O675" s="187"/>
      <c r="P675" s="187"/>
      <c r="Q675" s="187"/>
      <c r="R675" s="187"/>
      <c r="S675" s="187"/>
      <c r="T675" s="187"/>
      <c r="U675" s="187"/>
      <c r="V675" s="187"/>
      <c r="W675" s="187"/>
      <c r="X675" s="187"/>
      <c r="Y675" s="187"/>
      <c r="Z675" s="187"/>
    </row>
    <row r="676" ht="15.75" customHeight="1">
      <c r="A676" s="203"/>
      <c r="B676" s="187"/>
      <c r="C676" s="187"/>
      <c r="D676" s="187"/>
      <c r="E676" s="187"/>
      <c r="F676" s="187"/>
      <c r="G676" s="187"/>
      <c r="H676" s="187"/>
      <c r="I676" s="187"/>
      <c r="J676" s="187"/>
      <c r="K676" s="187"/>
      <c r="L676" s="187"/>
      <c r="M676" s="187"/>
      <c r="N676" s="187"/>
      <c r="O676" s="187"/>
      <c r="P676" s="187"/>
      <c r="Q676" s="187"/>
      <c r="R676" s="187"/>
      <c r="S676" s="187"/>
      <c r="T676" s="187"/>
      <c r="U676" s="187"/>
      <c r="V676" s="187"/>
      <c r="W676" s="187"/>
      <c r="X676" s="187"/>
      <c r="Y676" s="187"/>
      <c r="Z676" s="187"/>
    </row>
    <row r="677" ht="15.75" customHeight="1">
      <c r="A677" s="203"/>
      <c r="B677" s="187"/>
      <c r="C677" s="187"/>
      <c r="D677" s="187"/>
      <c r="E677" s="187"/>
      <c r="F677" s="187"/>
      <c r="G677" s="187"/>
      <c r="H677" s="187"/>
      <c r="I677" s="187"/>
      <c r="J677" s="187"/>
      <c r="K677" s="187"/>
      <c r="L677" s="187"/>
      <c r="M677" s="187"/>
      <c r="N677" s="187"/>
      <c r="O677" s="187"/>
      <c r="P677" s="187"/>
      <c r="Q677" s="187"/>
      <c r="R677" s="187"/>
      <c r="S677" s="187"/>
      <c r="T677" s="187"/>
      <c r="U677" s="187"/>
      <c r="V677" s="187"/>
      <c r="W677" s="187"/>
      <c r="X677" s="187"/>
      <c r="Y677" s="187"/>
      <c r="Z677" s="187"/>
    </row>
    <row r="678" ht="15.75" customHeight="1">
      <c r="A678" s="203"/>
      <c r="B678" s="187"/>
      <c r="C678" s="187"/>
      <c r="D678" s="187"/>
      <c r="E678" s="187"/>
      <c r="F678" s="187"/>
      <c r="G678" s="187"/>
      <c r="H678" s="187"/>
      <c r="I678" s="187"/>
      <c r="J678" s="187"/>
      <c r="K678" s="187"/>
      <c r="L678" s="187"/>
      <c r="M678" s="187"/>
      <c r="N678" s="187"/>
      <c r="O678" s="187"/>
      <c r="P678" s="187"/>
      <c r="Q678" s="187"/>
      <c r="R678" s="187"/>
      <c r="S678" s="187"/>
      <c r="T678" s="187"/>
      <c r="U678" s="187"/>
      <c r="V678" s="187"/>
      <c r="W678" s="187"/>
      <c r="X678" s="187"/>
      <c r="Y678" s="187"/>
      <c r="Z678" s="187"/>
    </row>
    <row r="679" ht="15.75" customHeight="1">
      <c r="A679" s="203"/>
      <c r="B679" s="187"/>
      <c r="C679" s="187"/>
      <c r="D679" s="187"/>
      <c r="E679" s="187"/>
      <c r="F679" s="187"/>
      <c r="G679" s="187"/>
      <c r="H679" s="187"/>
      <c r="I679" s="187"/>
      <c r="J679" s="187"/>
      <c r="K679" s="187"/>
      <c r="L679" s="187"/>
      <c r="M679" s="187"/>
      <c r="N679" s="187"/>
      <c r="O679" s="187"/>
      <c r="P679" s="187"/>
      <c r="Q679" s="187"/>
      <c r="R679" s="187"/>
      <c r="S679" s="187"/>
      <c r="T679" s="187"/>
      <c r="U679" s="187"/>
      <c r="V679" s="187"/>
      <c r="W679" s="187"/>
      <c r="X679" s="187"/>
      <c r="Y679" s="187"/>
      <c r="Z679" s="187"/>
    </row>
    <row r="680" ht="15.75" customHeight="1">
      <c r="A680" s="203"/>
      <c r="B680" s="187"/>
      <c r="C680" s="187"/>
      <c r="D680" s="187"/>
      <c r="E680" s="187"/>
      <c r="F680" s="187"/>
      <c r="G680" s="187"/>
      <c r="H680" s="187"/>
      <c r="I680" s="187"/>
      <c r="J680" s="187"/>
      <c r="K680" s="187"/>
      <c r="L680" s="187"/>
      <c r="M680" s="187"/>
      <c r="N680" s="187"/>
      <c r="O680" s="187"/>
      <c r="P680" s="187"/>
      <c r="Q680" s="187"/>
      <c r="R680" s="187"/>
      <c r="S680" s="187"/>
      <c r="T680" s="187"/>
      <c r="U680" s="187"/>
      <c r="V680" s="187"/>
      <c r="W680" s="187"/>
      <c r="X680" s="187"/>
      <c r="Y680" s="187"/>
      <c r="Z680" s="187"/>
    </row>
    <row r="681" ht="15.75" customHeight="1">
      <c r="A681" s="203"/>
      <c r="B681" s="187"/>
      <c r="C681" s="187"/>
      <c r="D681" s="187"/>
      <c r="E681" s="187"/>
      <c r="F681" s="187"/>
      <c r="G681" s="187"/>
      <c r="H681" s="187"/>
      <c r="I681" s="187"/>
      <c r="J681" s="187"/>
      <c r="K681" s="187"/>
      <c r="L681" s="187"/>
      <c r="M681" s="187"/>
      <c r="N681" s="187"/>
      <c r="O681" s="187"/>
      <c r="P681" s="187"/>
      <c r="Q681" s="187"/>
      <c r="R681" s="187"/>
      <c r="S681" s="187"/>
      <c r="T681" s="187"/>
      <c r="U681" s="187"/>
      <c r="V681" s="187"/>
      <c r="W681" s="187"/>
      <c r="X681" s="187"/>
      <c r="Y681" s="187"/>
      <c r="Z681" s="187"/>
    </row>
    <row r="682" ht="15.75" customHeight="1">
      <c r="A682" s="203"/>
      <c r="B682" s="187"/>
      <c r="C682" s="187"/>
      <c r="D682" s="187"/>
      <c r="E682" s="187"/>
      <c r="F682" s="187"/>
      <c r="G682" s="187"/>
      <c r="H682" s="187"/>
      <c r="I682" s="187"/>
      <c r="J682" s="187"/>
      <c r="K682" s="187"/>
      <c r="L682" s="187"/>
      <c r="M682" s="187"/>
      <c r="N682" s="187"/>
      <c r="O682" s="187"/>
      <c r="P682" s="187"/>
      <c r="Q682" s="187"/>
      <c r="R682" s="187"/>
      <c r="S682" s="187"/>
      <c r="T682" s="187"/>
      <c r="U682" s="187"/>
      <c r="V682" s="187"/>
      <c r="W682" s="187"/>
      <c r="X682" s="187"/>
      <c r="Y682" s="187"/>
      <c r="Z682" s="187"/>
    </row>
    <row r="683" ht="15.75" customHeight="1">
      <c r="A683" s="203"/>
      <c r="B683" s="187"/>
      <c r="C683" s="187"/>
      <c r="D683" s="187"/>
      <c r="E683" s="187"/>
      <c r="F683" s="187"/>
      <c r="G683" s="187"/>
      <c r="H683" s="187"/>
      <c r="I683" s="187"/>
      <c r="J683" s="187"/>
      <c r="K683" s="187"/>
      <c r="L683" s="187"/>
      <c r="M683" s="187"/>
      <c r="N683" s="187"/>
      <c r="O683" s="187"/>
      <c r="P683" s="187"/>
      <c r="Q683" s="187"/>
      <c r="R683" s="187"/>
      <c r="S683" s="187"/>
      <c r="T683" s="187"/>
      <c r="U683" s="187"/>
      <c r="V683" s="187"/>
      <c r="W683" s="187"/>
      <c r="X683" s="187"/>
      <c r="Y683" s="187"/>
      <c r="Z683" s="187"/>
    </row>
    <row r="684" ht="15.75" customHeight="1">
      <c r="A684" s="203"/>
      <c r="B684" s="187"/>
      <c r="C684" s="187"/>
      <c r="D684" s="187"/>
      <c r="E684" s="187"/>
      <c r="F684" s="187"/>
      <c r="G684" s="187"/>
      <c r="H684" s="187"/>
      <c r="I684" s="187"/>
      <c r="J684" s="187"/>
      <c r="K684" s="187"/>
      <c r="L684" s="187"/>
      <c r="M684" s="187"/>
      <c r="N684" s="187"/>
      <c r="O684" s="187"/>
      <c r="P684" s="187"/>
      <c r="Q684" s="187"/>
      <c r="R684" s="187"/>
      <c r="S684" s="187"/>
      <c r="T684" s="187"/>
      <c r="U684" s="187"/>
      <c r="V684" s="187"/>
      <c r="W684" s="187"/>
      <c r="X684" s="187"/>
      <c r="Y684" s="187"/>
      <c r="Z684" s="187"/>
    </row>
    <row r="685" ht="15.75" customHeight="1">
      <c r="A685" s="203"/>
      <c r="B685" s="187"/>
      <c r="C685" s="187"/>
      <c r="D685" s="187"/>
      <c r="E685" s="187"/>
      <c r="F685" s="187"/>
      <c r="G685" s="187"/>
      <c r="H685" s="187"/>
      <c r="I685" s="187"/>
      <c r="J685" s="187"/>
      <c r="K685" s="187"/>
      <c r="L685" s="187"/>
      <c r="M685" s="187"/>
      <c r="N685" s="187"/>
      <c r="O685" s="187"/>
      <c r="P685" s="187"/>
      <c r="Q685" s="187"/>
      <c r="R685" s="187"/>
      <c r="S685" s="187"/>
      <c r="T685" s="187"/>
      <c r="U685" s="187"/>
      <c r="V685" s="187"/>
      <c r="W685" s="187"/>
      <c r="X685" s="187"/>
      <c r="Y685" s="187"/>
      <c r="Z685" s="187"/>
    </row>
    <row r="686" ht="15.75" customHeight="1">
      <c r="A686" s="203"/>
      <c r="B686" s="187"/>
      <c r="C686" s="187"/>
      <c r="D686" s="187"/>
      <c r="E686" s="187"/>
      <c r="F686" s="187"/>
      <c r="G686" s="187"/>
      <c r="H686" s="187"/>
      <c r="I686" s="187"/>
      <c r="J686" s="187"/>
      <c r="K686" s="187"/>
      <c r="L686" s="187"/>
      <c r="M686" s="187"/>
      <c r="N686" s="187"/>
      <c r="O686" s="187"/>
      <c r="P686" s="187"/>
      <c r="Q686" s="187"/>
      <c r="R686" s="187"/>
      <c r="S686" s="187"/>
      <c r="T686" s="187"/>
      <c r="U686" s="187"/>
      <c r="V686" s="187"/>
      <c r="W686" s="187"/>
      <c r="X686" s="187"/>
      <c r="Y686" s="187"/>
      <c r="Z686" s="187"/>
    </row>
    <row r="687" ht="15.75" customHeight="1">
      <c r="A687" s="203"/>
      <c r="B687" s="187"/>
      <c r="C687" s="187"/>
      <c r="D687" s="187"/>
      <c r="E687" s="187"/>
      <c r="F687" s="187"/>
      <c r="G687" s="187"/>
      <c r="H687" s="187"/>
      <c r="I687" s="187"/>
      <c r="J687" s="187"/>
      <c r="K687" s="187"/>
      <c r="L687" s="187"/>
      <c r="M687" s="187"/>
      <c r="N687" s="187"/>
      <c r="O687" s="187"/>
      <c r="P687" s="187"/>
      <c r="Q687" s="187"/>
      <c r="R687" s="187"/>
      <c r="S687" s="187"/>
      <c r="T687" s="187"/>
      <c r="U687" s="187"/>
      <c r="V687" s="187"/>
      <c r="W687" s="187"/>
      <c r="X687" s="187"/>
      <c r="Y687" s="187"/>
      <c r="Z687" s="187"/>
    </row>
    <row r="688" ht="15.75" customHeight="1">
      <c r="A688" s="203"/>
      <c r="B688" s="187"/>
      <c r="C688" s="187"/>
      <c r="D688" s="187"/>
      <c r="E688" s="187"/>
      <c r="F688" s="187"/>
      <c r="G688" s="187"/>
      <c r="H688" s="187"/>
      <c r="I688" s="187"/>
      <c r="J688" s="187"/>
      <c r="K688" s="187"/>
      <c r="L688" s="187"/>
      <c r="M688" s="187"/>
      <c r="N688" s="187"/>
      <c r="O688" s="187"/>
      <c r="P688" s="187"/>
      <c r="Q688" s="187"/>
      <c r="R688" s="187"/>
      <c r="S688" s="187"/>
      <c r="T688" s="187"/>
      <c r="U688" s="187"/>
      <c r="V688" s="187"/>
      <c r="W688" s="187"/>
      <c r="X688" s="187"/>
      <c r="Y688" s="187"/>
      <c r="Z688" s="187"/>
    </row>
    <row r="689" ht="15.75" customHeight="1">
      <c r="A689" s="203"/>
      <c r="B689" s="187"/>
      <c r="C689" s="187"/>
      <c r="D689" s="187"/>
      <c r="E689" s="187"/>
      <c r="F689" s="187"/>
      <c r="G689" s="187"/>
      <c r="H689" s="187"/>
      <c r="I689" s="187"/>
      <c r="J689" s="187"/>
      <c r="K689" s="187"/>
      <c r="L689" s="187"/>
      <c r="M689" s="187"/>
      <c r="N689" s="187"/>
      <c r="O689" s="187"/>
      <c r="P689" s="187"/>
      <c r="Q689" s="187"/>
      <c r="R689" s="187"/>
      <c r="S689" s="187"/>
      <c r="T689" s="187"/>
      <c r="U689" s="187"/>
      <c r="V689" s="187"/>
      <c r="W689" s="187"/>
      <c r="X689" s="187"/>
      <c r="Y689" s="187"/>
      <c r="Z689" s="187"/>
    </row>
    <row r="690" ht="15.75" customHeight="1">
      <c r="A690" s="203"/>
      <c r="B690" s="187"/>
      <c r="C690" s="187"/>
      <c r="D690" s="187"/>
      <c r="E690" s="187"/>
      <c r="F690" s="187"/>
      <c r="G690" s="187"/>
      <c r="H690" s="187"/>
      <c r="I690" s="187"/>
      <c r="J690" s="187"/>
      <c r="K690" s="187"/>
      <c r="L690" s="187"/>
      <c r="M690" s="187"/>
      <c r="N690" s="187"/>
      <c r="O690" s="187"/>
      <c r="P690" s="187"/>
      <c r="Q690" s="187"/>
      <c r="R690" s="187"/>
      <c r="S690" s="187"/>
      <c r="T690" s="187"/>
      <c r="U690" s="187"/>
      <c r="V690" s="187"/>
      <c r="W690" s="187"/>
      <c r="X690" s="187"/>
      <c r="Y690" s="187"/>
      <c r="Z690" s="187"/>
    </row>
    <row r="691" ht="15.75" customHeight="1">
      <c r="A691" s="203"/>
      <c r="B691" s="187"/>
      <c r="C691" s="187"/>
      <c r="D691" s="187"/>
      <c r="E691" s="187"/>
      <c r="F691" s="187"/>
      <c r="G691" s="187"/>
      <c r="H691" s="187"/>
      <c r="I691" s="187"/>
      <c r="J691" s="187"/>
      <c r="K691" s="187"/>
      <c r="L691" s="187"/>
      <c r="M691" s="187"/>
      <c r="N691" s="187"/>
      <c r="O691" s="187"/>
      <c r="P691" s="187"/>
      <c r="Q691" s="187"/>
      <c r="R691" s="187"/>
      <c r="S691" s="187"/>
      <c r="T691" s="187"/>
      <c r="U691" s="187"/>
      <c r="V691" s="187"/>
      <c r="W691" s="187"/>
      <c r="X691" s="187"/>
      <c r="Y691" s="187"/>
      <c r="Z691" s="187"/>
    </row>
    <row r="692" ht="15.75" customHeight="1">
      <c r="A692" s="203"/>
      <c r="B692" s="187"/>
      <c r="C692" s="187"/>
      <c r="D692" s="187"/>
      <c r="E692" s="187"/>
      <c r="F692" s="187"/>
      <c r="G692" s="187"/>
      <c r="H692" s="187"/>
      <c r="I692" s="187"/>
      <c r="J692" s="187"/>
      <c r="K692" s="187"/>
      <c r="L692" s="187"/>
      <c r="M692" s="187"/>
      <c r="N692" s="187"/>
      <c r="O692" s="187"/>
      <c r="P692" s="187"/>
      <c r="Q692" s="187"/>
      <c r="R692" s="187"/>
      <c r="S692" s="187"/>
      <c r="T692" s="187"/>
      <c r="U692" s="187"/>
      <c r="V692" s="187"/>
      <c r="W692" s="187"/>
      <c r="X692" s="187"/>
      <c r="Y692" s="187"/>
      <c r="Z692" s="187"/>
    </row>
    <row r="693" ht="15.75" customHeight="1">
      <c r="A693" s="203"/>
      <c r="B693" s="187"/>
      <c r="C693" s="187"/>
      <c r="D693" s="187"/>
      <c r="E693" s="187"/>
      <c r="F693" s="187"/>
      <c r="G693" s="187"/>
      <c r="H693" s="187"/>
      <c r="I693" s="187"/>
      <c r="J693" s="187"/>
      <c r="K693" s="187"/>
      <c r="L693" s="187"/>
      <c r="M693" s="187"/>
      <c r="N693" s="187"/>
      <c r="O693" s="187"/>
      <c r="P693" s="187"/>
      <c r="Q693" s="187"/>
      <c r="R693" s="187"/>
      <c r="S693" s="187"/>
      <c r="T693" s="187"/>
      <c r="U693" s="187"/>
      <c r="V693" s="187"/>
      <c r="W693" s="187"/>
      <c r="X693" s="187"/>
      <c r="Y693" s="187"/>
      <c r="Z693" s="187"/>
    </row>
    <row r="694" ht="15.75" customHeight="1">
      <c r="A694" s="203"/>
      <c r="B694" s="187"/>
      <c r="C694" s="187"/>
      <c r="D694" s="187"/>
      <c r="E694" s="187"/>
      <c r="F694" s="187"/>
      <c r="G694" s="187"/>
      <c r="H694" s="187"/>
      <c r="I694" s="187"/>
      <c r="J694" s="187"/>
      <c r="K694" s="187"/>
      <c r="L694" s="187"/>
      <c r="M694" s="187"/>
      <c r="N694" s="187"/>
      <c r="O694" s="187"/>
      <c r="P694" s="187"/>
      <c r="Q694" s="187"/>
      <c r="R694" s="187"/>
      <c r="S694" s="187"/>
      <c r="T694" s="187"/>
      <c r="U694" s="187"/>
      <c r="V694" s="187"/>
      <c r="W694" s="187"/>
      <c r="X694" s="187"/>
      <c r="Y694" s="187"/>
      <c r="Z694" s="187"/>
    </row>
    <row r="695" ht="15.75" customHeight="1">
      <c r="A695" s="203"/>
      <c r="B695" s="187"/>
      <c r="C695" s="187"/>
      <c r="D695" s="187"/>
      <c r="E695" s="187"/>
      <c r="F695" s="187"/>
      <c r="G695" s="187"/>
      <c r="H695" s="187"/>
      <c r="I695" s="187"/>
      <c r="J695" s="187"/>
      <c r="K695" s="187"/>
      <c r="L695" s="187"/>
      <c r="M695" s="187"/>
      <c r="N695" s="187"/>
      <c r="O695" s="187"/>
      <c r="P695" s="187"/>
      <c r="Q695" s="187"/>
      <c r="R695" s="187"/>
      <c r="S695" s="187"/>
      <c r="T695" s="187"/>
      <c r="U695" s="187"/>
      <c r="V695" s="187"/>
      <c r="W695" s="187"/>
      <c r="X695" s="187"/>
      <c r="Y695" s="187"/>
      <c r="Z695" s="187"/>
    </row>
    <row r="696" ht="15.75" customHeight="1">
      <c r="A696" s="203"/>
      <c r="B696" s="187"/>
      <c r="C696" s="187"/>
      <c r="D696" s="187"/>
      <c r="E696" s="187"/>
      <c r="F696" s="187"/>
      <c r="G696" s="187"/>
      <c r="H696" s="187"/>
      <c r="I696" s="187"/>
      <c r="J696" s="187"/>
      <c r="K696" s="187"/>
      <c r="L696" s="187"/>
      <c r="M696" s="187"/>
      <c r="N696" s="187"/>
      <c r="O696" s="187"/>
      <c r="P696" s="187"/>
      <c r="Q696" s="187"/>
      <c r="R696" s="187"/>
      <c r="S696" s="187"/>
      <c r="T696" s="187"/>
      <c r="U696" s="187"/>
      <c r="V696" s="187"/>
      <c r="W696" s="187"/>
      <c r="X696" s="187"/>
      <c r="Y696" s="187"/>
      <c r="Z696" s="187"/>
    </row>
    <row r="697" ht="15.75" customHeight="1">
      <c r="A697" s="203"/>
      <c r="B697" s="187"/>
      <c r="C697" s="187"/>
      <c r="D697" s="187"/>
      <c r="E697" s="187"/>
      <c r="F697" s="187"/>
      <c r="G697" s="187"/>
      <c r="H697" s="187"/>
      <c r="I697" s="187"/>
      <c r="J697" s="187"/>
      <c r="K697" s="187"/>
      <c r="L697" s="187"/>
      <c r="M697" s="187"/>
      <c r="N697" s="187"/>
      <c r="O697" s="187"/>
      <c r="P697" s="187"/>
      <c r="Q697" s="187"/>
      <c r="R697" s="187"/>
      <c r="S697" s="187"/>
      <c r="T697" s="187"/>
      <c r="U697" s="187"/>
      <c r="V697" s="187"/>
      <c r="W697" s="187"/>
      <c r="X697" s="187"/>
      <c r="Y697" s="187"/>
      <c r="Z697" s="187"/>
    </row>
    <row r="698" ht="15.75" customHeight="1">
      <c r="A698" s="203"/>
      <c r="B698" s="187"/>
      <c r="C698" s="187"/>
      <c r="D698" s="187"/>
      <c r="E698" s="187"/>
      <c r="F698" s="187"/>
      <c r="G698" s="187"/>
      <c r="H698" s="187"/>
      <c r="I698" s="187"/>
      <c r="J698" s="187"/>
      <c r="K698" s="187"/>
      <c r="L698" s="187"/>
      <c r="M698" s="187"/>
      <c r="N698" s="187"/>
      <c r="O698" s="187"/>
      <c r="P698" s="187"/>
      <c r="Q698" s="187"/>
      <c r="R698" s="187"/>
      <c r="S698" s="187"/>
      <c r="T698" s="187"/>
      <c r="U698" s="187"/>
      <c r="V698" s="187"/>
      <c r="W698" s="187"/>
      <c r="X698" s="187"/>
      <c r="Y698" s="187"/>
      <c r="Z698" s="187"/>
    </row>
    <row r="699" ht="15.75" customHeight="1">
      <c r="A699" s="203"/>
      <c r="B699" s="187"/>
      <c r="C699" s="187"/>
      <c r="D699" s="187"/>
      <c r="E699" s="187"/>
      <c r="F699" s="187"/>
      <c r="G699" s="187"/>
      <c r="H699" s="187"/>
      <c r="I699" s="187"/>
      <c r="J699" s="187"/>
      <c r="K699" s="187"/>
      <c r="L699" s="187"/>
      <c r="M699" s="187"/>
      <c r="N699" s="187"/>
      <c r="O699" s="187"/>
      <c r="P699" s="187"/>
      <c r="Q699" s="187"/>
      <c r="R699" s="187"/>
      <c r="S699" s="187"/>
      <c r="T699" s="187"/>
      <c r="U699" s="187"/>
      <c r="V699" s="187"/>
      <c r="W699" s="187"/>
      <c r="X699" s="187"/>
      <c r="Y699" s="187"/>
      <c r="Z699" s="187"/>
    </row>
    <row r="700" ht="15.75" customHeight="1">
      <c r="A700" s="203"/>
      <c r="B700" s="187"/>
      <c r="C700" s="187"/>
      <c r="D700" s="187"/>
      <c r="E700" s="187"/>
      <c r="F700" s="187"/>
      <c r="G700" s="187"/>
      <c r="H700" s="187"/>
      <c r="I700" s="187"/>
      <c r="J700" s="187"/>
      <c r="K700" s="187"/>
      <c r="L700" s="187"/>
      <c r="M700" s="187"/>
      <c r="N700" s="187"/>
      <c r="O700" s="187"/>
      <c r="P700" s="187"/>
      <c r="Q700" s="187"/>
      <c r="R700" s="187"/>
      <c r="S700" s="187"/>
      <c r="T700" s="187"/>
      <c r="U700" s="187"/>
      <c r="V700" s="187"/>
      <c r="W700" s="187"/>
      <c r="X700" s="187"/>
      <c r="Y700" s="187"/>
      <c r="Z700" s="187"/>
    </row>
    <row r="701" ht="15.75" customHeight="1">
      <c r="A701" s="203"/>
      <c r="B701" s="187"/>
      <c r="C701" s="187"/>
      <c r="D701" s="187"/>
      <c r="E701" s="187"/>
      <c r="F701" s="187"/>
      <c r="G701" s="187"/>
      <c r="H701" s="187"/>
      <c r="I701" s="187"/>
      <c r="J701" s="187"/>
      <c r="K701" s="187"/>
      <c r="L701" s="187"/>
      <c r="M701" s="187"/>
      <c r="N701" s="187"/>
      <c r="O701" s="187"/>
      <c r="P701" s="187"/>
      <c r="Q701" s="187"/>
      <c r="R701" s="187"/>
      <c r="S701" s="187"/>
      <c r="T701" s="187"/>
      <c r="U701" s="187"/>
      <c r="V701" s="187"/>
      <c r="W701" s="187"/>
      <c r="X701" s="187"/>
      <c r="Y701" s="187"/>
      <c r="Z701" s="187"/>
    </row>
    <row r="702" ht="15.75" customHeight="1">
      <c r="A702" s="203"/>
      <c r="B702" s="187"/>
      <c r="C702" s="187"/>
      <c r="D702" s="187"/>
      <c r="E702" s="187"/>
      <c r="F702" s="187"/>
      <c r="G702" s="187"/>
      <c r="H702" s="187"/>
      <c r="I702" s="187"/>
      <c r="J702" s="187"/>
      <c r="K702" s="187"/>
      <c r="L702" s="187"/>
      <c r="M702" s="187"/>
      <c r="N702" s="187"/>
      <c r="O702" s="187"/>
      <c r="P702" s="187"/>
      <c r="Q702" s="187"/>
      <c r="R702" s="187"/>
      <c r="S702" s="187"/>
      <c r="T702" s="187"/>
      <c r="U702" s="187"/>
      <c r="V702" s="187"/>
      <c r="W702" s="187"/>
      <c r="X702" s="187"/>
      <c r="Y702" s="187"/>
      <c r="Z702" s="187"/>
    </row>
    <row r="703" ht="15.75" customHeight="1">
      <c r="A703" s="203"/>
      <c r="B703" s="187"/>
      <c r="C703" s="187"/>
      <c r="D703" s="187"/>
      <c r="E703" s="187"/>
      <c r="F703" s="187"/>
      <c r="G703" s="187"/>
      <c r="H703" s="187"/>
      <c r="I703" s="187"/>
      <c r="J703" s="187"/>
      <c r="K703" s="187"/>
      <c r="L703" s="187"/>
      <c r="M703" s="187"/>
      <c r="N703" s="187"/>
      <c r="O703" s="187"/>
      <c r="P703" s="187"/>
      <c r="Q703" s="187"/>
      <c r="R703" s="187"/>
      <c r="S703" s="187"/>
      <c r="T703" s="187"/>
      <c r="U703" s="187"/>
      <c r="V703" s="187"/>
      <c r="W703" s="187"/>
      <c r="X703" s="187"/>
      <c r="Y703" s="187"/>
      <c r="Z703" s="187"/>
    </row>
    <row r="704" ht="15.75" customHeight="1">
      <c r="A704" s="203"/>
      <c r="B704" s="187"/>
      <c r="C704" s="187"/>
      <c r="D704" s="187"/>
      <c r="E704" s="187"/>
      <c r="F704" s="187"/>
      <c r="G704" s="187"/>
      <c r="H704" s="187"/>
      <c r="I704" s="187"/>
      <c r="J704" s="187"/>
      <c r="K704" s="187"/>
      <c r="L704" s="187"/>
      <c r="M704" s="187"/>
      <c r="N704" s="187"/>
      <c r="O704" s="187"/>
      <c r="P704" s="187"/>
      <c r="Q704" s="187"/>
      <c r="R704" s="187"/>
      <c r="S704" s="187"/>
      <c r="T704" s="187"/>
      <c r="U704" s="187"/>
      <c r="V704" s="187"/>
      <c r="W704" s="187"/>
      <c r="X704" s="187"/>
      <c r="Y704" s="187"/>
      <c r="Z704" s="187"/>
    </row>
    <row r="705" ht="15.75" customHeight="1">
      <c r="A705" s="203"/>
      <c r="B705" s="187"/>
      <c r="C705" s="187"/>
      <c r="D705" s="187"/>
      <c r="E705" s="187"/>
      <c r="F705" s="187"/>
      <c r="G705" s="187"/>
      <c r="H705" s="187"/>
      <c r="I705" s="187"/>
      <c r="J705" s="187"/>
      <c r="K705" s="187"/>
      <c r="L705" s="187"/>
      <c r="M705" s="187"/>
      <c r="N705" s="187"/>
      <c r="O705" s="187"/>
      <c r="P705" s="187"/>
      <c r="Q705" s="187"/>
      <c r="R705" s="187"/>
      <c r="S705" s="187"/>
      <c r="T705" s="187"/>
      <c r="U705" s="187"/>
      <c r="V705" s="187"/>
      <c r="W705" s="187"/>
      <c r="X705" s="187"/>
      <c r="Y705" s="187"/>
      <c r="Z705" s="187"/>
    </row>
    <row r="706" ht="15.75" customHeight="1">
      <c r="A706" s="203"/>
      <c r="B706" s="187"/>
      <c r="C706" s="187"/>
      <c r="D706" s="187"/>
      <c r="E706" s="187"/>
      <c r="F706" s="187"/>
      <c r="G706" s="187"/>
      <c r="H706" s="187"/>
      <c r="I706" s="187"/>
      <c r="J706" s="187"/>
      <c r="K706" s="187"/>
      <c r="L706" s="187"/>
      <c r="M706" s="187"/>
      <c r="N706" s="187"/>
      <c r="O706" s="187"/>
      <c r="P706" s="187"/>
      <c r="Q706" s="187"/>
      <c r="R706" s="187"/>
      <c r="S706" s="187"/>
      <c r="T706" s="187"/>
      <c r="U706" s="187"/>
      <c r="V706" s="187"/>
      <c r="W706" s="187"/>
      <c r="X706" s="187"/>
      <c r="Y706" s="187"/>
      <c r="Z706" s="187"/>
    </row>
    <row r="707" ht="15.75" customHeight="1">
      <c r="A707" s="203"/>
      <c r="B707" s="187"/>
      <c r="C707" s="187"/>
      <c r="D707" s="187"/>
      <c r="E707" s="187"/>
      <c r="F707" s="187"/>
      <c r="G707" s="187"/>
      <c r="H707" s="187"/>
      <c r="I707" s="187"/>
      <c r="J707" s="187"/>
      <c r="K707" s="187"/>
      <c r="L707" s="187"/>
      <c r="M707" s="187"/>
      <c r="N707" s="187"/>
      <c r="O707" s="187"/>
      <c r="P707" s="187"/>
      <c r="Q707" s="187"/>
      <c r="R707" s="187"/>
      <c r="S707" s="187"/>
      <c r="T707" s="187"/>
      <c r="U707" s="187"/>
      <c r="V707" s="187"/>
      <c r="W707" s="187"/>
      <c r="X707" s="187"/>
      <c r="Y707" s="187"/>
      <c r="Z707" s="187"/>
    </row>
    <row r="708" ht="15.75" customHeight="1">
      <c r="A708" s="203"/>
      <c r="B708" s="187"/>
      <c r="C708" s="187"/>
      <c r="D708" s="187"/>
      <c r="E708" s="187"/>
      <c r="F708" s="187"/>
      <c r="G708" s="187"/>
      <c r="H708" s="187"/>
      <c r="I708" s="187"/>
      <c r="J708" s="187"/>
      <c r="K708" s="187"/>
      <c r="L708" s="187"/>
      <c r="M708" s="187"/>
      <c r="N708" s="187"/>
      <c r="O708" s="187"/>
      <c r="P708" s="187"/>
      <c r="Q708" s="187"/>
      <c r="R708" s="187"/>
      <c r="S708" s="187"/>
      <c r="T708" s="187"/>
      <c r="U708" s="187"/>
      <c r="V708" s="187"/>
      <c r="W708" s="187"/>
      <c r="X708" s="187"/>
      <c r="Y708" s="187"/>
      <c r="Z708" s="187"/>
    </row>
    <row r="709" ht="15.75" customHeight="1">
      <c r="A709" s="203"/>
      <c r="B709" s="187"/>
      <c r="C709" s="187"/>
      <c r="D709" s="187"/>
      <c r="E709" s="187"/>
      <c r="F709" s="187"/>
      <c r="G709" s="187"/>
      <c r="H709" s="187"/>
      <c r="I709" s="187"/>
      <c r="J709" s="187"/>
      <c r="K709" s="187"/>
      <c r="L709" s="187"/>
      <c r="M709" s="187"/>
      <c r="N709" s="187"/>
      <c r="O709" s="187"/>
      <c r="P709" s="187"/>
      <c r="Q709" s="187"/>
      <c r="R709" s="187"/>
      <c r="S709" s="187"/>
      <c r="T709" s="187"/>
      <c r="U709" s="187"/>
      <c r="V709" s="187"/>
      <c r="W709" s="187"/>
      <c r="X709" s="187"/>
      <c r="Y709" s="187"/>
      <c r="Z709" s="187"/>
    </row>
    <row r="710" ht="15.75" customHeight="1">
      <c r="A710" s="203"/>
      <c r="B710" s="187"/>
      <c r="C710" s="187"/>
      <c r="D710" s="187"/>
      <c r="E710" s="187"/>
      <c r="F710" s="187"/>
      <c r="G710" s="187"/>
      <c r="H710" s="187"/>
      <c r="I710" s="187"/>
      <c r="J710" s="187"/>
      <c r="K710" s="187"/>
      <c r="L710" s="187"/>
      <c r="M710" s="187"/>
      <c r="N710" s="187"/>
      <c r="O710" s="187"/>
      <c r="P710" s="187"/>
      <c r="Q710" s="187"/>
      <c r="R710" s="187"/>
      <c r="S710" s="187"/>
      <c r="T710" s="187"/>
      <c r="U710" s="187"/>
      <c r="V710" s="187"/>
      <c r="W710" s="187"/>
      <c r="X710" s="187"/>
      <c r="Y710" s="187"/>
      <c r="Z710" s="187"/>
    </row>
    <row r="711" ht="15.75" customHeight="1">
      <c r="A711" s="203"/>
      <c r="B711" s="187"/>
      <c r="C711" s="187"/>
      <c r="D711" s="187"/>
      <c r="E711" s="187"/>
      <c r="F711" s="187"/>
      <c r="G711" s="187"/>
      <c r="H711" s="187"/>
      <c r="I711" s="187"/>
      <c r="J711" s="187"/>
      <c r="K711" s="187"/>
      <c r="L711" s="187"/>
      <c r="M711" s="187"/>
      <c r="N711" s="187"/>
      <c r="O711" s="187"/>
      <c r="P711" s="187"/>
      <c r="Q711" s="187"/>
      <c r="R711" s="187"/>
      <c r="S711" s="187"/>
      <c r="T711" s="187"/>
      <c r="U711" s="187"/>
      <c r="V711" s="187"/>
      <c r="W711" s="187"/>
      <c r="X711" s="187"/>
      <c r="Y711" s="187"/>
      <c r="Z711" s="187"/>
    </row>
    <row r="712" ht="15.75" customHeight="1">
      <c r="A712" s="203"/>
      <c r="B712" s="187"/>
      <c r="C712" s="187"/>
      <c r="D712" s="187"/>
      <c r="E712" s="187"/>
      <c r="F712" s="187"/>
      <c r="G712" s="187"/>
      <c r="H712" s="187"/>
      <c r="I712" s="187"/>
      <c r="J712" s="187"/>
      <c r="K712" s="187"/>
      <c r="L712" s="187"/>
      <c r="M712" s="187"/>
      <c r="N712" s="187"/>
      <c r="O712" s="187"/>
      <c r="P712" s="187"/>
      <c r="Q712" s="187"/>
      <c r="R712" s="187"/>
      <c r="S712" s="187"/>
      <c r="T712" s="187"/>
      <c r="U712" s="187"/>
      <c r="V712" s="187"/>
      <c r="W712" s="187"/>
      <c r="X712" s="187"/>
      <c r="Y712" s="187"/>
      <c r="Z712" s="187"/>
    </row>
    <row r="713" ht="15.75" customHeight="1">
      <c r="A713" s="203"/>
      <c r="B713" s="187"/>
      <c r="C713" s="187"/>
      <c r="D713" s="187"/>
      <c r="E713" s="187"/>
      <c r="F713" s="187"/>
      <c r="G713" s="187"/>
      <c r="H713" s="187"/>
      <c r="I713" s="187"/>
      <c r="J713" s="187"/>
      <c r="K713" s="187"/>
      <c r="L713" s="187"/>
      <c r="M713" s="187"/>
      <c r="N713" s="187"/>
      <c r="O713" s="187"/>
      <c r="P713" s="187"/>
      <c r="Q713" s="187"/>
      <c r="R713" s="187"/>
      <c r="S713" s="187"/>
      <c r="T713" s="187"/>
      <c r="U713" s="187"/>
      <c r="V713" s="187"/>
      <c r="W713" s="187"/>
      <c r="X713" s="187"/>
      <c r="Y713" s="187"/>
      <c r="Z713" s="187"/>
    </row>
    <row r="714" ht="15.75" customHeight="1">
      <c r="A714" s="203"/>
      <c r="B714" s="187"/>
      <c r="C714" s="187"/>
      <c r="D714" s="187"/>
      <c r="E714" s="187"/>
      <c r="F714" s="187"/>
      <c r="G714" s="187"/>
      <c r="H714" s="187"/>
      <c r="I714" s="187"/>
      <c r="J714" s="187"/>
      <c r="K714" s="187"/>
      <c r="L714" s="187"/>
      <c r="M714" s="187"/>
      <c r="N714" s="187"/>
      <c r="O714" s="187"/>
      <c r="P714" s="187"/>
      <c r="Q714" s="187"/>
      <c r="R714" s="187"/>
      <c r="S714" s="187"/>
      <c r="T714" s="187"/>
      <c r="U714" s="187"/>
      <c r="V714" s="187"/>
      <c r="W714" s="187"/>
      <c r="X714" s="187"/>
      <c r="Y714" s="187"/>
      <c r="Z714" s="187"/>
    </row>
    <row r="715" ht="15.75" customHeight="1">
      <c r="A715" s="203"/>
      <c r="B715" s="187"/>
      <c r="C715" s="187"/>
      <c r="D715" s="187"/>
      <c r="E715" s="187"/>
      <c r="F715" s="187"/>
      <c r="G715" s="187"/>
      <c r="H715" s="187"/>
      <c r="I715" s="187"/>
      <c r="J715" s="187"/>
      <c r="K715" s="187"/>
      <c r="L715" s="187"/>
      <c r="M715" s="187"/>
      <c r="N715" s="187"/>
      <c r="O715" s="187"/>
      <c r="P715" s="187"/>
      <c r="Q715" s="187"/>
      <c r="R715" s="187"/>
      <c r="S715" s="187"/>
      <c r="T715" s="187"/>
      <c r="U715" s="187"/>
      <c r="V715" s="187"/>
      <c r="W715" s="187"/>
      <c r="X715" s="187"/>
      <c r="Y715" s="187"/>
      <c r="Z715" s="187"/>
    </row>
    <row r="716" ht="15.75" customHeight="1">
      <c r="A716" s="203"/>
      <c r="B716" s="187"/>
      <c r="C716" s="187"/>
      <c r="D716" s="187"/>
      <c r="E716" s="187"/>
      <c r="F716" s="187"/>
      <c r="G716" s="187"/>
      <c r="H716" s="187"/>
      <c r="I716" s="187"/>
      <c r="J716" s="187"/>
      <c r="K716" s="187"/>
      <c r="L716" s="187"/>
      <c r="M716" s="187"/>
      <c r="N716" s="187"/>
      <c r="O716" s="187"/>
      <c r="P716" s="187"/>
      <c r="Q716" s="187"/>
      <c r="R716" s="187"/>
      <c r="S716" s="187"/>
      <c r="T716" s="187"/>
      <c r="U716" s="187"/>
      <c r="V716" s="187"/>
      <c r="W716" s="187"/>
      <c r="X716" s="187"/>
      <c r="Y716" s="187"/>
      <c r="Z716" s="187"/>
    </row>
    <row r="717" ht="15.75" customHeight="1">
      <c r="A717" s="203"/>
      <c r="B717" s="187"/>
      <c r="C717" s="187"/>
      <c r="D717" s="187"/>
      <c r="E717" s="187"/>
      <c r="F717" s="187"/>
      <c r="G717" s="187"/>
      <c r="H717" s="187"/>
      <c r="I717" s="187"/>
      <c r="J717" s="187"/>
      <c r="K717" s="187"/>
      <c r="L717" s="187"/>
      <c r="M717" s="187"/>
      <c r="N717" s="187"/>
      <c r="O717" s="187"/>
      <c r="P717" s="187"/>
      <c r="Q717" s="187"/>
      <c r="R717" s="187"/>
      <c r="S717" s="187"/>
      <c r="T717" s="187"/>
      <c r="U717" s="187"/>
      <c r="V717" s="187"/>
      <c r="W717" s="187"/>
      <c r="X717" s="187"/>
      <c r="Y717" s="187"/>
      <c r="Z717" s="187"/>
    </row>
    <row r="718" ht="15.75" customHeight="1">
      <c r="A718" s="203"/>
      <c r="B718" s="187"/>
      <c r="C718" s="187"/>
      <c r="D718" s="187"/>
      <c r="E718" s="187"/>
      <c r="F718" s="187"/>
      <c r="G718" s="187"/>
      <c r="H718" s="187"/>
      <c r="I718" s="187"/>
      <c r="J718" s="187"/>
      <c r="K718" s="187"/>
      <c r="L718" s="187"/>
      <c r="M718" s="187"/>
      <c r="N718" s="187"/>
      <c r="O718" s="187"/>
      <c r="P718" s="187"/>
      <c r="Q718" s="187"/>
      <c r="R718" s="187"/>
      <c r="S718" s="187"/>
      <c r="T718" s="187"/>
      <c r="U718" s="187"/>
      <c r="V718" s="187"/>
      <c r="W718" s="187"/>
      <c r="X718" s="187"/>
      <c r="Y718" s="187"/>
      <c r="Z718" s="187"/>
    </row>
    <row r="719" ht="15.75" customHeight="1">
      <c r="A719" s="203"/>
      <c r="B719" s="187"/>
      <c r="C719" s="187"/>
      <c r="D719" s="187"/>
      <c r="E719" s="187"/>
      <c r="F719" s="187"/>
      <c r="G719" s="187"/>
      <c r="H719" s="187"/>
      <c r="I719" s="187"/>
      <c r="J719" s="187"/>
      <c r="K719" s="187"/>
      <c r="L719" s="187"/>
      <c r="M719" s="187"/>
      <c r="N719" s="187"/>
      <c r="O719" s="187"/>
      <c r="P719" s="187"/>
      <c r="Q719" s="187"/>
      <c r="R719" s="187"/>
      <c r="S719" s="187"/>
      <c r="T719" s="187"/>
      <c r="U719" s="187"/>
      <c r="V719" s="187"/>
      <c r="W719" s="187"/>
      <c r="X719" s="187"/>
      <c r="Y719" s="187"/>
      <c r="Z719" s="187"/>
    </row>
    <row r="720" ht="15.75" customHeight="1">
      <c r="A720" s="203"/>
      <c r="B720" s="187"/>
      <c r="C720" s="187"/>
      <c r="D720" s="187"/>
      <c r="E720" s="187"/>
      <c r="F720" s="187"/>
      <c r="G720" s="187"/>
      <c r="H720" s="187"/>
      <c r="I720" s="187"/>
      <c r="J720" s="187"/>
      <c r="K720" s="187"/>
      <c r="L720" s="187"/>
      <c r="M720" s="187"/>
      <c r="N720" s="187"/>
      <c r="O720" s="187"/>
      <c r="P720" s="187"/>
      <c r="Q720" s="187"/>
      <c r="R720" s="187"/>
      <c r="S720" s="187"/>
      <c r="T720" s="187"/>
      <c r="U720" s="187"/>
      <c r="V720" s="187"/>
      <c r="W720" s="187"/>
      <c r="X720" s="187"/>
      <c r="Y720" s="187"/>
      <c r="Z720" s="187"/>
    </row>
    <row r="721" ht="15.75" customHeight="1">
      <c r="A721" s="203"/>
      <c r="B721" s="187"/>
      <c r="C721" s="187"/>
      <c r="D721" s="187"/>
      <c r="E721" s="187"/>
      <c r="F721" s="187"/>
      <c r="G721" s="187"/>
      <c r="H721" s="187"/>
      <c r="I721" s="187"/>
      <c r="J721" s="187"/>
      <c r="K721" s="187"/>
      <c r="L721" s="187"/>
      <c r="M721" s="187"/>
      <c r="N721" s="187"/>
      <c r="O721" s="187"/>
      <c r="P721" s="187"/>
      <c r="Q721" s="187"/>
      <c r="R721" s="187"/>
      <c r="S721" s="187"/>
      <c r="T721" s="187"/>
      <c r="U721" s="187"/>
      <c r="V721" s="187"/>
      <c r="W721" s="187"/>
      <c r="X721" s="187"/>
      <c r="Y721" s="187"/>
      <c r="Z721" s="187"/>
    </row>
    <row r="722" ht="15.75" customHeight="1">
      <c r="A722" s="203"/>
      <c r="B722" s="187"/>
      <c r="C722" s="187"/>
      <c r="D722" s="187"/>
      <c r="E722" s="187"/>
      <c r="F722" s="187"/>
      <c r="G722" s="187"/>
      <c r="H722" s="187"/>
      <c r="I722" s="187"/>
      <c r="J722" s="187"/>
      <c r="K722" s="187"/>
      <c r="L722" s="187"/>
      <c r="M722" s="187"/>
      <c r="N722" s="187"/>
      <c r="O722" s="187"/>
      <c r="P722" s="187"/>
      <c r="Q722" s="187"/>
      <c r="R722" s="187"/>
      <c r="S722" s="187"/>
      <c r="T722" s="187"/>
      <c r="U722" s="187"/>
      <c r="V722" s="187"/>
      <c r="W722" s="187"/>
      <c r="X722" s="187"/>
      <c r="Y722" s="187"/>
      <c r="Z722" s="187"/>
    </row>
    <row r="723" ht="15.75" customHeight="1">
      <c r="A723" s="203"/>
      <c r="B723" s="187"/>
      <c r="C723" s="187"/>
      <c r="D723" s="187"/>
      <c r="E723" s="187"/>
      <c r="F723" s="187"/>
      <c r="G723" s="187"/>
      <c r="H723" s="187"/>
      <c r="I723" s="187"/>
      <c r="J723" s="187"/>
      <c r="K723" s="187"/>
      <c r="L723" s="187"/>
      <c r="M723" s="187"/>
      <c r="N723" s="187"/>
      <c r="O723" s="187"/>
      <c r="P723" s="187"/>
      <c r="Q723" s="187"/>
      <c r="R723" s="187"/>
      <c r="S723" s="187"/>
      <c r="T723" s="187"/>
      <c r="U723" s="187"/>
      <c r="V723" s="187"/>
      <c r="W723" s="187"/>
      <c r="X723" s="187"/>
      <c r="Y723" s="187"/>
      <c r="Z723" s="187"/>
    </row>
    <row r="724" ht="15.75" customHeight="1">
      <c r="A724" s="203"/>
      <c r="B724" s="187"/>
      <c r="C724" s="187"/>
      <c r="D724" s="187"/>
      <c r="E724" s="187"/>
      <c r="F724" s="187"/>
      <c r="G724" s="187"/>
      <c r="H724" s="187"/>
      <c r="I724" s="187"/>
      <c r="J724" s="187"/>
      <c r="K724" s="187"/>
      <c r="L724" s="187"/>
      <c r="M724" s="187"/>
      <c r="N724" s="187"/>
      <c r="O724" s="187"/>
      <c r="P724" s="187"/>
      <c r="Q724" s="187"/>
      <c r="R724" s="187"/>
      <c r="S724" s="187"/>
      <c r="T724" s="187"/>
      <c r="U724" s="187"/>
      <c r="V724" s="187"/>
      <c r="W724" s="187"/>
      <c r="X724" s="187"/>
      <c r="Y724" s="187"/>
      <c r="Z724" s="187"/>
    </row>
    <row r="725" ht="15.75" customHeight="1">
      <c r="A725" s="203"/>
      <c r="B725" s="187"/>
      <c r="C725" s="187"/>
      <c r="D725" s="187"/>
      <c r="E725" s="187"/>
      <c r="F725" s="187"/>
      <c r="G725" s="187"/>
      <c r="H725" s="187"/>
      <c r="I725" s="187"/>
      <c r="J725" s="187"/>
      <c r="K725" s="187"/>
      <c r="L725" s="187"/>
      <c r="M725" s="187"/>
      <c r="N725" s="187"/>
      <c r="O725" s="187"/>
      <c r="P725" s="187"/>
      <c r="Q725" s="187"/>
      <c r="R725" s="187"/>
      <c r="S725" s="187"/>
      <c r="T725" s="187"/>
      <c r="U725" s="187"/>
      <c r="V725" s="187"/>
      <c r="W725" s="187"/>
      <c r="X725" s="187"/>
      <c r="Y725" s="187"/>
      <c r="Z725" s="187"/>
    </row>
    <row r="726" ht="15.75" customHeight="1">
      <c r="A726" s="203"/>
      <c r="B726" s="187"/>
      <c r="C726" s="187"/>
      <c r="D726" s="187"/>
      <c r="E726" s="187"/>
      <c r="F726" s="187"/>
      <c r="G726" s="187"/>
      <c r="H726" s="187"/>
      <c r="I726" s="187"/>
      <c r="J726" s="187"/>
      <c r="K726" s="187"/>
      <c r="L726" s="187"/>
      <c r="M726" s="187"/>
      <c r="N726" s="187"/>
      <c r="O726" s="187"/>
      <c r="P726" s="187"/>
      <c r="Q726" s="187"/>
      <c r="R726" s="187"/>
      <c r="S726" s="187"/>
      <c r="T726" s="187"/>
      <c r="U726" s="187"/>
      <c r="V726" s="187"/>
      <c r="W726" s="187"/>
      <c r="X726" s="187"/>
      <c r="Y726" s="187"/>
      <c r="Z726" s="187"/>
    </row>
    <row r="727" ht="15.75" customHeight="1">
      <c r="A727" s="203"/>
      <c r="B727" s="187"/>
      <c r="C727" s="187"/>
      <c r="D727" s="187"/>
      <c r="E727" s="187"/>
      <c r="F727" s="187"/>
      <c r="G727" s="187"/>
      <c r="H727" s="187"/>
      <c r="I727" s="187"/>
      <c r="J727" s="187"/>
      <c r="K727" s="187"/>
      <c r="L727" s="187"/>
      <c r="M727" s="187"/>
      <c r="N727" s="187"/>
      <c r="O727" s="187"/>
      <c r="P727" s="187"/>
      <c r="Q727" s="187"/>
      <c r="R727" s="187"/>
      <c r="S727" s="187"/>
      <c r="T727" s="187"/>
      <c r="U727" s="187"/>
      <c r="V727" s="187"/>
      <c r="W727" s="187"/>
      <c r="X727" s="187"/>
      <c r="Y727" s="187"/>
      <c r="Z727" s="187"/>
    </row>
    <row r="728" ht="15.75" customHeight="1">
      <c r="A728" s="203"/>
      <c r="B728" s="187"/>
      <c r="C728" s="187"/>
      <c r="D728" s="187"/>
      <c r="E728" s="187"/>
      <c r="F728" s="187"/>
      <c r="G728" s="187"/>
      <c r="H728" s="187"/>
      <c r="I728" s="187"/>
      <c r="J728" s="187"/>
      <c r="K728" s="187"/>
      <c r="L728" s="187"/>
      <c r="M728" s="187"/>
      <c r="N728" s="187"/>
      <c r="O728" s="187"/>
      <c r="P728" s="187"/>
      <c r="Q728" s="187"/>
      <c r="R728" s="187"/>
      <c r="S728" s="187"/>
      <c r="T728" s="187"/>
      <c r="U728" s="187"/>
      <c r="V728" s="187"/>
      <c r="W728" s="187"/>
      <c r="X728" s="187"/>
      <c r="Y728" s="187"/>
      <c r="Z728" s="187"/>
    </row>
    <row r="729" ht="15.75" customHeight="1">
      <c r="A729" s="203"/>
      <c r="B729" s="187"/>
      <c r="C729" s="187"/>
      <c r="D729" s="187"/>
      <c r="E729" s="187"/>
      <c r="F729" s="187"/>
      <c r="G729" s="187"/>
      <c r="H729" s="187"/>
      <c r="I729" s="187"/>
      <c r="J729" s="187"/>
      <c r="K729" s="187"/>
      <c r="L729" s="187"/>
      <c r="M729" s="187"/>
      <c r="N729" s="187"/>
      <c r="O729" s="187"/>
      <c r="P729" s="187"/>
      <c r="Q729" s="187"/>
      <c r="R729" s="187"/>
      <c r="S729" s="187"/>
      <c r="T729" s="187"/>
      <c r="U729" s="187"/>
      <c r="V729" s="187"/>
      <c r="W729" s="187"/>
      <c r="X729" s="187"/>
      <c r="Y729" s="187"/>
      <c r="Z729" s="187"/>
    </row>
    <row r="730" ht="15.75" customHeight="1">
      <c r="A730" s="203"/>
      <c r="B730" s="187"/>
      <c r="C730" s="187"/>
      <c r="D730" s="187"/>
      <c r="E730" s="187"/>
      <c r="F730" s="187"/>
      <c r="G730" s="187"/>
      <c r="H730" s="187"/>
      <c r="I730" s="187"/>
      <c r="J730" s="187"/>
      <c r="K730" s="187"/>
      <c r="L730" s="187"/>
      <c r="M730" s="187"/>
      <c r="N730" s="187"/>
      <c r="O730" s="187"/>
      <c r="P730" s="187"/>
      <c r="Q730" s="187"/>
      <c r="R730" s="187"/>
      <c r="S730" s="187"/>
      <c r="T730" s="187"/>
      <c r="U730" s="187"/>
      <c r="V730" s="187"/>
      <c r="W730" s="187"/>
      <c r="X730" s="187"/>
      <c r="Y730" s="187"/>
      <c r="Z730" s="187"/>
    </row>
    <row r="731" ht="15.75" customHeight="1">
      <c r="A731" s="203"/>
      <c r="B731" s="187"/>
      <c r="C731" s="187"/>
      <c r="D731" s="187"/>
      <c r="E731" s="187"/>
      <c r="F731" s="187"/>
      <c r="G731" s="187"/>
      <c r="H731" s="187"/>
      <c r="I731" s="187"/>
      <c r="J731" s="187"/>
      <c r="K731" s="187"/>
      <c r="L731" s="187"/>
      <c r="M731" s="187"/>
      <c r="N731" s="187"/>
      <c r="O731" s="187"/>
      <c r="P731" s="187"/>
      <c r="Q731" s="187"/>
      <c r="R731" s="187"/>
      <c r="S731" s="187"/>
      <c r="T731" s="187"/>
      <c r="U731" s="187"/>
      <c r="V731" s="187"/>
      <c r="W731" s="187"/>
      <c r="X731" s="187"/>
      <c r="Y731" s="187"/>
      <c r="Z731" s="187"/>
    </row>
    <row r="732" ht="15.75" customHeight="1">
      <c r="A732" s="203"/>
      <c r="B732" s="187"/>
      <c r="C732" s="187"/>
      <c r="D732" s="187"/>
      <c r="E732" s="187"/>
      <c r="F732" s="187"/>
      <c r="G732" s="187"/>
      <c r="H732" s="187"/>
      <c r="I732" s="187"/>
      <c r="J732" s="187"/>
      <c r="K732" s="187"/>
      <c r="L732" s="187"/>
      <c r="M732" s="187"/>
      <c r="N732" s="187"/>
      <c r="O732" s="187"/>
      <c r="P732" s="187"/>
      <c r="Q732" s="187"/>
      <c r="R732" s="187"/>
      <c r="S732" s="187"/>
      <c r="T732" s="187"/>
      <c r="U732" s="187"/>
      <c r="V732" s="187"/>
      <c r="W732" s="187"/>
      <c r="X732" s="187"/>
      <c r="Y732" s="187"/>
      <c r="Z732" s="187"/>
    </row>
    <row r="733" ht="15.75" customHeight="1">
      <c r="A733" s="203"/>
      <c r="B733" s="187"/>
      <c r="C733" s="187"/>
      <c r="D733" s="187"/>
      <c r="E733" s="187"/>
      <c r="F733" s="187"/>
      <c r="G733" s="187"/>
      <c r="H733" s="187"/>
      <c r="I733" s="187"/>
      <c r="J733" s="187"/>
      <c r="K733" s="187"/>
      <c r="L733" s="187"/>
      <c r="M733" s="187"/>
      <c r="N733" s="187"/>
      <c r="O733" s="187"/>
      <c r="P733" s="187"/>
      <c r="Q733" s="187"/>
      <c r="R733" s="187"/>
      <c r="S733" s="187"/>
      <c r="T733" s="187"/>
      <c r="U733" s="187"/>
      <c r="V733" s="187"/>
      <c r="W733" s="187"/>
      <c r="X733" s="187"/>
      <c r="Y733" s="187"/>
      <c r="Z733" s="187"/>
    </row>
    <row r="734" ht="15.75" customHeight="1">
      <c r="A734" s="203"/>
      <c r="B734" s="187"/>
      <c r="C734" s="187"/>
      <c r="D734" s="187"/>
      <c r="E734" s="187"/>
      <c r="F734" s="187"/>
      <c r="G734" s="187"/>
      <c r="H734" s="187"/>
      <c r="I734" s="187"/>
      <c r="J734" s="187"/>
      <c r="K734" s="187"/>
      <c r="L734" s="187"/>
      <c r="M734" s="187"/>
      <c r="N734" s="187"/>
      <c r="O734" s="187"/>
      <c r="P734" s="187"/>
      <c r="Q734" s="187"/>
      <c r="R734" s="187"/>
      <c r="S734" s="187"/>
      <c r="T734" s="187"/>
      <c r="U734" s="187"/>
      <c r="V734" s="187"/>
      <c r="W734" s="187"/>
      <c r="X734" s="187"/>
      <c r="Y734" s="187"/>
      <c r="Z734" s="187"/>
    </row>
    <row r="735" ht="15.75" customHeight="1">
      <c r="A735" s="203"/>
      <c r="B735" s="187"/>
      <c r="C735" s="187"/>
      <c r="D735" s="187"/>
      <c r="E735" s="187"/>
      <c r="F735" s="187"/>
      <c r="G735" s="187"/>
      <c r="H735" s="187"/>
      <c r="I735" s="187"/>
      <c r="J735" s="187"/>
      <c r="K735" s="187"/>
      <c r="L735" s="187"/>
      <c r="M735" s="187"/>
      <c r="N735" s="187"/>
      <c r="O735" s="187"/>
      <c r="P735" s="187"/>
      <c r="Q735" s="187"/>
      <c r="R735" s="187"/>
      <c r="S735" s="187"/>
      <c r="T735" s="187"/>
      <c r="U735" s="187"/>
      <c r="V735" s="187"/>
      <c r="W735" s="187"/>
      <c r="X735" s="187"/>
      <c r="Y735" s="187"/>
      <c r="Z735" s="187"/>
    </row>
    <row r="736" ht="15.75" customHeight="1">
      <c r="A736" s="203"/>
      <c r="B736" s="187"/>
      <c r="C736" s="187"/>
      <c r="D736" s="187"/>
      <c r="E736" s="187"/>
      <c r="F736" s="187"/>
      <c r="G736" s="187"/>
      <c r="H736" s="187"/>
      <c r="I736" s="187"/>
      <c r="J736" s="187"/>
      <c r="K736" s="187"/>
      <c r="L736" s="187"/>
      <c r="M736" s="187"/>
      <c r="N736" s="187"/>
      <c r="O736" s="187"/>
      <c r="P736" s="187"/>
      <c r="Q736" s="187"/>
      <c r="R736" s="187"/>
      <c r="S736" s="187"/>
      <c r="T736" s="187"/>
      <c r="U736" s="187"/>
      <c r="V736" s="187"/>
      <c r="W736" s="187"/>
      <c r="X736" s="187"/>
      <c r="Y736" s="187"/>
      <c r="Z736" s="187"/>
    </row>
    <row r="737" ht="15.75" customHeight="1">
      <c r="A737" s="203"/>
      <c r="B737" s="187"/>
      <c r="C737" s="187"/>
      <c r="D737" s="187"/>
      <c r="E737" s="187"/>
      <c r="F737" s="187"/>
      <c r="G737" s="187"/>
      <c r="H737" s="187"/>
      <c r="I737" s="187"/>
      <c r="J737" s="187"/>
      <c r="K737" s="187"/>
      <c r="L737" s="187"/>
      <c r="M737" s="187"/>
      <c r="N737" s="187"/>
      <c r="O737" s="187"/>
      <c r="P737" s="187"/>
      <c r="Q737" s="187"/>
      <c r="R737" s="187"/>
      <c r="S737" s="187"/>
      <c r="T737" s="187"/>
      <c r="U737" s="187"/>
      <c r="V737" s="187"/>
      <c r="W737" s="187"/>
      <c r="X737" s="187"/>
      <c r="Y737" s="187"/>
      <c r="Z737" s="187"/>
    </row>
    <row r="738" ht="15.75" customHeight="1">
      <c r="A738" s="203"/>
      <c r="B738" s="187"/>
      <c r="C738" s="187"/>
      <c r="D738" s="187"/>
      <c r="E738" s="187"/>
      <c r="F738" s="187"/>
      <c r="G738" s="187"/>
      <c r="H738" s="187"/>
      <c r="I738" s="187"/>
      <c r="J738" s="187"/>
      <c r="K738" s="187"/>
      <c r="L738" s="187"/>
      <c r="M738" s="187"/>
      <c r="N738" s="187"/>
      <c r="O738" s="187"/>
      <c r="P738" s="187"/>
      <c r="Q738" s="187"/>
      <c r="R738" s="187"/>
      <c r="S738" s="187"/>
      <c r="T738" s="187"/>
      <c r="U738" s="187"/>
      <c r="V738" s="187"/>
      <c r="W738" s="187"/>
      <c r="X738" s="187"/>
      <c r="Y738" s="187"/>
      <c r="Z738" s="187"/>
    </row>
    <row r="739" ht="15.75" customHeight="1">
      <c r="A739" s="203"/>
      <c r="B739" s="187"/>
      <c r="C739" s="187"/>
      <c r="D739" s="187"/>
      <c r="E739" s="187"/>
      <c r="F739" s="187"/>
      <c r="G739" s="187"/>
      <c r="H739" s="187"/>
      <c r="I739" s="187"/>
      <c r="J739" s="187"/>
      <c r="K739" s="187"/>
      <c r="L739" s="187"/>
      <c r="M739" s="187"/>
      <c r="N739" s="187"/>
      <c r="O739" s="187"/>
      <c r="P739" s="187"/>
      <c r="Q739" s="187"/>
      <c r="R739" s="187"/>
      <c r="S739" s="187"/>
      <c r="T739" s="187"/>
      <c r="U739" s="187"/>
      <c r="V739" s="187"/>
      <c r="W739" s="187"/>
      <c r="X739" s="187"/>
      <c r="Y739" s="187"/>
      <c r="Z739" s="187"/>
    </row>
    <row r="740" ht="15.75" customHeight="1">
      <c r="A740" s="203"/>
      <c r="B740" s="187"/>
      <c r="C740" s="187"/>
      <c r="D740" s="187"/>
      <c r="E740" s="187"/>
      <c r="F740" s="187"/>
      <c r="G740" s="187"/>
      <c r="H740" s="187"/>
      <c r="I740" s="187"/>
      <c r="J740" s="187"/>
      <c r="K740" s="187"/>
      <c r="L740" s="187"/>
      <c r="M740" s="187"/>
      <c r="N740" s="187"/>
      <c r="O740" s="187"/>
      <c r="P740" s="187"/>
      <c r="Q740" s="187"/>
      <c r="R740" s="187"/>
      <c r="S740" s="187"/>
      <c r="T740" s="187"/>
      <c r="U740" s="187"/>
      <c r="V740" s="187"/>
      <c r="W740" s="187"/>
      <c r="X740" s="187"/>
      <c r="Y740" s="187"/>
      <c r="Z740" s="187"/>
    </row>
    <row r="741" ht="15.75" customHeight="1">
      <c r="A741" s="203"/>
      <c r="B741" s="187"/>
      <c r="C741" s="187"/>
      <c r="D741" s="187"/>
      <c r="E741" s="187"/>
      <c r="F741" s="187"/>
      <c r="G741" s="187"/>
      <c r="H741" s="187"/>
      <c r="I741" s="187"/>
      <c r="J741" s="187"/>
      <c r="K741" s="187"/>
      <c r="L741" s="187"/>
      <c r="M741" s="187"/>
      <c r="N741" s="187"/>
      <c r="O741" s="187"/>
      <c r="P741" s="187"/>
      <c r="Q741" s="187"/>
      <c r="R741" s="187"/>
      <c r="S741" s="187"/>
      <c r="T741" s="187"/>
      <c r="U741" s="187"/>
      <c r="V741" s="187"/>
      <c r="W741" s="187"/>
      <c r="X741" s="187"/>
      <c r="Y741" s="187"/>
      <c r="Z741" s="187"/>
    </row>
    <row r="742" ht="15.75" customHeight="1">
      <c r="A742" s="203"/>
      <c r="B742" s="187"/>
      <c r="C742" s="187"/>
      <c r="D742" s="187"/>
      <c r="E742" s="187"/>
      <c r="F742" s="187"/>
      <c r="G742" s="187"/>
      <c r="H742" s="187"/>
      <c r="I742" s="187"/>
      <c r="J742" s="187"/>
      <c r="K742" s="187"/>
      <c r="L742" s="187"/>
      <c r="M742" s="187"/>
      <c r="N742" s="187"/>
      <c r="O742" s="187"/>
      <c r="P742" s="187"/>
      <c r="Q742" s="187"/>
      <c r="R742" s="187"/>
      <c r="S742" s="187"/>
      <c r="T742" s="187"/>
      <c r="U742" s="187"/>
      <c r="V742" s="187"/>
      <c r="W742" s="187"/>
      <c r="X742" s="187"/>
      <c r="Y742" s="187"/>
      <c r="Z742" s="187"/>
    </row>
    <row r="743" ht="15.75" customHeight="1">
      <c r="A743" s="203"/>
      <c r="B743" s="187"/>
      <c r="C743" s="187"/>
      <c r="D743" s="187"/>
      <c r="E743" s="187"/>
      <c r="F743" s="187"/>
      <c r="G743" s="187"/>
      <c r="H743" s="187"/>
      <c r="I743" s="187"/>
      <c r="J743" s="187"/>
      <c r="K743" s="187"/>
      <c r="L743" s="187"/>
      <c r="M743" s="187"/>
      <c r="N743" s="187"/>
      <c r="O743" s="187"/>
      <c r="P743" s="187"/>
      <c r="Q743" s="187"/>
      <c r="R743" s="187"/>
      <c r="S743" s="187"/>
      <c r="T743" s="187"/>
      <c r="U743" s="187"/>
      <c r="V743" s="187"/>
      <c r="W743" s="187"/>
      <c r="X743" s="187"/>
      <c r="Y743" s="187"/>
      <c r="Z743" s="187"/>
    </row>
    <row r="744" ht="15.75" customHeight="1">
      <c r="A744" s="203"/>
      <c r="B744" s="187"/>
      <c r="C744" s="187"/>
      <c r="D744" s="187"/>
      <c r="E744" s="187"/>
      <c r="F744" s="187"/>
      <c r="G744" s="187"/>
      <c r="H744" s="187"/>
      <c r="I744" s="187"/>
      <c r="J744" s="187"/>
      <c r="K744" s="187"/>
      <c r="L744" s="187"/>
      <c r="M744" s="187"/>
      <c r="N744" s="187"/>
      <c r="O744" s="187"/>
      <c r="P744" s="187"/>
      <c r="Q744" s="187"/>
      <c r="R744" s="187"/>
      <c r="S744" s="187"/>
      <c r="T744" s="187"/>
      <c r="U744" s="187"/>
      <c r="V744" s="187"/>
      <c r="W744" s="187"/>
      <c r="X744" s="187"/>
      <c r="Y744" s="187"/>
      <c r="Z744" s="187"/>
    </row>
    <row r="745" ht="15.75" customHeight="1">
      <c r="A745" s="203"/>
      <c r="B745" s="187"/>
      <c r="C745" s="187"/>
      <c r="D745" s="187"/>
      <c r="E745" s="187"/>
      <c r="F745" s="187"/>
      <c r="G745" s="187"/>
      <c r="H745" s="187"/>
      <c r="I745" s="187"/>
      <c r="J745" s="187"/>
      <c r="K745" s="187"/>
      <c r="L745" s="187"/>
      <c r="M745" s="187"/>
      <c r="N745" s="187"/>
      <c r="O745" s="187"/>
      <c r="P745" s="187"/>
      <c r="Q745" s="187"/>
      <c r="R745" s="187"/>
      <c r="S745" s="187"/>
      <c r="T745" s="187"/>
      <c r="U745" s="187"/>
      <c r="V745" s="187"/>
      <c r="W745" s="187"/>
      <c r="X745" s="187"/>
      <c r="Y745" s="187"/>
      <c r="Z745" s="187"/>
    </row>
    <row r="746" ht="15.75" customHeight="1">
      <c r="A746" s="203"/>
      <c r="B746" s="187"/>
      <c r="C746" s="187"/>
      <c r="D746" s="187"/>
      <c r="E746" s="187"/>
      <c r="F746" s="187"/>
      <c r="G746" s="187"/>
      <c r="H746" s="187"/>
      <c r="I746" s="187"/>
      <c r="J746" s="187"/>
      <c r="K746" s="187"/>
      <c r="L746" s="187"/>
      <c r="M746" s="187"/>
      <c r="N746" s="187"/>
      <c r="O746" s="187"/>
      <c r="P746" s="187"/>
      <c r="Q746" s="187"/>
      <c r="R746" s="187"/>
      <c r="S746" s="187"/>
      <c r="T746" s="187"/>
      <c r="U746" s="187"/>
      <c r="V746" s="187"/>
      <c r="W746" s="187"/>
      <c r="X746" s="187"/>
      <c r="Y746" s="187"/>
      <c r="Z746" s="187"/>
    </row>
    <row r="747" ht="15.75" customHeight="1">
      <c r="A747" s="203"/>
      <c r="B747" s="187"/>
      <c r="C747" s="187"/>
      <c r="D747" s="187"/>
      <c r="E747" s="187"/>
      <c r="F747" s="187"/>
      <c r="G747" s="187"/>
      <c r="H747" s="187"/>
      <c r="I747" s="187"/>
      <c r="J747" s="187"/>
      <c r="K747" s="187"/>
      <c r="L747" s="187"/>
      <c r="M747" s="187"/>
      <c r="N747" s="187"/>
      <c r="O747" s="187"/>
      <c r="P747" s="187"/>
      <c r="Q747" s="187"/>
      <c r="R747" s="187"/>
      <c r="S747" s="187"/>
      <c r="T747" s="187"/>
      <c r="U747" s="187"/>
      <c r="V747" s="187"/>
      <c r="W747" s="187"/>
      <c r="X747" s="187"/>
      <c r="Y747" s="187"/>
      <c r="Z747" s="187"/>
    </row>
    <row r="748" ht="15.75" customHeight="1">
      <c r="A748" s="203"/>
      <c r="B748" s="187"/>
      <c r="C748" s="187"/>
      <c r="D748" s="187"/>
      <c r="E748" s="187"/>
      <c r="F748" s="187"/>
      <c r="G748" s="187"/>
      <c r="H748" s="187"/>
      <c r="I748" s="187"/>
      <c r="J748" s="187"/>
      <c r="K748" s="187"/>
      <c r="L748" s="187"/>
      <c r="M748" s="187"/>
      <c r="N748" s="187"/>
      <c r="O748" s="187"/>
      <c r="P748" s="187"/>
      <c r="Q748" s="187"/>
      <c r="R748" s="187"/>
      <c r="S748" s="187"/>
      <c r="T748" s="187"/>
      <c r="U748" s="187"/>
      <c r="V748" s="187"/>
      <c r="W748" s="187"/>
      <c r="X748" s="187"/>
      <c r="Y748" s="187"/>
      <c r="Z748" s="187"/>
    </row>
    <row r="749" ht="15.75" customHeight="1">
      <c r="A749" s="203"/>
      <c r="B749" s="187"/>
      <c r="C749" s="187"/>
      <c r="D749" s="187"/>
      <c r="E749" s="187"/>
      <c r="F749" s="187"/>
      <c r="G749" s="187"/>
      <c r="H749" s="187"/>
      <c r="I749" s="187"/>
      <c r="J749" s="187"/>
      <c r="K749" s="187"/>
      <c r="L749" s="187"/>
      <c r="M749" s="187"/>
      <c r="N749" s="187"/>
      <c r="O749" s="187"/>
      <c r="P749" s="187"/>
      <c r="Q749" s="187"/>
      <c r="R749" s="187"/>
      <c r="S749" s="187"/>
      <c r="T749" s="187"/>
      <c r="U749" s="187"/>
      <c r="V749" s="187"/>
      <c r="W749" s="187"/>
      <c r="X749" s="187"/>
      <c r="Y749" s="187"/>
      <c r="Z749" s="187"/>
    </row>
    <row r="750" ht="15.75" customHeight="1">
      <c r="A750" s="203"/>
      <c r="B750" s="187"/>
      <c r="C750" s="187"/>
      <c r="D750" s="187"/>
      <c r="E750" s="187"/>
      <c r="F750" s="187"/>
      <c r="G750" s="187"/>
      <c r="H750" s="187"/>
      <c r="I750" s="187"/>
      <c r="J750" s="187"/>
      <c r="K750" s="187"/>
      <c r="L750" s="187"/>
      <c r="M750" s="187"/>
      <c r="N750" s="187"/>
      <c r="O750" s="187"/>
      <c r="P750" s="187"/>
      <c r="Q750" s="187"/>
      <c r="R750" s="187"/>
      <c r="S750" s="187"/>
      <c r="T750" s="187"/>
      <c r="U750" s="187"/>
      <c r="V750" s="187"/>
      <c r="W750" s="187"/>
      <c r="X750" s="187"/>
      <c r="Y750" s="187"/>
      <c r="Z750" s="187"/>
    </row>
    <row r="751" ht="15.75" customHeight="1">
      <c r="A751" s="203"/>
      <c r="B751" s="187"/>
      <c r="C751" s="187"/>
      <c r="D751" s="187"/>
      <c r="E751" s="187"/>
      <c r="F751" s="187"/>
      <c r="G751" s="187"/>
      <c r="H751" s="187"/>
      <c r="I751" s="187"/>
      <c r="J751" s="187"/>
      <c r="K751" s="187"/>
      <c r="L751" s="187"/>
      <c r="M751" s="187"/>
      <c r="N751" s="187"/>
      <c r="O751" s="187"/>
      <c r="P751" s="187"/>
      <c r="Q751" s="187"/>
      <c r="R751" s="187"/>
      <c r="S751" s="187"/>
      <c r="T751" s="187"/>
      <c r="U751" s="187"/>
      <c r="V751" s="187"/>
      <c r="W751" s="187"/>
      <c r="X751" s="187"/>
      <c r="Y751" s="187"/>
      <c r="Z751" s="187"/>
    </row>
    <row r="752" ht="15.75" customHeight="1">
      <c r="A752" s="203"/>
      <c r="B752" s="187"/>
      <c r="C752" s="187"/>
      <c r="D752" s="187"/>
      <c r="E752" s="187"/>
      <c r="F752" s="187"/>
      <c r="G752" s="187"/>
      <c r="H752" s="187"/>
      <c r="I752" s="187"/>
      <c r="J752" s="187"/>
      <c r="K752" s="187"/>
      <c r="L752" s="187"/>
      <c r="M752" s="187"/>
      <c r="N752" s="187"/>
      <c r="O752" s="187"/>
      <c r="P752" s="187"/>
      <c r="Q752" s="187"/>
      <c r="R752" s="187"/>
      <c r="S752" s="187"/>
      <c r="T752" s="187"/>
      <c r="U752" s="187"/>
      <c r="V752" s="187"/>
      <c r="W752" s="187"/>
      <c r="X752" s="187"/>
      <c r="Y752" s="187"/>
      <c r="Z752" s="187"/>
    </row>
    <row r="753" ht="15.75" customHeight="1">
      <c r="A753" s="203"/>
      <c r="B753" s="187"/>
      <c r="C753" s="187"/>
      <c r="D753" s="187"/>
      <c r="E753" s="187"/>
      <c r="F753" s="187"/>
      <c r="G753" s="187"/>
      <c r="H753" s="187"/>
      <c r="I753" s="187"/>
      <c r="J753" s="187"/>
      <c r="K753" s="187"/>
      <c r="L753" s="187"/>
      <c r="M753" s="187"/>
      <c r="N753" s="187"/>
      <c r="O753" s="187"/>
      <c r="P753" s="187"/>
      <c r="Q753" s="187"/>
      <c r="R753" s="187"/>
      <c r="S753" s="187"/>
      <c r="T753" s="187"/>
      <c r="U753" s="187"/>
      <c r="V753" s="187"/>
      <c r="W753" s="187"/>
      <c r="X753" s="187"/>
      <c r="Y753" s="187"/>
      <c r="Z753" s="187"/>
    </row>
    <row r="754" ht="15.75" customHeight="1">
      <c r="A754" s="203"/>
      <c r="B754" s="187"/>
      <c r="C754" s="187"/>
      <c r="D754" s="187"/>
      <c r="E754" s="187"/>
      <c r="F754" s="187"/>
      <c r="G754" s="187"/>
      <c r="H754" s="187"/>
      <c r="I754" s="187"/>
      <c r="J754" s="187"/>
      <c r="K754" s="187"/>
      <c r="L754" s="187"/>
      <c r="M754" s="187"/>
      <c r="N754" s="187"/>
      <c r="O754" s="187"/>
      <c r="P754" s="187"/>
      <c r="Q754" s="187"/>
      <c r="R754" s="187"/>
      <c r="S754" s="187"/>
      <c r="T754" s="187"/>
      <c r="U754" s="187"/>
      <c r="V754" s="187"/>
      <c r="W754" s="187"/>
      <c r="X754" s="187"/>
      <c r="Y754" s="187"/>
      <c r="Z754" s="187"/>
    </row>
    <row r="755" ht="15.75" customHeight="1">
      <c r="A755" s="203"/>
      <c r="B755" s="187"/>
      <c r="C755" s="187"/>
      <c r="D755" s="187"/>
      <c r="E755" s="187"/>
      <c r="F755" s="187"/>
      <c r="G755" s="187"/>
      <c r="H755" s="187"/>
      <c r="I755" s="187"/>
      <c r="J755" s="187"/>
      <c r="K755" s="187"/>
      <c r="L755" s="187"/>
      <c r="M755" s="187"/>
      <c r="N755" s="187"/>
      <c r="O755" s="187"/>
      <c r="P755" s="187"/>
      <c r="Q755" s="187"/>
      <c r="R755" s="187"/>
      <c r="S755" s="187"/>
      <c r="T755" s="187"/>
      <c r="U755" s="187"/>
      <c r="V755" s="187"/>
      <c r="W755" s="187"/>
      <c r="X755" s="187"/>
      <c r="Y755" s="187"/>
      <c r="Z755" s="187"/>
    </row>
    <row r="756" ht="15.75" customHeight="1">
      <c r="A756" s="203"/>
      <c r="B756" s="187"/>
      <c r="C756" s="187"/>
      <c r="D756" s="187"/>
      <c r="E756" s="187"/>
      <c r="F756" s="187"/>
      <c r="G756" s="187"/>
      <c r="H756" s="187"/>
      <c r="I756" s="187"/>
      <c r="J756" s="187"/>
      <c r="K756" s="187"/>
      <c r="L756" s="187"/>
      <c r="M756" s="187"/>
      <c r="N756" s="187"/>
      <c r="O756" s="187"/>
      <c r="P756" s="187"/>
      <c r="Q756" s="187"/>
      <c r="R756" s="187"/>
      <c r="S756" s="187"/>
      <c r="T756" s="187"/>
      <c r="U756" s="187"/>
      <c r="V756" s="187"/>
      <c r="W756" s="187"/>
      <c r="X756" s="187"/>
      <c r="Y756" s="187"/>
      <c r="Z756" s="187"/>
    </row>
    <row r="757" ht="15.75" customHeight="1">
      <c r="A757" s="203"/>
      <c r="B757" s="187"/>
      <c r="C757" s="187"/>
      <c r="D757" s="187"/>
      <c r="E757" s="187"/>
      <c r="F757" s="187"/>
      <c r="G757" s="187"/>
      <c r="H757" s="187"/>
      <c r="I757" s="187"/>
      <c r="J757" s="187"/>
      <c r="K757" s="187"/>
      <c r="L757" s="187"/>
      <c r="M757" s="187"/>
      <c r="N757" s="187"/>
      <c r="O757" s="187"/>
      <c r="P757" s="187"/>
      <c r="Q757" s="187"/>
      <c r="R757" s="187"/>
      <c r="S757" s="187"/>
      <c r="T757" s="187"/>
      <c r="U757" s="187"/>
      <c r="V757" s="187"/>
      <c r="W757" s="187"/>
      <c r="X757" s="187"/>
      <c r="Y757" s="187"/>
      <c r="Z757" s="187"/>
    </row>
    <row r="758" ht="15.75" customHeight="1">
      <c r="A758" s="203"/>
      <c r="B758" s="187"/>
      <c r="C758" s="187"/>
      <c r="D758" s="187"/>
      <c r="E758" s="187"/>
      <c r="F758" s="187"/>
      <c r="G758" s="187"/>
      <c r="H758" s="187"/>
      <c r="I758" s="187"/>
      <c r="J758" s="187"/>
      <c r="K758" s="187"/>
      <c r="L758" s="187"/>
      <c r="M758" s="187"/>
      <c r="N758" s="187"/>
      <c r="O758" s="187"/>
      <c r="P758" s="187"/>
      <c r="Q758" s="187"/>
      <c r="R758" s="187"/>
      <c r="S758" s="187"/>
      <c r="T758" s="187"/>
      <c r="U758" s="187"/>
      <c r="V758" s="187"/>
      <c r="W758" s="187"/>
      <c r="X758" s="187"/>
      <c r="Y758" s="187"/>
      <c r="Z758" s="187"/>
    </row>
    <row r="759" ht="15.75" customHeight="1">
      <c r="A759" s="203"/>
      <c r="B759" s="187"/>
      <c r="C759" s="187"/>
      <c r="D759" s="187"/>
      <c r="E759" s="187"/>
      <c r="F759" s="187"/>
      <c r="G759" s="187"/>
      <c r="H759" s="187"/>
      <c r="I759" s="187"/>
      <c r="J759" s="187"/>
      <c r="K759" s="187"/>
      <c r="L759" s="187"/>
      <c r="M759" s="187"/>
      <c r="N759" s="187"/>
      <c r="O759" s="187"/>
      <c r="P759" s="187"/>
      <c r="Q759" s="187"/>
      <c r="R759" s="187"/>
      <c r="S759" s="187"/>
      <c r="T759" s="187"/>
      <c r="U759" s="187"/>
      <c r="V759" s="187"/>
      <c r="W759" s="187"/>
      <c r="X759" s="187"/>
      <c r="Y759" s="187"/>
      <c r="Z759" s="187"/>
    </row>
    <row r="760" ht="15.75" customHeight="1">
      <c r="A760" s="203"/>
      <c r="B760" s="187"/>
      <c r="C760" s="187"/>
      <c r="D760" s="187"/>
      <c r="E760" s="187"/>
      <c r="F760" s="187"/>
      <c r="G760" s="187"/>
      <c r="H760" s="187"/>
      <c r="I760" s="187"/>
      <c r="J760" s="187"/>
      <c r="K760" s="187"/>
      <c r="L760" s="187"/>
      <c r="M760" s="187"/>
      <c r="N760" s="187"/>
      <c r="O760" s="187"/>
      <c r="P760" s="187"/>
      <c r="Q760" s="187"/>
      <c r="R760" s="187"/>
      <c r="S760" s="187"/>
      <c r="T760" s="187"/>
      <c r="U760" s="187"/>
      <c r="V760" s="187"/>
      <c r="W760" s="187"/>
      <c r="X760" s="187"/>
      <c r="Y760" s="187"/>
      <c r="Z760" s="187"/>
    </row>
    <row r="761" ht="15.75" customHeight="1">
      <c r="A761" s="203"/>
      <c r="B761" s="187"/>
      <c r="C761" s="187"/>
      <c r="D761" s="187"/>
      <c r="E761" s="187"/>
      <c r="F761" s="187"/>
      <c r="G761" s="187"/>
      <c r="H761" s="187"/>
      <c r="I761" s="187"/>
      <c r="J761" s="187"/>
      <c r="K761" s="187"/>
      <c r="L761" s="187"/>
      <c r="M761" s="187"/>
      <c r="N761" s="187"/>
      <c r="O761" s="187"/>
      <c r="P761" s="187"/>
      <c r="Q761" s="187"/>
      <c r="R761" s="187"/>
      <c r="S761" s="187"/>
      <c r="T761" s="187"/>
      <c r="U761" s="187"/>
      <c r="V761" s="187"/>
      <c r="W761" s="187"/>
      <c r="X761" s="187"/>
      <c r="Y761" s="187"/>
      <c r="Z761" s="187"/>
    </row>
    <row r="762" ht="15.75" customHeight="1">
      <c r="A762" s="203"/>
      <c r="B762" s="187"/>
      <c r="C762" s="187"/>
      <c r="D762" s="187"/>
      <c r="E762" s="187"/>
      <c r="F762" s="187"/>
      <c r="G762" s="187"/>
      <c r="H762" s="187"/>
      <c r="I762" s="187"/>
      <c r="J762" s="187"/>
      <c r="K762" s="187"/>
      <c r="L762" s="187"/>
      <c r="M762" s="187"/>
      <c r="N762" s="187"/>
      <c r="O762" s="187"/>
      <c r="P762" s="187"/>
      <c r="Q762" s="187"/>
      <c r="R762" s="187"/>
      <c r="S762" s="187"/>
      <c r="T762" s="187"/>
      <c r="U762" s="187"/>
      <c r="V762" s="187"/>
      <c r="W762" s="187"/>
      <c r="X762" s="187"/>
      <c r="Y762" s="187"/>
      <c r="Z762" s="187"/>
    </row>
    <row r="763" ht="15.75" customHeight="1">
      <c r="A763" s="203"/>
      <c r="B763" s="187"/>
      <c r="C763" s="187"/>
      <c r="D763" s="187"/>
      <c r="E763" s="187"/>
      <c r="F763" s="187"/>
      <c r="G763" s="187"/>
      <c r="H763" s="187"/>
      <c r="I763" s="187"/>
      <c r="J763" s="187"/>
      <c r="K763" s="187"/>
      <c r="L763" s="187"/>
      <c r="M763" s="187"/>
      <c r="N763" s="187"/>
      <c r="O763" s="187"/>
      <c r="P763" s="187"/>
      <c r="Q763" s="187"/>
      <c r="R763" s="187"/>
      <c r="S763" s="187"/>
      <c r="T763" s="187"/>
      <c r="U763" s="187"/>
      <c r="V763" s="187"/>
      <c r="W763" s="187"/>
      <c r="X763" s="187"/>
      <c r="Y763" s="187"/>
      <c r="Z763" s="187"/>
    </row>
    <row r="764" ht="15.75" customHeight="1">
      <c r="A764" s="203"/>
      <c r="B764" s="187"/>
      <c r="C764" s="187"/>
      <c r="D764" s="187"/>
      <c r="E764" s="187"/>
      <c r="F764" s="187"/>
      <c r="G764" s="187"/>
      <c r="H764" s="187"/>
      <c r="I764" s="187"/>
      <c r="J764" s="187"/>
      <c r="K764" s="187"/>
      <c r="L764" s="187"/>
      <c r="M764" s="187"/>
      <c r="N764" s="187"/>
      <c r="O764" s="187"/>
      <c r="P764" s="187"/>
      <c r="Q764" s="187"/>
      <c r="R764" s="187"/>
      <c r="S764" s="187"/>
      <c r="T764" s="187"/>
      <c r="U764" s="187"/>
      <c r="V764" s="187"/>
      <c r="W764" s="187"/>
      <c r="X764" s="187"/>
      <c r="Y764" s="187"/>
      <c r="Z764" s="187"/>
    </row>
    <row r="765" ht="15.75" customHeight="1">
      <c r="A765" s="203"/>
      <c r="B765" s="187"/>
      <c r="C765" s="187"/>
      <c r="D765" s="187"/>
      <c r="E765" s="187"/>
      <c r="F765" s="187"/>
      <c r="G765" s="187"/>
      <c r="H765" s="187"/>
      <c r="I765" s="187"/>
      <c r="J765" s="187"/>
      <c r="K765" s="187"/>
      <c r="L765" s="187"/>
      <c r="M765" s="187"/>
      <c r="N765" s="187"/>
      <c r="O765" s="187"/>
      <c r="P765" s="187"/>
      <c r="Q765" s="187"/>
      <c r="R765" s="187"/>
      <c r="S765" s="187"/>
      <c r="T765" s="187"/>
      <c r="U765" s="187"/>
      <c r="V765" s="187"/>
      <c r="W765" s="187"/>
      <c r="X765" s="187"/>
      <c r="Y765" s="187"/>
      <c r="Z765" s="187"/>
    </row>
    <row r="766" ht="15.75" customHeight="1">
      <c r="A766" s="203"/>
      <c r="B766" s="187"/>
      <c r="C766" s="187"/>
      <c r="D766" s="187"/>
      <c r="E766" s="187"/>
      <c r="F766" s="187"/>
      <c r="G766" s="187"/>
      <c r="H766" s="187"/>
      <c r="I766" s="187"/>
      <c r="J766" s="187"/>
      <c r="K766" s="187"/>
      <c r="L766" s="187"/>
      <c r="M766" s="187"/>
      <c r="N766" s="187"/>
      <c r="O766" s="187"/>
      <c r="P766" s="187"/>
      <c r="Q766" s="187"/>
      <c r="R766" s="187"/>
      <c r="S766" s="187"/>
      <c r="T766" s="187"/>
      <c r="U766" s="187"/>
      <c r="V766" s="187"/>
      <c r="W766" s="187"/>
      <c r="X766" s="187"/>
      <c r="Y766" s="187"/>
      <c r="Z766" s="187"/>
    </row>
    <row r="767" ht="15.75" customHeight="1">
      <c r="A767" s="203"/>
      <c r="B767" s="187"/>
      <c r="C767" s="187"/>
      <c r="D767" s="187"/>
      <c r="E767" s="187"/>
      <c r="F767" s="187"/>
      <c r="G767" s="187"/>
      <c r="H767" s="187"/>
      <c r="I767" s="187"/>
      <c r="J767" s="187"/>
      <c r="K767" s="187"/>
      <c r="L767" s="187"/>
      <c r="M767" s="187"/>
      <c r="N767" s="187"/>
      <c r="O767" s="187"/>
      <c r="P767" s="187"/>
      <c r="Q767" s="187"/>
      <c r="R767" s="187"/>
      <c r="S767" s="187"/>
      <c r="T767" s="187"/>
      <c r="U767" s="187"/>
      <c r="V767" s="187"/>
      <c r="W767" s="187"/>
      <c r="X767" s="187"/>
      <c r="Y767" s="187"/>
      <c r="Z767" s="187"/>
    </row>
    <row r="768" ht="15.75" customHeight="1">
      <c r="A768" s="203"/>
      <c r="B768" s="187"/>
      <c r="C768" s="187"/>
      <c r="D768" s="187"/>
      <c r="E768" s="187"/>
      <c r="F768" s="187"/>
      <c r="G768" s="187"/>
      <c r="H768" s="187"/>
      <c r="I768" s="187"/>
      <c r="J768" s="187"/>
      <c r="K768" s="187"/>
      <c r="L768" s="187"/>
      <c r="M768" s="187"/>
      <c r="N768" s="187"/>
      <c r="O768" s="187"/>
      <c r="P768" s="187"/>
      <c r="Q768" s="187"/>
      <c r="R768" s="187"/>
      <c r="S768" s="187"/>
      <c r="T768" s="187"/>
      <c r="U768" s="187"/>
      <c r="V768" s="187"/>
      <c r="W768" s="187"/>
      <c r="X768" s="187"/>
      <c r="Y768" s="187"/>
      <c r="Z768" s="187"/>
    </row>
    <row r="769" ht="15.75" customHeight="1">
      <c r="A769" s="203"/>
      <c r="B769" s="187"/>
      <c r="C769" s="187"/>
      <c r="D769" s="187"/>
      <c r="E769" s="187"/>
      <c r="F769" s="187"/>
      <c r="G769" s="187"/>
      <c r="H769" s="187"/>
      <c r="I769" s="187"/>
      <c r="J769" s="187"/>
      <c r="K769" s="187"/>
      <c r="L769" s="187"/>
      <c r="M769" s="187"/>
      <c r="N769" s="187"/>
      <c r="O769" s="187"/>
      <c r="P769" s="187"/>
      <c r="Q769" s="187"/>
      <c r="R769" s="187"/>
      <c r="S769" s="187"/>
      <c r="T769" s="187"/>
      <c r="U769" s="187"/>
      <c r="V769" s="187"/>
      <c r="W769" s="187"/>
      <c r="X769" s="187"/>
      <c r="Y769" s="187"/>
      <c r="Z769" s="187"/>
    </row>
    <row r="770" ht="15.75" customHeight="1">
      <c r="A770" s="203"/>
      <c r="B770" s="187"/>
      <c r="C770" s="187"/>
      <c r="D770" s="187"/>
      <c r="E770" s="187"/>
      <c r="F770" s="187"/>
      <c r="G770" s="187"/>
      <c r="H770" s="187"/>
      <c r="I770" s="187"/>
      <c r="J770" s="187"/>
      <c r="K770" s="187"/>
      <c r="L770" s="187"/>
      <c r="M770" s="187"/>
      <c r="N770" s="187"/>
      <c r="O770" s="187"/>
      <c r="P770" s="187"/>
      <c r="Q770" s="187"/>
      <c r="R770" s="187"/>
      <c r="S770" s="187"/>
      <c r="T770" s="187"/>
      <c r="U770" s="187"/>
      <c r="V770" s="187"/>
      <c r="W770" s="187"/>
      <c r="X770" s="187"/>
      <c r="Y770" s="187"/>
      <c r="Z770" s="187"/>
    </row>
    <row r="771" ht="15.75" customHeight="1">
      <c r="A771" s="203"/>
      <c r="B771" s="187"/>
      <c r="C771" s="187"/>
      <c r="D771" s="187"/>
      <c r="E771" s="187"/>
      <c r="F771" s="187"/>
      <c r="G771" s="187"/>
      <c r="H771" s="187"/>
      <c r="I771" s="187"/>
      <c r="J771" s="187"/>
      <c r="K771" s="187"/>
      <c r="L771" s="187"/>
      <c r="M771" s="187"/>
      <c r="N771" s="187"/>
      <c r="O771" s="187"/>
      <c r="P771" s="187"/>
      <c r="Q771" s="187"/>
      <c r="R771" s="187"/>
      <c r="S771" s="187"/>
      <c r="T771" s="187"/>
      <c r="U771" s="187"/>
      <c r="V771" s="187"/>
      <c r="W771" s="187"/>
      <c r="X771" s="187"/>
      <c r="Y771" s="187"/>
      <c r="Z771" s="187"/>
    </row>
    <row r="772" ht="15.75" customHeight="1">
      <c r="A772" s="203"/>
      <c r="B772" s="187"/>
      <c r="C772" s="187"/>
      <c r="D772" s="187"/>
      <c r="E772" s="187"/>
      <c r="F772" s="187"/>
      <c r="G772" s="187"/>
      <c r="H772" s="187"/>
      <c r="I772" s="187"/>
      <c r="J772" s="187"/>
      <c r="K772" s="187"/>
      <c r="L772" s="187"/>
      <c r="M772" s="187"/>
      <c r="N772" s="187"/>
      <c r="O772" s="187"/>
      <c r="P772" s="187"/>
      <c r="Q772" s="187"/>
      <c r="R772" s="187"/>
      <c r="S772" s="187"/>
      <c r="T772" s="187"/>
      <c r="U772" s="187"/>
      <c r="V772" s="187"/>
      <c r="W772" s="187"/>
      <c r="X772" s="187"/>
      <c r="Y772" s="187"/>
      <c r="Z772" s="187"/>
    </row>
    <row r="773" ht="15.75" customHeight="1">
      <c r="A773" s="203"/>
      <c r="B773" s="187"/>
      <c r="C773" s="187"/>
      <c r="D773" s="187"/>
      <c r="E773" s="187"/>
      <c r="F773" s="187"/>
      <c r="G773" s="187"/>
      <c r="H773" s="187"/>
      <c r="I773" s="187"/>
      <c r="J773" s="187"/>
      <c r="K773" s="187"/>
      <c r="L773" s="187"/>
      <c r="M773" s="187"/>
      <c r="N773" s="187"/>
      <c r="O773" s="187"/>
      <c r="P773" s="187"/>
      <c r="Q773" s="187"/>
      <c r="R773" s="187"/>
      <c r="S773" s="187"/>
      <c r="T773" s="187"/>
      <c r="U773" s="187"/>
      <c r="V773" s="187"/>
      <c r="W773" s="187"/>
      <c r="X773" s="187"/>
      <c r="Y773" s="187"/>
      <c r="Z773" s="187"/>
    </row>
    <row r="774" ht="15.75" customHeight="1">
      <c r="A774" s="203"/>
      <c r="B774" s="187"/>
      <c r="C774" s="187"/>
      <c r="D774" s="187"/>
      <c r="E774" s="187"/>
      <c r="F774" s="187"/>
      <c r="G774" s="187"/>
      <c r="H774" s="187"/>
      <c r="I774" s="187"/>
      <c r="J774" s="187"/>
      <c r="K774" s="187"/>
      <c r="L774" s="187"/>
      <c r="M774" s="187"/>
      <c r="N774" s="187"/>
      <c r="O774" s="187"/>
      <c r="P774" s="187"/>
      <c r="Q774" s="187"/>
      <c r="R774" s="187"/>
      <c r="S774" s="187"/>
      <c r="T774" s="187"/>
      <c r="U774" s="187"/>
      <c r="V774" s="187"/>
      <c r="W774" s="187"/>
      <c r="X774" s="187"/>
      <c r="Y774" s="187"/>
      <c r="Z774" s="187"/>
    </row>
    <row r="775" ht="15.75" customHeight="1">
      <c r="A775" s="203"/>
      <c r="B775" s="187"/>
      <c r="C775" s="187"/>
      <c r="D775" s="187"/>
      <c r="E775" s="187"/>
      <c r="F775" s="187"/>
      <c r="G775" s="187"/>
      <c r="H775" s="187"/>
      <c r="I775" s="187"/>
      <c r="J775" s="187"/>
      <c r="K775" s="187"/>
      <c r="L775" s="187"/>
      <c r="M775" s="187"/>
      <c r="N775" s="187"/>
      <c r="O775" s="187"/>
      <c r="P775" s="187"/>
      <c r="Q775" s="187"/>
      <c r="R775" s="187"/>
      <c r="S775" s="187"/>
      <c r="T775" s="187"/>
      <c r="U775" s="187"/>
      <c r="V775" s="187"/>
      <c r="W775" s="187"/>
      <c r="X775" s="187"/>
      <c r="Y775" s="187"/>
      <c r="Z775" s="187"/>
    </row>
    <row r="776" ht="15.75" customHeight="1">
      <c r="A776" s="203"/>
      <c r="B776" s="187"/>
      <c r="C776" s="187"/>
      <c r="D776" s="187"/>
      <c r="E776" s="187"/>
      <c r="F776" s="187"/>
      <c r="G776" s="187"/>
      <c r="H776" s="187"/>
      <c r="I776" s="187"/>
      <c r="J776" s="187"/>
      <c r="K776" s="187"/>
      <c r="L776" s="187"/>
      <c r="M776" s="187"/>
      <c r="N776" s="187"/>
      <c r="O776" s="187"/>
      <c r="P776" s="187"/>
      <c r="Q776" s="187"/>
      <c r="R776" s="187"/>
      <c r="S776" s="187"/>
      <c r="T776" s="187"/>
      <c r="U776" s="187"/>
      <c r="V776" s="187"/>
      <c r="W776" s="187"/>
      <c r="X776" s="187"/>
      <c r="Y776" s="187"/>
      <c r="Z776" s="187"/>
    </row>
    <row r="777" ht="15.75" customHeight="1">
      <c r="A777" s="203"/>
      <c r="B777" s="187"/>
      <c r="C777" s="187"/>
      <c r="D777" s="187"/>
      <c r="E777" s="187"/>
      <c r="F777" s="187"/>
      <c r="G777" s="187"/>
      <c r="H777" s="187"/>
      <c r="I777" s="187"/>
      <c r="J777" s="187"/>
      <c r="K777" s="187"/>
      <c r="L777" s="187"/>
      <c r="M777" s="187"/>
      <c r="N777" s="187"/>
      <c r="O777" s="187"/>
      <c r="P777" s="187"/>
      <c r="Q777" s="187"/>
      <c r="R777" s="187"/>
      <c r="S777" s="187"/>
      <c r="T777" s="187"/>
      <c r="U777" s="187"/>
      <c r="V777" s="187"/>
      <c r="W777" s="187"/>
      <c r="X777" s="187"/>
      <c r="Y777" s="187"/>
      <c r="Z777" s="187"/>
    </row>
    <row r="778" ht="15.75" customHeight="1">
      <c r="A778" s="203"/>
      <c r="B778" s="187"/>
      <c r="C778" s="187"/>
      <c r="D778" s="187"/>
      <c r="E778" s="187"/>
      <c r="F778" s="187"/>
      <c r="G778" s="187"/>
      <c r="H778" s="187"/>
      <c r="I778" s="187"/>
      <c r="J778" s="187"/>
      <c r="K778" s="187"/>
      <c r="L778" s="187"/>
      <c r="M778" s="187"/>
      <c r="N778" s="187"/>
      <c r="O778" s="187"/>
      <c r="P778" s="187"/>
      <c r="Q778" s="187"/>
      <c r="R778" s="187"/>
      <c r="S778" s="187"/>
      <c r="T778" s="187"/>
      <c r="U778" s="187"/>
      <c r="V778" s="187"/>
      <c r="W778" s="187"/>
      <c r="X778" s="187"/>
      <c r="Y778" s="187"/>
      <c r="Z778" s="187"/>
    </row>
    <row r="779" ht="15.75" customHeight="1">
      <c r="A779" s="203"/>
      <c r="B779" s="187"/>
      <c r="C779" s="187"/>
      <c r="D779" s="187"/>
      <c r="E779" s="187"/>
      <c r="F779" s="187"/>
      <c r="G779" s="187"/>
      <c r="H779" s="187"/>
      <c r="I779" s="187"/>
      <c r="J779" s="187"/>
      <c r="K779" s="187"/>
      <c r="L779" s="187"/>
      <c r="M779" s="187"/>
      <c r="N779" s="187"/>
      <c r="O779" s="187"/>
      <c r="P779" s="187"/>
      <c r="Q779" s="187"/>
      <c r="R779" s="187"/>
      <c r="S779" s="187"/>
      <c r="T779" s="187"/>
      <c r="U779" s="187"/>
      <c r="V779" s="187"/>
      <c r="W779" s="187"/>
      <c r="X779" s="187"/>
      <c r="Y779" s="187"/>
      <c r="Z779" s="187"/>
    </row>
    <row r="780" ht="15.75" customHeight="1">
      <c r="A780" s="203"/>
      <c r="B780" s="187"/>
      <c r="C780" s="187"/>
      <c r="D780" s="187"/>
      <c r="E780" s="187"/>
      <c r="F780" s="187"/>
      <c r="G780" s="187"/>
      <c r="H780" s="187"/>
      <c r="I780" s="187"/>
      <c r="J780" s="187"/>
      <c r="K780" s="187"/>
      <c r="L780" s="187"/>
      <c r="M780" s="187"/>
      <c r="N780" s="187"/>
      <c r="O780" s="187"/>
      <c r="P780" s="187"/>
      <c r="Q780" s="187"/>
      <c r="R780" s="187"/>
      <c r="S780" s="187"/>
      <c r="T780" s="187"/>
      <c r="U780" s="187"/>
      <c r="V780" s="187"/>
      <c r="W780" s="187"/>
      <c r="X780" s="187"/>
      <c r="Y780" s="187"/>
      <c r="Z780" s="187"/>
    </row>
    <row r="781" ht="15.75" customHeight="1">
      <c r="A781" s="203"/>
      <c r="B781" s="187"/>
      <c r="C781" s="187"/>
      <c r="D781" s="187"/>
      <c r="E781" s="187"/>
      <c r="F781" s="187"/>
      <c r="G781" s="187"/>
      <c r="H781" s="187"/>
      <c r="I781" s="187"/>
      <c r="J781" s="187"/>
      <c r="K781" s="187"/>
      <c r="L781" s="187"/>
      <c r="M781" s="187"/>
      <c r="N781" s="187"/>
      <c r="O781" s="187"/>
      <c r="P781" s="187"/>
      <c r="Q781" s="187"/>
      <c r="R781" s="187"/>
      <c r="S781" s="187"/>
      <c r="T781" s="187"/>
      <c r="U781" s="187"/>
      <c r="V781" s="187"/>
      <c r="W781" s="187"/>
      <c r="X781" s="187"/>
      <c r="Y781" s="187"/>
      <c r="Z781" s="187"/>
    </row>
    <row r="782" ht="15.75" customHeight="1">
      <c r="A782" s="203"/>
      <c r="B782" s="187"/>
      <c r="C782" s="187"/>
      <c r="D782" s="187"/>
      <c r="E782" s="187"/>
      <c r="F782" s="187"/>
      <c r="G782" s="187"/>
      <c r="H782" s="187"/>
      <c r="I782" s="187"/>
      <c r="J782" s="187"/>
      <c r="K782" s="187"/>
      <c r="L782" s="187"/>
      <c r="M782" s="187"/>
      <c r="N782" s="187"/>
      <c r="O782" s="187"/>
      <c r="P782" s="187"/>
      <c r="Q782" s="187"/>
      <c r="R782" s="187"/>
      <c r="S782" s="187"/>
      <c r="T782" s="187"/>
      <c r="U782" s="187"/>
      <c r="V782" s="187"/>
      <c r="W782" s="187"/>
      <c r="X782" s="187"/>
      <c r="Y782" s="187"/>
      <c r="Z782" s="187"/>
    </row>
    <row r="783" ht="15.75" customHeight="1">
      <c r="A783" s="203"/>
      <c r="B783" s="187"/>
      <c r="C783" s="187"/>
      <c r="D783" s="187"/>
      <c r="E783" s="187"/>
      <c r="F783" s="187"/>
      <c r="G783" s="187"/>
      <c r="H783" s="187"/>
      <c r="I783" s="187"/>
      <c r="J783" s="187"/>
      <c r="K783" s="187"/>
      <c r="L783" s="187"/>
      <c r="M783" s="187"/>
      <c r="N783" s="187"/>
      <c r="O783" s="187"/>
      <c r="P783" s="187"/>
      <c r="Q783" s="187"/>
      <c r="R783" s="187"/>
      <c r="S783" s="187"/>
      <c r="T783" s="187"/>
      <c r="U783" s="187"/>
      <c r="V783" s="187"/>
      <c r="W783" s="187"/>
      <c r="X783" s="187"/>
      <c r="Y783" s="187"/>
      <c r="Z783" s="187"/>
    </row>
    <row r="784" ht="15.75" customHeight="1">
      <c r="A784" s="203"/>
      <c r="B784" s="187"/>
      <c r="C784" s="187"/>
      <c r="D784" s="187"/>
      <c r="E784" s="187"/>
      <c r="F784" s="187"/>
      <c r="G784" s="187"/>
      <c r="H784" s="187"/>
      <c r="I784" s="187"/>
      <c r="J784" s="187"/>
      <c r="K784" s="187"/>
      <c r="L784" s="187"/>
      <c r="M784" s="187"/>
      <c r="N784" s="187"/>
      <c r="O784" s="187"/>
      <c r="P784" s="187"/>
      <c r="Q784" s="187"/>
      <c r="R784" s="187"/>
      <c r="S784" s="187"/>
      <c r="T784" s="187"/>
      <c r="U784" s="187"/>
      <c r="V784" s="187"/>
      <c r="W784" s="187"/>
      <c r="X784" s="187"/>
      <c r="Y784" s="187"/>
      <c r="Z784" s="187"/>
    </row>
    <row r="785" ht="15.75" customHeight="1">
      <c r="A785" s="203"/>
      <c r="B785" s="187"/>
      <c r="C785" s="187"/>
      <c r="D785" s="187"/>
      <c r="E785" s="187"/>
      <c r="F785" s="187"/>
      <c r="G785" s="187"/>
      <c r="H785" s="187"/>
      <c r="I785" s="187"/>
      <c r="J785" s="187"/>
      <c r="K785" s="187"/>
      <c r="L785" s="187"/>
      <c r="M785" s="187"/>
      <c r="N785" s="187"/>
      <c r="O785" s="187"/>
      <c r="P785" s="187"/>
      <c r="Q785" s="187"/>
      <c r="R785" s="187"/>
      <c r="S785" s="187"/>
      <c r="T785" s="187"/>
      <c r="U785" s="187"/>
      <c r="V785" s="187"/>
      <c r="W785" s="187"/>
      <c r="X785" s="187"/>
      <c r="Y785" s="187"/>
      <c r="Z785" s="187"/>
    </row>
    <row r="786" ht="15.75" customHeight="1">
      <c r="A786" s="203"/>
      <c r="B786" s="187"/>
      <c r="C786" s="187"/>
      <c r="D786" s="187"/>
      <c r="E786" s="187"/>
      <c r="F786" s="187"/>
      <c r="G786" s="187"/>
      <c r="H786" s="187"/>
      <c r="I786" s="187"/>
      <c r="J786" s="187"/>
      <c r="K786" s="187"/>
      <c r="L786" s="187"/>
      <c r="M786" s="187"/>
      <c r="N786" s="187"/>
      <c r="O786" s="187"/>
      <c r="P786" s="187"/>
      <c r="Q786" s="187"/>
      <c r="R786" s="187"/>
      <c r="S786" s="187"/>
      <c r="T786" s="187"/>
      <c r="U786" s="187"/>
      <c r="V786" s="187"/>
      <c r="W786" s="187"/>
      <c r="X786" s="187"/>
      <c r="Y786" s="187"/>
      <c r="Z786" s="187"/>
    </row>
    <row r="787" ht="15.75" customHeight="1">
      <c r="A787" s="203"/>
      <c r="B787" s="187"/>
      <c r="C787" s="187"/>
      <c r="D787" s="187"/>
      <c r="E787" s="187"/>
      <c r="F787" s="187"/>
      <c r="G787" s="187"/>
      <c r="H787" s="187"/>
      <c r="I787" s="187"/>
      <c r="J787" s="187"/>
      <c r="K787" s="187"/>
      <c r="L787" s="187"/>
      <c r="M787" s="187"/>
      <c r="N787" s="187"/>
      <c r="O787" s="187"/>
      <c r="P787" s="187"/>
      <c r="Q787" s="187"/>
      <c r="R787" s="187"/>
      <c r="S787" s="187"/>
      <c r="T787" s="187"/>
      <c r="U787" s="187"/>
      <c r="V787" s="187"/>
      <c r="W787" s="187"/>
      <c r="X787" s="187"/>
      <c r="Y787" s="187"/>
      <c r="Z787" s="187"/>
    </row>
    <row r="788" ht="15.75" customHeight="1">
      <c r="A788" s="203"/>
      <c r="B788" s="187"/>
      <c r="C788" s="187"/>
      <c r="D788" s="187"/>
      <c r="E788" s="187"/>
      <c r="F788" s="187"/>
      <c r="G788" s="187"/>
      <c r="H788" s="187"/>
      <c r="I788" s="187"/>
      <c r="J788" s="187"/>
      <c r="K788" s="187"/>
      <c r="L788" s="187"/>
      <c r="M788" s="187"/>
      <c r="N788" s="187"/>
      <c r="O788" s="187"/>
      <c r="P788" s="187"/>
      <c r="Q788" s="187"/>
      <c r="R788" s="187"/>
      <c r="S788" s="187"/>
      <c r="T788" s="187"/>
      <c r="U788" s="187"/>
      <c r="V788" s="187"/>
      <c r="W788" s="187"/>
      <c r="X788" s="187"/>
      <c r="Y788" s="187"/>
      <c r="Z788" s="187"/>
    </row>
    <row r="789" ht="15.75" customHeight="1">
      <c r="A789" s="203"/>
      <c r="B789" s="187"/>
      <c r="C789" s="187"/>
      <c r="D789" s="187"/>
      <c r="E789" s="187"/>
      <c r="F789" s="187"/>
      <c r="G789" s="187"/>
      <c r="H789" s="187"/>
      <c r="I789" s="187"/>
      <c r="J789" s="187"/>
      <c r="K789" s="187"/>
      <c r="L789" s="187"/>
      <c r="M789" s="187"/>
      <c r="N789" s="187"/>
      <c r="O789" s="187"/>
      <c r="P789" s="187"/>
      <c r="Q789" s="187"/>
      <c r="R789" s="187"/>
      <c r="S789" s="187"/>
      <c r="T789" s="187"/>
      <c r="U789" s="187"/>
      <c r="V789" s="187"/>
      <c r="W789" s="187"/>
      <c r="X789" s="187"/>
      <c r="Y789" s="187"/>
      <c r="Z789" s="187"/>
    </row>
    <row r="790" ht="15.75" customHeight="1">
      <c r="A790" s="203"/>
      <c r="B790" s="187"/>
      <c r="C790" s="187"/>
      <c r="D790" s="187"/>
      <c r="E790" s="187"/>
      <c r="F790" s="187"/>
      <c r="G790" s="187"/>
      <c r="H790" s="187"/>
      <c r="I790" s="187"/>
      <c r="J790" s="187"/>
      <c r="K790" s="187"/>
      <c r="L790" s="187"/>
      <c r="M790" s="187"/>
      <c r="N790" s="187"/>
      <c r="O790" s="187"/>
      <c r="P790" s="187"/>
      <c r="Q790" s="187"/>
      <c r="R790" s="187"/>
      <c r="S790" s="187"/>
      <c r="T790" s="187"/>
      <c r="U790" s="187"/>
      <c r="V790" s="187"/>
      <c r="W790" s="187"/>
      <c r="X790" s="187"/>
      <c r="Y790" s="187"/>
      <c r="Z790" s="187"/>
    </row>
    <row r="791" ht="15.75" customHeight="1">
      <c r="A791" s="203"/>
      <c r="B791" s="187"/>
      <c r="C791" s="187"/>
      <c r="D791" s="187"/>
      <c r="E791" s="187"/>
      <c r="F791" s="187"/>
      <c r="G791" s="187"/>
      <c r="H791" s="187"/>
      <c r="I791" s="187"/>
      <c r="J791" s="187"/>
      <c r="K791" s="187"/>
      <c r="L791" s="187"/>
      <c r="M791" s="187"/>
      <c r="N791" s="187"/>
      <c r="O791" s="187"/>
      <c r="P791" s="187"/>
      <c r="Q791" s="187"/>
      <c r="R791" s="187"/>
      <c r="S791" s="187"/>
      <c r="T791" s="187"/>
      <c r="U791" s="187"/>
      <c r="V791" s="187"/>
      <c r="W791" s="187"/>
      <c r="X791" s="187"/>
      <c r="Y791" s="187"/>
      <c r="Z791" s="187"/>
    </row>
    <row r="792" ht="15.75" customHeight="1">
      <c r="A792" s="203"/>
      <c r="B792" s="187"/>
      <c r="C792" s="187"/>
      <c r="D792" s="187"/>
      <c r="E792" s="187"/>
      <c r="F792" s="187"/>
      <c r="G792" s="187"/>
      <c r="H792" s="187"/>
      <c r="I792" s="187"/>
      <c r="J792" s="187"/>
      <c r="K792" s="187"/>
      <c r="L792" s="187"/>
      <c r="M792" s="187"/>
      <c r="N792" s="187"/>
      <c r="O792" s="187"/>
      <c r="P792" s="187"/>
      <c r="Q792" s="187"/>
      <c r="R792" s="187"/>
      <c r="S792" s="187"/>
      <c r="T792" s="187"/>
      <c r="U792" s="187"/>
      <c r="V792" s="187"/>
      <c r="W792" s="187"/>
      <c r="X792" s="187"/>
      <c r="Y792" s="187"/>
      <c r="Z792" s="187"/>
    </row>
    <row r="793" ht="15.75" customHeight="1">
      <c r="A793" s="203"/>
      <c r="B793" s="187"/>
      <c r="C793" s="187"/>
      <c r="D793" s="187"/>
      <c r="E793" s="187"/>
      <c r="F793" s="187"/>
      <c r="G793" s="187"/>
      <c r="H793" s="187"/>
      <c r="I793" s="187"/>
      <c r="J793" s="187"/>
      <c r="K793" s="187"/>
      <c r="L793" s="187"/>
      <c r="M793" s="187"/>
      <c r="N793" s="187"/>
      <c r="O793" s="187"/>
      <c r="P793" s="187"/>
      <c r="Q793" s="187"/>
      <c r="R793" s="187"/>
      <c r="S793" s="187"/>
      <c r="T793" s="187"/>
      <c r="U793" s="187"/>
      <c r="V793" s="187"/>
      <c r="W793" s="187"/>
      <c r="X793" s="187"/>
      <c r="Y793" s="187"/>
      <c r="Z793" s="187"/>
    </row>
    <row r="794" ht="15.75" customHeight="1">
      <c r="A794" s="203"/>
      <c r="B794" s="187"/>
      <c r="C794" s="187"/>
      <c r="D794" s="187"/>
      <c r="E794" s="187"/>
      <c r="F794" s="187"/>
      <c r="G794" s="187"/>
      <c r="H794" s="187"/>
      <c r="I794" s="187"/>
      <c r="J794" s="187"/>
      <c r="K794" s="187"/>
      <c r="L794" s="187"/>
      <c r="M794" s="187"/>
      <c r="N794" s="187"/>
      <c r="O794" s="187"/>
      <c r="P794" s="187"/>
      <c r="Q794" s="187"/>
      <c r="R794" s="187"/>
      <c r="S794" s="187"/>
      <c r="T794" s="187"/>
      <c r="U794" s="187"/>
      <c r="V794" s="187"/>
      <c r="W794" s="187"/>
      <c r="X794" s="187"/>
      <c r="Y794" s="187"/>
      <c r="Z794" s="187"/>
    </row>
    <row r="795" ht="15.75" customHeight="1">
      <c r="A795" s="203"/>
      <c r="B795" s="187"/>
      <c r="C795" s="187"/>
      <c r="D795" s="187"/>
      <c r="E795" s="187"/>
      <c r="F795" s="187"/>
      <c r="G795" s="187"/>
      <c r="H795" s="187"/>
      <c r="I795" s="187"/>
      <c r="J795" s="187"/>
      <c r="K795" s="187"/>
      <c r="L795" s="187"/>
      <c r="M795" s="187"/>
      <c r="N795" s="187"/>
      <c r="O795" s="187"/>
      <c r="P795" s="187"/>
      <c r="Q795" s="187"/>
      <c r="R795" s="187"/>
      <c r="S795" s="187"/>
      <c r="T795" s="187"/>
      <c r="U795" s="187"/>
      <c r="V795" s="187"/>
      <c r="W795" s="187"/>
      <c r="X795" s="187"/>
      <c r="Y795" s="187"/>
      <c r="Z795" s="187"/>
    </row>
    <row r="796" ht="15.75" customHeight="1">
      <c r="A796" s="203"/>
      <c r="B796" s="187"/>
      <c r="C796" s="187"/>
      <c r="D796" s="187"/>
      <c r="E796" s="187"/>
      <c r="F796" s="187"/>
      <c r="G796" s="187"/>
      <c r="H796" s="187"/>
      <c r="I796" s="187"/>
      <c r="J796" s="187"/>
      <c r="K796" s="187"/>
      <c r="L796" s="187"/>
      <c r="M796" s="187"/>
      <c r="N796" s="187"/>
      <c r="O796" s="187"/>
      <c r="P796" s="187"/>
      <c r="Q796" s="187"/>
      <c r="R796" s="187"/>
      <c r="S796" s="187"/>
      <c r="T796" s="187"/>
      <c r="U796" s="187"/>
      <c r="V796" s="187"/>
      <c r="W796" s="187"/>
      <c r="X796" s="187"/>
      <c r="Y796" s="187"/>
      <c r="Z796" s="187"/>
    </row>
    <row r="797" ht="15.75" customHeight="1">
      <c r="A797" s="203"/>
      <c r="B797" s="187"/>
      <c r="C797" s="187"/>
      <c r="D797" s="187"/>
      <c r="E797" s="187"/>
      <c r="F797" s="187"/>
      <c r="G797" s="187"/>
      <c r="H797" s="187"/>
      <c r="I797" s="187"/>
      <c r="J797" s="187"/>
      <c r="K797" s="187"/>
      <c r="L797" s="187"/>
      <c r="M797" s="187"/>
      <c r="N797" s="187"/>
      <c r="O797" s="187"/>
      <c r="P797" s="187"/>
      <c r="Q797" s="187"/>
      <c r="R797" s="187"/>
      <c r="S797" s="187"/>
      <c r="T797" s="187"/>
      <c r="U797" s="187"/>
      <c r="V797" s="187"/>
      <c r="W797" s="187"/>
      <c r="X797" s="187"/>
      <c r="Y797" s="187"/>
      <c r="Z797" s="187"/>
    </row>
    <row r="798" ht="15.75" customHeight="1">
      <c r="A798" s="203"/>
      <c r="B798" s="187"/>
      <c r="C798" s="187"/>
      <c r="D798" s="187"/>
      <c r="E798" s="187"/>
      <c r="F798" s="187"/>
      <c r="G798" s="187"/>
      <c r="H798" s="187"/>
      <c r="I798" s="187"/>
      <c r="J798" s="187"/>
      <c r="K798" s="187"/>
      <c r="L798" s="187"/>
      <c r="M798" s="187"/>
      <c r="N798" s="187"/>
      <c r="O798" s="187"/>
      <c r="P798" s="187"/>
      <c r="Q798" s="187"/>
      <c r="R798" s="187"/>
      <c r="S798" s="187"/>
      <c r="T798" s="187"/>
      <c r="U798" s="187"/>
      <c r="V798" s="187"/>
      <c r="W798" s="187"/>
      <c r="X798" s="187"/>
      <c r="Y798" s="187"/>
      <c r="Z798" s="187"/>
    </row>
    <row r="799" ht="15.75" customHeight="1">
      <c r="A799" s="203"/>
      <c r="B799" s="187"/>
      <c r="C799" s="187"/>
      <c r="D799" s="187"/>
      <c r="E799" s="187"/>
      <c r="F799" s="187"/>
      <c r="G799" s="187"/>
      <c r="H799" s="187"/>
      <c r="I799" s="187"/>
      <c r="J799" s="187"/>
      <c r="K799" s="187"/>
      <c r="L799" s="187"/>
      <c r="M799" s="187"/>
      <c r="N799" s="187"/>
      <c r="O799" s="187"/>
      <c r="P799" s="187"/>
      <c r="Q799" s="187"/>
      <c r="R799" s="187"/>
      <c r="S799" s="187"/>
      <c r="T799" s="187"/>
      <c r="U799" s="187"/>
      <c r="V799" s="187"/>
      <c r="W799" s="187"/>
      <c r="X799" s="187"/>
      <c r="Y799" s="187"/>
      <c r="Z799" s="187"/>
    </row>
    <row r="800" ht="15.75" customHeight="1">
      <c r="A800" s="203"/>
      <c r="B800" s="187"/>
      <c r="C800" s="187"/>
      <c r="D800" s="187"/>
      <c r="E800" s="187"/>
      <c r="F800" s="187"/>
      <c r="G800" s="187"/>
      <c r="H800" s="187"/>
      <c r="I800" s="187"/>
      <c r="J800" s="187"/>
      <c r="K800" s="187"/>
      <c r="L800" s="187"/>
      <c r="M800" s="187"/>
      <c r="N800" s="187"/>
      <c r="O800" s="187"/>
      <c r="P800" s="187"/>
      <c r="Q800" s="187"/>
      <c r="R800" s="187"/>
      <c r="S800" s="187"/>
      <c r="T800" s="187"/>
      <c r="U800" s="187"/>
      <c r="V800" s="187"/>
      <c r="W800" s="187"/>
      <c r="X800" s="187"/>
      <c r="Y800" s="187"/>
      <c r="Z800" s="187"/>
    </row>
    <row r="801" ht="15.75" customHeight="1">
      <c r="A801" s="203"/>
      <c r="B801" s="187"/>
      <c r="C801" s="187"/>
      <c r="D801" s="187"/>
      <c r="E801" s="187"/>
      <c r="F801" s="187"/>
      <c r="G801" s="187"/>
      <c r="H801" s="187"/>
      <c r="I801" s="187"/>
      <c r="J801" s="187"/>
      <c r="K801" s="187"/>
      <c r="L801" s="187"/>
      <c r="M801" s="187"/>
      <c r="N801" s="187"/>
      <c r="O801" s="187"/>
      <c r="P801" s="187"/>
      <c r="Q801" s="187"/>
      <c r="R801" s="187"/>
      <c r="S801" s="187"/>
      <c r="T801" s="187"/>
      <c r="U801" s="187"/>
      <c r="V801" s="187"/>
      <c r="W801" s="187"/>
      <c r="X801" s="187"/>
      <c r="Y801" s="187"/>
      <c r="Z801" s="187"/>
    </row>
    <row r="802" ht="15.75" customHeight="1">
      <c r="A802" s="203"/>
      <c r="B802" s="187"/>
      <c r="C802" s="187"/>
      <c r="D802" s="187"/>
      <c r="E802" s="187"/>
      <c r="F802" s="187"/>
      <c r="G802" s="187"/>
      <c r="H802" s="187"/>
      <c r="I802" s="187"/>
      <c r="J802" s="187"/>
      <c r="K802" s="187"/>
      <c r="L802" s="187"/>
      <c r="M802" s="187"/>
      <c r="N802" s="187"/>
      <c r="O802" s="187"/>
      <c r="P802" s="187"/>
      <c r="Q802" s="187"/>
      <c r="R802" s="187"/>
      <c r="S802" s="187"/>
      <c r="T802" s="187"/>
      <c r="U802" s="187"/>
      <c r="V802" s="187"/>
      <c r="W802" s="187"/>
      <c r="X802" s="187"/>
      <c r="Y802" s="187"/>
      <c r="Z802" s="187"/>
    </row>
    <row r="803" ht="15.75" customHeight="1">
      <c r="A803" s="203"/>
      <c r="B803" s="187"/>
      <c r="C803" s="187"/>
      <c r="D803" s="187"/>
      <c r="E803" s="187"/>
      <c r="F803" s="187"/>
      <c r="G803" s="187"/>
      <c r="H803" s="187"/>
      <c r="I803" s="187"/>
      <c r="J803" s="187"/>
      <c r="K803" s="187"/>
      <c r="L803" s="187"/>
      <c r="M803" s="187"/>
      <c r="N803" s="187"/>
      <c r="O803" s="187"/>
      <c r="P803" s="187"/>
      <c r="Q803" s="187"/>
      <c r="R803" s="187"/>
      <c r="S803" s="187"/>
      <c r="T803" s="187"/>
      <c r="U803" s="187"/>
      <c r="V803" s="187"/>
      <c r="W803" s="187"/>
      <c r="X803" s="187"/>
      <c r="Y803" s="187"/>
      <c r="Z803" s="187"/>
    </row>
    <row r="804" ht="15.75" customHeight="1">
      <c r="A804" s="203"/>
      <c r="B804" s="187"/>
      <c r="C804" s="187"/>
      <c r="D804" s="187"/>
      <c r="E804" s="187"/>
      <c r="F804" s="187"/>
      <c r="G804" s="187"/>
      <c r="H804" s="187"/>
      <c r="I804" s="187"/>
      <c r="J804" s="187"/>
      <c r="K804" s="187"/>
      <c r="L804" s="187"/>
      <c r="M804" s="187"/>
      <c r="N804" s="187"/>
      <c r="O804" s="187"/>
      <c r="P804" s="187"/>
      <c r="Q804" s="187"/>
      <c r="R804" s="187"/>
      <c r="S804" s="187"/>
      <c r="T804" s="187"/>
      <c r="U804" s="187"/>
      <c r="V804" s="187"/>
      <c r="W804" s="187"/>
      <c r="X804" s="187"/>
      <c r="Y804" s="187"/>
      <c r="Z804" s="187"/>
    </row>
    <row r="805" ht="15.75" customHeight="1">
      <c r="A805" s="203"/>
      <c r="B805" s="187"/>
      <c r="C805" s="187"/>
      <c r="D805" s="187"/>
      <c r="E805" s="187"/>
      <c r="F805" s="187"/>
      <c r="G805" s="187"/>
      <c r="H805" s="187"/>
      <c r="I805" s="187"/>
      <c r="J805" s="187"/>
      <c r="K805" s="187"/>
      <c r="L805" s="187"/>
      <c r="M805" s="187"/>
      <c r="N805" s="187"/>
      <c r="O805" s="187"/>
      <c r="P805" s="187"/>
      <c r="Q805" s="187"/>
      <c r="R805" s="187"/>
      <c r="S805" s="187"/>
      <c r="T805" s="187"/>
      <c r="U805" s="187"/>
      <c r="V805" s="187"/>
      <c r="W805" s="187"/>
      <c r="X805" s="187"/>
      <c r="Y805" s="187"/>
      <c r="Z805" s="187"/>
    </row>
    <row r="806" ht="15.75" customHeight="1">
      <c r="A806" s="203"/>
      <c r="B806" s="187"/>
      <c r="C806" s="187"/>
      <c r="D806" s="187"/>
      <c r="E806" s="187"/>
      <c r="F806" s="187"/>
      <c r="G806" s="187"/>
      <c r="H806" s="187"/>
      <c r="I806" s="187"/>
      <c r="J806" s="187"/>
      <c r="K806" s="187"/>
      <c r="L806" s="187"/>
      <c r="M806" s="187"/>
      <c r="N806" s="187"/>
      <c r="O806" s="187"/>
      <c r="P806" s="187"/>
      <c r="Q806" s="187"/>
      <c r="R806" s="187"/>
      <c r="S806" s="187"/>
      <c r="T806" s="187"/>
      <c r="U806" s="187"/>
      <c r="V806" s="187"/>
      <c r="W806" s="187"/>
      <c r="X806" s="187"/>
      <c r="Y806" s="187"/>
      <c r="Z806" s="187"/>
    </row>
    <row r="807" ht="15.75" customHeight="1">
      <c r="A807" s="203"/>
      <c r="B807" s="187"/>
      <c r="C807" s="187"/>
      <c r="D807" s="187"/>
      <c r="E807" s="187"/>
      <c r="F807" s="187"/>
      <c r="G807" s="187"/>
      <c r="H807" s="187"/>
      <c r="I807" s="187"/>
      <c r="J807" s="187"/>
      <c r="K807" s="187"/>
      <c r="L807" s="187"/>
      <c r="M807" s="187"/>
      <c r="N807" s="187"/>
      <c r="O807" s="187"/>
      <c r="P807" s="187"/>
      <c r="Q807" s="187"/>
      <c r="R807" s="187"/>
      <c r="S807" s="187"/>
      <c r="T807" s="187"/>
      <c r="U807" s="187"/>
      <c r="V807" s="187"/>
      <c r="W807" s="187"/>
      <c r="X807" s="187"/>
      <c r="Y807" s="187"/>
      <c r="Z807" s="187"/>
    </row>
    <row r="808" ht="15.75" customHeight="1">
      <c r="A808" s="203"/>
      <c r="B808" s="187"/>
      <c r="C808" s="187"/>
      <c r="D808" s="187"/>
      <c r="E808" s="187"/>
      <c r="F808" s="187"/>
      <c r="G808" s="187"/>
      <c r="H808" s="187"/>
      <c r="I808" s="187"/>
      <c r="J808" s="187"/>
      <c r="K808" s="187"/>
      <c r="L808" s="187"/>
      <c r="M808" s="187"/>
      <c r="N808" s="187"/>
      <c r="O808" s="187"/>
      <c r="P808" s="187"/>
      <c r="Q808" s="187"/>
      <c r="R808" s="187"/>
      <c r="S808" s="187"/>
      <c r="T808" s="187"/>
      <c r="U808" s="187"/>
      <c r="V808" s="187"/>
      <c r="W808" s="187"/>
      <c r="X808" s="187"/>
      <c r="Y808" s="187"/>
      <c r="Z808" s="187"/>
    </row>
    <row r="809" ht="15.75" customHeight="1">
      <c r="A809" s="203"/>
      <c r="B809" s="187"/>
      <c r="C809" s="187"/>
      <c r="D809" s="187"/>
      <c r="E809" s="187"/>
      <c r="F809" s="187"/>
      <c r="G809" s="187"/>
      <c r="H809" s="187"/>
      <c r="I809" s="187"/>
      <c r="J809" s="187"/>
      <c r="K809" s="187"/>
      <c r="L809" s="187"/>
      <c r="M809" s="187"/>
      <c r="N809" s="187"/>
      <c r="O809" s="187"/>
      <c r="P809" s="187"/>
      <c r="Q809" s="187"/>
      <c r="R809" s="187"/>
      <c r="S809" s="187"/>
      <c r="T809" s="187"/>
      <c r="U809" s="187"/>
      <c r="V809" s="187"/>
      <c r="W809" s="187"/>
      <c r="X809" s="187"/>
      <c r="Y809" s="187"/>
      <c r="Z809" s="187"/>
    </row>
    <row r="810" ht="15.75" customHeight="1">
      <c r="A810" s="203"/>
      <c r="B810" s="187"/>
      <c r="C810" s="187"/>
      <c r="D810" s="187"/>
      <c r="E810" s="187"/>
      <c r="F810" s="187"/>
      <c r="G810" s="187"/>
      <c r="H810" s="187"/>
      <c r="I810" s="187"/>
      <c r="J810" s="187"/>
      <c r="K810" s="187"/>
      <c r="L810" s="187"/>
      <c r="M810" s="187"/>
      <c r="N810" s="187"/>
      <c r="O810" s="187"/>
      <c r="P810" s="187"/>
      <c r="Q810" s="187"/>
      <c r="R810" s="187"/>
      <c r="S810" s="187"/>
      <c r="T810" s="187"/>
      <c r="U810" s="187"/>
      <c r="V810" s="187"/>
      <c r="W810" s="187"/>
      <c r="X810" s="187"/>
      <c r="Y810" s="187"/>
      <c r="Z810" s="187"/>
    </row>
    <row r="811" ht="15.75" customHeight="1">
      <c r="A811" s="203"/>
      <c r="B811" s="187"/>
      <c r="C811" s="187"/>
      <c r="D811" s="187"/>
      <c r="E811" s="187"/>
      <c r="F811" s="187"/>
      <c r="G811" s="187"/>
      <c r="H811" s="187"/>
      <c r="I811" s="187"/>
      <c r="J811" s="187"/>
      <c r="K811" s="187"/>
      <c r="L811" s="187"/>
      <c r="M811" s="187"/>
      <c r="N811" s="187"/>
      <c r="O811" s="187"/>
      <c r="P811" s="187"/>
      <c r="Q811" s="187"/>
      <c r="R811" s="187"/>
      <c r="S811" s="187"/>
      <c r="T811" s="187"/>
      <c r="U811" s="187"/>
      <c r="V811" s="187"/>
      <c r="W811" s="187"/>
      <c r="X811" s="187"/>
      <c r="Y811" s="187"/>
      <c r="Z811" s="187"/>
    </row>
    <row r="812" ht="15.75" customHeight="1">
      <c r="A812" s="203"/>
      <c r="B812" s="187"/>
      <c r="C812" s="187"/>
      <c r="D812" s="187"/>
      <c r="E812" s="187"/>
      <c r="F812" s="187"/>
      <c r="G812" s="187"/>
      <c r="H812" s="187"/>
      <c r="I812" s="187"/>
      <c r="J812" s="187"/>
      <c r="K812" s="187"/>
      <c r="L812" s="187"/>
      <c r="M812" s="187"/>
      <c r="N812" s="187"/>
      <c r="O812" s="187"/>
      <c r="P812" s="187"/>
      <c r="Q812" s="187"/>
      <c r="R812" s="187"/>
      <c r="S812" s="187"/>
      <c r="T812" s="187"/>
      <c r="U812" s="187"/>
      <c r="V812" s="187"/>
      <c r="W812" s="187"/>
      <c r="X812" s="187"/>
      <c r="Y812" s="187"/>
      <c r="Z812" s="187"/>
    </row>
    <row r="813" ht="15.75" customHeight="1">
      <c r="A813" s="203"/>
      <c r="B813" s="187"/>
      <c r="C813" s="187"/>
      <c r="D813" s="187"/>
      <c r="E813" s="187"/>
      <c r="F813" s="187"/>
      <c r="G813" s="187"/>
      <c r="H813" s="187"/>
      <c r="I813" s="187"/>
      <c r="J813" s="187"/>
      <c r="K813" s="187"/>
      <c r="L813" s="187"/>
      <c r="M813" s="187"/>
      <c r="N813" s="187"/>
      <c r="O813" s="187"/>
      <c r="P813" s="187"/>
      <c r="Q813" s="187"/>
      <c r="R813" s="187"/>
      <c r="S813" s="187"/>
      <c r="T813" s="187"/>
      <c r="U813" s="187"/>
      <c r="V813" s="187"/>
      <c r="W813" s="187"/>
      <c r="X813" s="187"/>
      <c r="Y813" s="187"/>
      <c r="Z813" s="187"/>
    </row>
    <row r="814" ht="15.75" customHeight="1">
      <c r="A814" s="203"/>
      <c r="B814" s="187"/>
      <c r="C814" s="187"/>
      <c r="D814" s="187"/>
      <c r="E814" s="187"/>
      <c r="F814" s="187"/>
      <c r="G814" s="187"/>
      <c r="H814" s="187"/>
      <c r="I814" s="187"/>
      <c r="J814" s="187"/>
      <c r="K814" s="187"/>
      <c r="L814" s="187"/>
      <c r="M814" s="187"/>
      <c r="N814" s="187"/>
      <c r="O814" s="187"/>
      <c r="P814" s="187"/>
      <c r="Q814" s="187"/>
      <c r="R814" s="187"/>
      <c r="S814" s="187"/>
      <c r="T814" s="187"/>
      <c r="U814" s="187"/>
      <c r="V814" s="187"/>
      <c r="W814" s="187"/>
      <c r="X814" s="187"/>
      <c r="Y814" s="187"/>
      <c r="Z814" s="187"/>
    </row>
    <row r="815" ht="15.75" customHeight="1">
      <c r="A815" s="203"/>
      <c r="B815" s="187"/>
      <c r="C815" s="187"/>
      <c r="D815" s="187"/>
      <c r="E815" s="187"/>
      <c r="F815" s="187"/>
      <c r="G815" s="187"/>
      <c r="H815" s="187"/>
      <c r="I815" s="187"/>
      <c r="J815" s="187"/>
      <c r="K815" s="187"/>
      <c r="L815" s="187"/>
      <c r="M815" s="187"/>
      <c r="N815" s="187"/>
      <c r="O815" s="187"/>
      <c r="P815" s="187"/>
      <c r="Q815" s="187"/>
      <c r="R815" s="187"/>
      <c r="S815" s="187"/>
      <c r="T815" s="187"/>
      <c r="U815" s="187"/>
      <c r="V815" s="187"/>
      <c r="W815" s="187"/>
      <c r="X815" s="187"/>
      <c r="Y815" s="187"/>
      <c r="Z815" s="187"/>
    </row>
    <row r="816" ht="15.75" customHeight="1">
      <c r="A816" s="203"/>
      <c r="B816" s="187"/>
      <c r="C816" s="187"/>
      <c r="D816" s="187"/>
      <c r="E816" s="187"/>
      <c r="F816" s="187"/>
      <c r="G816" s="187"/>
      <c r="H816" s="187"/>
      <c r="I816" s="187"/>
      <c r="J816" s="187"/>
      <c r="K816" s="187"/>
      <c r="L816" s="187"/>
      <c r="M816" s="187"/>
      <c r="N816" s="187"/>
      <c r="O816" s="187"/>
      <c r="P816" s="187"/>
      <c r="Q816" s="187"/>
      <c r="R816" s="187"/>
      <c r="S816" s="187"/>
      <c r="T816" s="187"/>
      <c r="U816" s="187"/>
      <c r="V816" s="187"/>
      <c r="W816" s="187"/>
      <c r="X816" s="187"/>
      <c r="Y816" s="187"/>
      <c r="Z816" s="187"/>
    </row>
    <row r="817" ht="15.75" customHeight="1">
      <c r="A817" s="203"/>
      <c r="B817" s="187"/>
      <c r="C817" s="187"/>
      <c r="D817" s="187"/>
      <c r="E817" s="187"/>
      <c r="F817" s="187"/>
      <c r="G817" s="187"/>
      <c r="H817" s="187"/>
      <c r="I817" s="187"/>
      <c r="J817" s="187"/>
      <c r="K817" s="187"/>
      <c r="L817" s="187"/>
      <c r="M817" s="187"/>
      <c r="N817" s="187"/>
      <c r="O817" s="187"/>
      <c r="P817" s="187"/>
      <c r="Q817" s="187"/>
      <c r="R817" s="187"/>
      <c r="S817" s="187"/>
      <c r="T817" s="187"/>
      <c r="U817" s="187"/>
      <c r="V817" s="187"/>
      <c r="W817" s="187"/>
      <c r="X817" s="187"/>
      <c r="Y817" s="187"/>
      <c r="Z817" s="187"/>
    </row>
    <row r="818" ht="15.75" customHeight="1">
      <c r="A818" s="203"/>
      <c r="B818" s="187"/>
      <c r="C818" s="187"/>
      <c r="D818" s="187"/>
      <c r="E818" s="187"/>
      <c r="F818" s="187"/>
      <c r="G818" s="187"/>
      <c r="H818" s="187"/>
      <c r="I818" s="187"/>
      <c r="J818" s="187"/>
      <c r="K818" s="187"/>
      <c r="L818" s="187"/>
      <c r="M818" s="187"/>
      <c r="N818" s="187"/>
      <c r="O818" s="187"/>
      <c r="P818" s="187"/>
      <c r="Q818" s="187"/>
      <c r="R818" s="187"/>
      <c r="S818" s="187"/>
      <c r="T818" s="187"/>
      <c r="U818" s="187"/>
      <c r="V818" s="187"/>
      <c r="W818" s="187"/>
      <c r="X818" s="187"/>
      <c r="Y818" s="187"/>
      <c r="Z818" s="187"/>
    </row>
    <row r="819" ht="15.75" customHeight="1">
      <c r="A819" s="203"/>
      <c r="B819" s="187"/>
      <c r="C819" s="187"/>
      <c r="D819" s="187"/>
      <c r="E819" s="187"/>
      <c r="F819" s="187"/>
      <c r="G819" s="187"/>
      <c r="H819" s="187"/>
      <c r="I819" s="187"/>
      <c r="J819" s="187"/>
      <c r="K819" s="187"/>
      <c r="L819" s="187"/>
      <c r="M819" s="187"/>
      <c r="N819" s="187"/>
      <c r="O819" s="187"/>
      <c r="P819" s="187"/>
      <c r="Q819" s="187"/>
      <c r="R819" s="187"/>
      <c r="S819" s="187"/>
      <c r="T819" s="187"/>
      <c r="U819" s="187"/>
      <c r="V819" s="187"/>
      <c r="W819" s="187"/>
      <c r="X819" s="187"/>
      <c r="Y819" s="187"/>
      <c r="Z819" s="187"/>
    </row>
    <row r="820" ht="15.75" customHeight="1">
      <c r="A820" s="203"/>
      <c r="B820" s="187"/>
      <c r="C820" s="187"/>
      <c r="D820" s="187"/>
      <c r="E820" s="187"/>
      <c r="F820" s="187"/>
      <c r="G820" s="187"/>
      <c r="H820" s="187"/>
      <c r="I820" s="187"/>
      <c r="J820" s="187"/>
      <c r="K820" s="187"/>
      <c r="L820" s="187"/>
      <c r="M820" s="187"/>
      <c r="N820" s="187"/>
      <c r="O820" s="187"/>
      <c r="P820" s="187"/>
      <c r="Q820" s="187"/>
      <c r="R820" s="187"/>
      <c r="S820" s="187"/>
      <c r="T820" s="187"/>
      <c r="U820" s="187"/>
      <c r="V820" s="187"/>
      <c r="W820" s="187"/>
      <c r="X820" s="187"/>
      <c r="Y820" s="187"/>
      <c r="Z820" s="187"/>
    </row>
    <row r="821" ht="15.75" customHeight="1">
      <c r="A821" s="203"/>
      <c r="B821" s="187"/>
      <c r="C821" s="187"/>
      <c r="D821" s="187"/>
      <c r="E821" s="187"/>
      <c r="F821" s="187"/>
      <c r="G821" s="187"/>
      <c r="H821" s="187"/>
      <c r="I821" s="187"/>
      <c r="J821" s="187"/>
      <c r="K821" s="187"/>
      <c r="L821" s="187"/>
      <c r="M821" s="187"/>
      <c r="N821" s="187"/>
      <c r="O821" s="187"/>
      <c r="P821" s="187"/>
      <c r="Q821" s="187"/>
      <c r="R821" s="187"/>
      <c r="S821" s="187"/>
      <c r="T821" s="187"/>
      <c r="U821" s="187"/>
      <c r="V821" s="187"/>
      <c r="W821" s="187"/>
      <c r="X821" s="187"/>
      <c r="Y821" s="187"/>
      <c r="Z821" s="187"/>
    </row>
    <row r="822" ht="15.75" customHeight="1">
      <c r="A822" s="203"/>
      <c r="B822" s="187"/>
      <c r="C822" s="187"/>
      <c r="D822" s="187"/>
      <c r="E822" s="187"/>
      <c r="F822" s="187"/>
      <c r="G822" s="187"/>
      <c r="H822" s="187"/>
      <c r="I822" s="187"/>
      <c r="J822" s="187"/>
      <c r="K822" s="187"/>
      <c r="L822" s="187"/>
      <c r="M822" s="187"/>
      <c r="N822" s="187"/>
      <c r="O822" s="187"/>
      <c r="P822" s="187"/>
      <c r="Q822" s="187"/>
      <c r="R822" s="187"/>
      <c r="S822" s="187"/>
      <c r="T822" s="187"/>
      <c r="U822" s="187"/>
      <c r="V822" s="187"/>
      <c r="W822" s="187"/>
      <c r="X822" s="187"/>
      <c r="Y822" s="187"/>
      <c r="Z822" s="187"/>
    </row>
    <row r="823" ht="15.75" customHeight="1">
      <c r="A823" s="203"/>
      <c r="B823" s="187"/>
      <c r="C823" s="187"/>
      <c r="D823" s="187"/>
      <c r="E823" s="187"/>
      <c r="F823" s="187"/>
      <c r="G823" s="187"/>
      <c r="H823" s="187"/>
      <c r="I823" s="187"/>
      <c r="J823" s="187"/>
      <c r="K823" s="187"/>
      <c r="L823" s="187"/>
      <c r="M823" s="187"/>
      <c r="N823" s="187"/>
      <c r="O823" s="187"/>
      <c r="P823" s="187"/>
      <c r="Q823" s="187"/>
      <c r="R823" s="187"/>
      <c r="S823" s="187"/>
      <c r="T823" s="187"/>
      <c r="U823" s="187"/>
      <c r="V823" s="187"/>
      <c r="W823" s="187"/>
      <c r="X823" s="187"/>
      <c r="Y823" s="187"/>
      <c r="Z823" s="187"/>
    </row>
    <row r="824" ht="15.75" customHeight="1">
      <c r="A824" s="203"/>
      <c r="B824" s="187"/>
      <c r="C824" s="187"/>
      <c r="D824" s="187"/>
      <c r="E824" s="187"/>
      <c r="F824" s="187"/>
      <c r="G824" s="187"/>
      <c r="H824" s="187"/>
      <c r="I824" s="187"/>
      <c r="J824" s="187"/>
      <c r="K824" s="187"/>
      <c r="L824" s="187"/>
      <c r="M824" s="187"/>
      <c r="N824" s="187"/>
      <c r="O824" s="187"/>
      <c r="P824" s="187"/>
      <c r="Q824" s="187"/>
      <c r="R824" s="187"/>
      <c r="S824" s="187"/>
      <c r="T824" s="187"/>
      <c r="U824" s="187"/>
      <c r="V824" s="187"/>
      <c r="W824" s="187"/>
      <c r="X824" s="187"/>
      <c r="Y824" s="187"/>
      <c r="Z824" s="187"/>
    </row>
    <row r="825" ht="15.75" customHeight="1">
      <c r="A825" s="203"/>
      <c r="B825" s="187"/>
      <c r="C825" s="187"/>
      <c r="D825" s="187"/>
      <c r="E825" s="187"/>
      <c r="F825" s="187"/>
      <c r="G825" s="187"/>
      <c r="H825" s="187"/>
      <c r="I825" s="187"/>
      <c r="J825" s="187"/>
      <c r="K825" s="187"/>
      <c r="L825" s="187"/>
      <c r="M825" s="187"/>
      <c r="N825" s="187"/>
      <c r="O825" s="187"/>
      <c r="P825" s="187"/>
      <c r="Q825" s="187"/>
      <c r="R825" s="187"/>
      <c r="S825" s="187"/>
      <c r="T825" s="187"/>
      <c r="U825" s="187"/>
      <c r="V825" s="187"/>
      <c r="W825" s="187"/>
      <c r="X825" s="187"/>
      <c r="Y825" s="187"/>
      <c r="Z825" s="187"/>
    </row>
    <row r="826" ht="15.75" customHeight="1">
      <c r="A826" s="203"/>
      <c r="B826" s="187"/>
      <c r="C826" s="187"/>
      <c r="D826" s="187"/>
      <c r="E826" s="187"/>
      <c r="F826" s="187"/>
      <c r="G826" s="187"/>
      <c r="H826" s="187"/>
      <c r="I826" s="187"/>
      <c r="J826" s="187"/>
      <c r="K826" s="187"/>
      <c r="L826" s="187"/>
      <c r="M826" s="187"/>
      <c r="N826" s="187"/>
      <c r="O826" s="187"/>
      <c r="P826" s="187"/>
      <c r="Q826" s="187"/>
      <c r="R826" s="187"/>
      <c r="S826" s="187"/>
      <c r="T826" s="187"/>
      <c r="U826" s="187"/>
      <c r="V826" s="187"/>
      <c r="W826" s="187"/>
      <c r="X826" s="187"/>
      <c r="Y826" s="187"/>
      <c r="Z826" s="187"/>
    </row>
    <row r="827" ht="15.75" customHeight="1">
      <c r="A827" s="203"/>
      <c r="B827" s="187"/>
      <c r="C827" s="187"/>
      <c r="D827" s="187"/>
      <c r="E827" s="187"/>
      <c r="F827" s="187"/>
      <c r="G827" s="187"/>
      <c r="H827" s="187"/>
      <c r="I827" s="187"/>
      <c r="J827" s="187"/>
      <c r="K827" s="187"/>
      <c r="L827" s="187"/>
      <c r="M827" s="187"/>
      <c r="N827" s="187"/>
      <c r="O827" s="187"/>
      <c r="P827" s="187"/>
      <c r="Q827" s="187"/>
      <c r="R827" s="187"/>
      <c r="S827" s="187"/>
      <c r="T827" s="187"/>
      <c r="U827" s="187"/>
      <c r="V827" s="187"/>
      <c r="W827" s="187"/>
      <c r="X827" s="187"/>
      <c r="Y827" s="187"/>
      <c r="Z827" s="187"/>
    </row>
    <row r="828" ht="15.75" customHeight="1">
      <c r="A828" s="203"/>
      <c r="B828" s="187"/>
      <c r="C828" s="187"/>
      <c r="D828" s="187"/>
      <c r="E828" s="187"/>
      <c r="F828" s="187"/>
      <c r="G828" s="187"/>
      <c r="H828" s="187"/>
      <c r="I828" s="187"/>
      <c r="J828" s="187"/>
      <c r="K828" s="187"/>
      <c r="L828" s="187"/>
      <c r="M828" s="187"/>
      <c r="N828" s="187"/>
      <c r="O828" s="187"/>
      <c r="P828" s="187"/>
      <c r="Q828" s="187"/>
      <c r="R828" s="187"/>
      <c r="S828" s="187"/>
      <c r="T828" s="187"/>
      <c r="U828" s="187"/>
      <c r="V828" s="187"/>
      <c r="W828" s="187"/>
      <c r="X828" s="187"/>
      <c r="Y828" s="187"/>
      <c r="Z828" s="187"/>
    </row>
    <row r="829" ht="15.75" customHeight="1">
      <c r="A829" s="203"/>
      <c r="B829" s="187"/>
      <c r="C829" s="187"/>
      <c r="D829" s="187"/>
      <c r="E829" s="187"/>
      <c r="F829" s="187"/>
      <c r="G829" s="187"/>
      <c r="H829" s="187"/>
      <c r="I829" s="187"/>
      <c r="J829" s="187"/>
      <c r="K829" s="187"/>
      <c r="L829" s="187"/>
      <c r="M829" s="187"/>
      <c r="N829" s="187"/>
      <c r="O829" s="187"/>
      <c r="P829" s="187"/>
      <c r="Q829" s="187"/>
      <c r="R829" s="187"/>
      <c r="S829" s="187"/>
      <c r="T829" s="187"/>
      <c r="U829" s="187"/>
      <c r="V829" s="187"/>
      <c r="W829" s="187"/>
      <c r="X829" s="187"/>
      <c r="Y829" s="187"/>
      <c r="Z829" s="187"/>
    </row>
    <row r="830" ht="15.75" customHeight="1">
      <c r="A830" s="203"/>
      <c r="B830" s="187"/>
      <c r="C830" s="187"/>
      <c r="D830" s="187"/>
      <c r="E830" s="187"/>
      <c r="F830" s="187"/>
      <c r="G830" s="187"/>
      <c r="H830" s="187"/>
      <c r="I830" s="187"/>
      <c r="J830" s="187"/>
      <c r="K830" s="187"/>
      <c r="L830" s="187"/>
      <c r="M830" s="187"/>
      <c r="N830" s="187"/>
      <c r="O830" s="187"/>
      <c r="P830" s="187"/>
      <c r="Q830" s="187"/>
      <c r="R830" s="187"/>
      <c r="S830" s="187"/>
      <c r="T830" s="187"/>
      <c r="U830" s="187"/>
      <c r="V830" s="187"/>
      <c r="W830" s="187"/>
      <c r="X830" s="187"/>
      <c r="Y830" s="187"/>
      <c r="Z830" s="187"/>
    </row>
    <row r="831" ht="15.75" customHeight="1">
      <c r="A831" s="203"/>
      <c r="B831" s="187"/>
      <c r="C831" s="187"/>
      <c r="D831" s="187"/>
      <c r="E831" s="187"/>
      <c r="F831" s="187"/>
      <c r="G831" s="187"/>
      <c r="H831" s="187"/>
      <c r="I831" s="187"/>
      <c r="J831" s="187"/>
      <c r="K831" s="187"/>
      <c r="L831" s="187"/>
      <c r="M831" s="187"/>
      <c r="N831" s="187"/>
      <c r="O831" s="187"/>
      <c r="P831" s="187"/>
      <c r="Q831" s="187"/>
      <c r="R831" s="187"/>
      <c r="S831" s="187"/>
      <c r="T831" s="187"/>
      <c r="U831" s="187"/>
      <c r="V831" s="187"/>
      <c r="W831" s="187"/>
      <c r="X831" s="187"/>
      <c r="Y831" s="187"/>
      <c r="Z831" s="187"/>
    </row>
    <row r="832" ht="15.75" customHeight="1">
      <c r="A832" s="203"/>
      <c r="B832" s="187"/>
      <c r="C832" s="187"/>
      <c r="D832" s="187"/>
      <c r="E832" s="187"/>
      <c r="F832" s="187"/>
      <c r="G832" s="187"/>
      <c r="H832" s="187"/>
      <c r="I832" s="187"/>
      <c r="J832" s="187"/>
      <c r="K832" s="187"/>
      <c r="L832" s="187"/>
      <c r="M832" s="187"/>
      <c r="N832" s="187"/>
      <c r="O832" s="187"/>
      <c r="P832" s="187"/>
      <c r="Q832" s="187"/>
      <c r="R832" s="187"/>
      <c r="S832" s="187"/>
      <c r="T832" s="187"/>
      <c r="U832" s="187"/>
      <c r="V832" s="187"/>
      <c r="W832" s="187"/>
      <c r="X832" s="187"/>
      <c r="Y832" s="187"/>
      <c r="Z832" s="187"/>
    </row>
    <row r="833" ht="15.75" customHeight="1">
      <c r="A833" s="203"/>
      <c r="B833" s="187"/>
      <c r="C833" s="187"/>
      <c r="D833" s="187"/>
      <c r="E833" s="187"/>
      <c r="F833" s="187"/>
      <c r="G833" s="187"/>
      <c r="H833" s="187"/>
      <c r="I833" s="187"/>
      <c r="J833" s="187"/>
      <c r="K833" s="187"/>
      <c r="L833" s="187"/>
      <c r="M833" s="187"/>
      <c r="N833" s="187"/>
      <c r="O833" s="187"/>
      <c r="P833" s="187"/>
      <c r="Q833" s="187"/>
      <c r="R833" s="187"/>
      <c r="S833" s="187"/>
      <c r="T833" s="187"/>
      <c r="U833" s="187"/>
      <c r="V833" s="187"/>
      <c r="W833" s="187"/>
      <c r="X833" s="187"/>
      <c r="Y833" s="187"/>
      <c r="Z833" s="187"/>
    </row>
    <row r="834" ht="15.75" customHeight="1">
      <c r="A834" s="203"/>
      <c r="B834" s="187"/>
      <c r="C834" s="187"/>
      <c r="D834" s="187"/>
      <c r="E834" s="187"/>
      <c r="F834" s="187"/>
      <c r="G834" s="187"/>
      <c r="H834" s="187"/>
      <c r="I834" s="187"/>
      <c r="J834" s="187"/>
      <c r="K834" s="187"/>
      <c r="L834" s="187"/>
      <c r="M834" s="187"/>
      <c r="N834" s="187"/>
      <c r="O834" s="187"/>
      <c r="P834" s="187"/>
      <c r="Q834" s="187"/>
      <c r="R834" s="187"/>
      <c r="S834" s="187"/>
      <c r="T834" s="187"/>
      <c r="U834" s="187"/>
      <c r="V834" s="187"/>
      <c r="W834" s="187"/>
      <c r="X834" s="187"/>
      <c r="Y834" s="187"/>
      <c r="Z834" s="187"/>
    </row>
    <row r="835" ht="15.75" customHeight="1">
      <c r="A835" s="203"/>
      <c r="B835" s="187"/>
      <c r="C835" s="187"/>
      <c r="D835" s="187"/>
      <c r="E835" s="187"/>
      <c r="F835" s="187"/>
      <c r="G835" s="187"/>
      <c r="H835" s="187"/>
      <c r="I835" s="187"/>
      <c r="J835" s="187"/>
      <c r="K835" s="187"/>
      <c r="L835" s="187"/>
      <c r="M835" s="187"/>
      <c r="N835" s="187"/>
      <c r="O835" s="187"/>
      <c r="P835" s="187"/>
      <c r="Q835" s="187"/>
      <c r="R835" s="187"/>
      <c r="S835" s="187"/>
      <c r="T835" s="187"/>
      <c r="U835" s="187"/>
      <c r="V835" s="187"/>
      <c r="W835" s="187"/>
      <c r="X835" s="187"/>
      <c r="Y835" s="187"/>
      <c r="Z835" s="187"/>
    </row>
    <row r="836" ht="15.75" customHeight="1">
      <c r="A836" s="203"/>
      <c r="B836" s="187"/>
      <c r="C836" s="187"/>
      <c r="D836" s="187"/>
      <c r="E836" s="187"/>
      <c r="F836" s="187"/>
      <c r="G836" s="187"/>
      <c r="H836" s="187"/>
      <c r="I836" s="187"/>
      <c r="J836" s="187"/>
      <c r="K836" s="187"/>
      <c r="L836" s="187"/>
      <c r="M836" s="187"/>
      <c r="N836" s="187"/>
      <c r="O836" s="187"/>
      <c r="P836" s="187"/>
      <c r="Q836" s="187"/>
      <c r="R836" s="187"/>
      <c r="S836" s="187"/>
      <c r="T836" s="187"/>
      <c r="U836" s="187"/>
      <c r="V836" s="187"/>
      <c r="W836" s="187"/>
      <c r="X836" s="187"/>
      <c r="Y836" s="187"/>
      <c r="Z836" s="187"/>
    </row>
    <row r="837" ht="15.75" customHeight="1">
      <c r="A837" s="203"/>
      <c r="B837" s="187"/>
      <c r="C837" s="187"/>
      <c r="D837" s="187"/>
      <c r="E837" s="187"/>
      <c r="F837" s="187"/>
      <c r="G837" s="187"/>
      <c r="H837" s="187"/>
      <c r="I837" s="187"/>
      <c r="J837" s="187"/>
      <c r="K837" s="187"/>
      <c r="L837" s="187"/>
      <c r="M837" s="187"/>
      <c r="N837" s="187"/>
      <c r="O837" s="187"/>
      <c r="P837" s="187"/>
      <c r="Q837" s="187"/>
      <c r="R837" s="187"/>
      <c r="S837" s="187"/>
      <c r="T837" s="187"/>
      <c r="U837" s="187"/>
      <c r="V837" s="187"/>
      <c r="W837" s="187"/>
      <c r="X837" s="187"/>
      <c r="Y837" s="187"/>
      <c r="Z837" s="187"/>
    </row>
    <row r="838" ht="15.75" customHeight="1">
      <c r="A838" s="203"/>
      <c r="B838" s="187"/>
      <c r="C838" s="187"/>
      <c r="D838" s="187"/>
      <c r="E838" s="187"/>
      <c r="F838" s="187"/>
      <c r="G838" s="187"/>
      <c r="H838" s="187"/>
      <c r="I838" s="187"/>
      <c r="J838" s="187"/>
      <c r="K838" s="187"/>
      <c r="L838" s="187"/>
      <c r="M838" s="187"/>
      <c r="N838" s="187"/>
      <c r="O838" s="187"/>
      <c r="P838" s="187"/>
      <c r="Q838" s="187"/>
      <c r="R838" s="187"/>
      <c r="S838" s="187"/>
      <c r="T838" s="187"/>
      <c r="U838" s="187"/>
      <c r="V838" s="187"/>
      <c r="W838" s="187"/>
      <c r="X838" s="187"/>
      <c r="Y838" s="187"/>
      <c r="Z838" s="187"/>
    </row>
    <row r="839" ht="15.75" customHeight="1">
      <c r="A839" s="203"/>
      <c r="B839" s="187"/>
      <c r="C839" s="187"/>
      <c r="D839" s="187"/>
      <c r="E839" s="187"/>
      <c r="F839" s="187"/>
      <c r="G839" s="187"/>
      <c r="H839" s="187"/>
      <c r="I839" s="187"/>
      <c r="J839" s="187"/>
      <c r="K839" s="187"/>
      <c r="L839" s="187"/>
      <c r="M839" s="187"/>
      <c r="N839" s="187"/>
      <c r="O839" s="187"/>
      <c r="P839" s="187"/>
      <c r="Q839" s="187"/>
      <c r="R839" s="187"/>
      <c r="S839" s="187"/>
      <c r="T839" s="187"/>
      <c r="U839" s="187"/>
      <c r="V839" s="187"/>
      <c r="W839" s="187"/>
      <c r="X839" s="187"/>
      <c r="Y839" s="187"/>
      <c r="Z839" s="187"/>
    </row>
    <row r="840" ht="15.75" customHeight="1">
      <c r="A840" s="203"/>
      <c r="B840" s="187"/>
      <c r="C840" s="187"/>
      <c r="D840" s="187"/>
      <c r="E840" s="187"/>
      <c r="F840" s="187"/>
      <c r="G840" s="187"/>
      <c r="H840" s="187"/>
      <c r="I840" s="187"/>
      <c r="J840" s="187"/>
      <c r="K840" s="187"/>
      <c r="L840" s="187"/>
      <c r="M840" s="187"/>
      <c r="N840" s="187"/>
      <c r="O840" s="187"/>
      <c r="P840" s="187"/>
      <c r="Q840" s="187"/>
      <c r="R840" s="187"/>
      <c r="S840" s="187"/>
      <c r="T840" s="187"/>
      <c r="U840" s="187"/>
      <c r="V840" s="187"/>
      <c r="W840" s="187"/>
      <c r="X840" s="187"/>
      <c r="Y840" s="187"/>
      <c r="Z840" s="187"/>
    </row>
    <row r="841" ht="15.75" customHeight="1">
      <c r="A841" s="203"/>
      <c r="B841" s="187"/>
      <c r="C841" s="187"/>
      <c r="D841" s="187"/>
      <c r="E841" s="187"/>
      <c r="F841" s="187"/>
      <c r="G841" s="187"/>
      <c r="H841" s="187"/>
      <c r="I841" s="187"/>
      <c r="J841" s="187"/>
      <c r="K841" s="187"/>
      <c r="L841" s="187"/>
      <c r="M841" s="187"/>
      <c r="N841" s="187"/>
      <c r="O841" s="187"/>
      <c r="P841" s="187"/>
      <c r="Q841" s="187"/>
      <c r="R841" s="187"/>
      <c r="S841" s="187"/>
      <c r="T841" s="187"/>
      <c r="U841" s="187"/>
      <c r="V841" s="187"/>
      <c r="W841" s="187"/>
      <c r="X841" s="187"/>
      <c r="Y841" s="187"/>
      <c r="Z841" s="187"/>
    </row>
    <row r="842" ht="15.75" customHeight="1">
      <c r="A842" s="203"/>
      <c r="B842" s="187"/>
      <c r="C842" s="187"/>
      <c r="D842" s="187"/>
      <c r="E842" s="187"/>
      <c r="F842" s="187"/>
      <c r="G842" s="187"/>
      <c r="H842" s="187"/>
      <c r="I842" s="187"/>
      <c r="J842" s="187"/>
      <c r="K842" s="187"/>
      <c r="L842" s="187"/>
      <c r="M842" s="187"/>
      <c r="N842" s="187"/>
      <c r="O842" s="187"/>
      <c r="P842" s="187"/>
      <c r="Q842" s="187"/>
      <c r="R842" s="187"/>
      <c r="S842" s="187"/>
      <c r="T842" s="187"/>
      <c r="U842" s="187"/>
      <c r="V842" s="187"/>
      <c r="W842" s="187"/>
      <c r="X842" s="187"/>
      <c r="Y842" s="187"/>
      <c r="Z842" s="187"/>
    </row>
    <row r="843" ht="15.75" customHeight="1">
      <c r="A843" s="203"/>
      <c r="B843" s="187"/>
      <c r="C843" s="187"/>
      <c r="D843" s="187"/>
      <c r="E843" s="187"/>
      <c r="F843" s="187"/>
      <c r="G843" s="187"/>
      <c r="H843" s="187"/>
      <c r="I843" s="187"/>
      <c r="J843" s="187"/>
      <c r="K843" s="187"/>
      <c r="L843" s="187"/>
      <c r="M843" s="187"/>
      <c r="N843" s="187"/>
      <c r="O843" s="187"/>
      <c r="P843" s="187"/>
      <c r="Q843" s="187"/>
      <c r="R843" s="187"/>
      <c r="S843" s="187"/>
      <c r="T843" s="187"/>
      <c r="U843" s="187"/>
      <c r="V843" s="187"/>
      <c r="W843" s="187"/>
      <c r="X843" s="187"/>
      <c r="Y843" s="187"/>
      <c r="Z843" s="187"/>
    </row>
    <row r="844" ht="15.75" customHeight="1">
      <c r="A844" s="203"/>
      <c r="B844" s="187"/>
      <c r="C844" s="187"/>
      <c r="D844" s="187"/>
      <c r="E844" s="187"/>
      <c r="F844" s="187"/>
      <c r="G844" s="187"/>
      <c r="H844" s="187"/>
      <c r="I844" s="187"/>
      <c r="J844" s="187"/>
      <c r="K844" s="187"/>
      <c r="L844" s="187"/>
      <c r="M844" s="187"/>
      <c r="N844" s="187"/>
      <c r="O844" s="187"/>
      <c r="P844" s="187"/>
      <c r="Q844" s="187"/>
      <c r="R844" s="187"/>
      <c r="S844" s="187"/>
      <c r="T844" s="187"/>
      <c r="U844" s="187"/>
      <c r="V844" s="187"/>
      <c r="W844" s="187"/>
      <c r="X844" s="187"/>
      <c r="Y844" s="187"/>
      <c r="Z844" s="187"/>
    </row>
    <row r="845" ht="15.75" customHeight="1">
      <c r="A845" s="203"/>
      <c r="B845" s="187"/>
      <c r="C845" s="187"/>
      <c r="D845" s="187"/>
      <c r="E845" s="187"/>
      <c r="F845" s="187"/>
      <c r="G845" s="187"/>
      <c r="H845" s="187"/>
      <c r="I845" s="187"/>
      <c r="J845" s="187"/>
      <c r="K845" s="187"/>
      <c r="L845" s="187"/>
      <c r="M845" s="187"/>
      <c r="N845" s="187"/>
      <c r="O845" s="187"/>
      <c r="P845" s="187"/>
      <c r="Q845" s="187"/>
      <c r="R845" s="187"/>
      <c r="S845" s="187"/>
      <c r="T845" s="187"/>
      <c r="U845" s="187"/>
      <c r="V845" s="187"/>
      <c r="W845" s="187"/>
      <c r="X845" s="187"/>
      <c r="Y845" s="187"/>
      <c r="Z845" s="187"/>
    </row>
    <row r="846" ht="15.75" customHeight="1">
      <c r="A846" s="203"/>
      <c r="B846" s="187"/>
      <c r="C846" s="187"/>
      <c r="D846" s="187"/>
      <c r="E846" s="187"/>
      <c r="F846" s="187"/>
      <c r="G846" s="187"/>
      <c r="H846" s="187"/>
      <c r="I846" s="187"/>
      <c r="J846" s="187"/>
      <c r="K846" s="187"/>
      <c r="L846" s="187"/>
      <c r="M846" s="187"/>
      <c r="N846" s="187"/>
      <c r="O846" s="187"/>
      <c r="P846" s="187"/>
      <c r="Q846" s="187"/>
      <c r="R846" s="187"/>
      <c r="S846" s="187"/>
      <c r="T846" s="187"/>
      <c r="U846" s="187"/>
      <c r="V846" s="187"/>
      <c r="W846" s="187"/>
      <c r="X846" s="187"/>
      <c r="Y846" s="187"/>
      <c r="Z846" s="187"/>
    </row>
    <row r="847" ht="15.75" customHeight="1">
      <c r="A847" s="203"/>
      <c r="B847" s="187"/>
      <c r="C847" s="187"/>
      <c r="D847" s="187"/>
      <c r="E847" s="187"/>
      <c r="F847" s="187"/>
      <c r="G847" s="187"/>
      <c r="H847" s="187"/>
      <c r="I847" s="187"/>
      <c r="J847" s="187"/>
      <c r="K847" s="187"/>
      <c r="L847" s="187"/>
      <c r="M847" s="187"/>
      <c r="N847" s="187"/>
      <c r="O847" s="187"/>
      <c r="P847" s="187"/>
      <c r="Q847" s="187"/>
      <c r="R847" s="187"/>
      <c r="S847" s="187"/>
      <c r="T847" s="187"/>
      <c r="U847" s="187"/>
      <c r="V847" s="187"/>
      <c r="W847" s="187"/>
      <c r="X847" s="187"/>
      <c r="Y847" s="187"/>
      <c r="Z847" s="187"/>
    </row>
    <row r="848" ht="15.75" customHeight="1">
      <c r="A848" s="203"/>
      <c r="B848" s="187"/>
      <c r="C848" s="187"/>
      <c r="D848" s="187"/>
      <c r="E848" s="187"/>
      <c r="F848" s="187"/>
      <c r="G848" s="187"/>
      <c r="H848" s="187"/>
      <c r="I848" s="187"/>
      <c r="J848" s="187"/>
      <c r="K848" s="187"/>
      <c r="L848" s="187"/>
      <c r="M848" s="187"/>
      <c r="N848" s="187"/>
      <c r="O848" s="187"/>
      <c r="P848" s="187"/>
      <c r="Q848" s="187"/>
      <c r="R848" s="187"/>
      <c r="S848" s="187"/>
      <c r="T848" s="187"/>
      <c r="U848" s="187"/>
      <c r="V848" s="187"/>
      <c r="W848" s="187"/>
      <c r="X848" s="187"/>
      <c r="Y848" s="187"/>
      <c r="Z848" s="187"/>
    </row>
    <row r="849" ht="15.75" customHeight="1">
      <c r="A849" s="203"/>
      <c r="B849" s="187"/>
      <c r="C849" s="187"/>
      <c r="D849" s="187"/>
      <c r="E849" s="187"/>
      <c r="F849" s="187"/>
      <c r="G849" s="187"/>
      <c r="H849" s="187"/>
      <c r="I849" s="187"/>
      <c r="J849" s="187"/>
      <c r="K849" s="187"/>
      <c r="L849" s="187"/>
      <c r="M849" s="187"/>
      <c r="N849" s="187"/>
      <c r="O849" s="187"/>
      <c r="P849" s="187"/>
      <c r="Q849" s="187"/>
      <c r="R849" s="187"/>
      <c r="S849" s="187"/>
      <c r="T849" s="187"/>
      <c r="U849" s="187"/>
      <c r="V849" s="187"/>
      <c r="W849" s="187"/>
      <c r="X849" s="187"/>
      <c r="Y849" s="187"/>
      <c r="Z849" s="187"/>
    </row>
    <row r="850" ht="15.75" customHeight="1">
      <c r="A850" s="203"/>
      <c r="B850" s="187"/>
      <c r="C850" s="187"/>
      <c r="D850" s="187"/>
      <c r="E850" s="187"/>
      <c r="F850" s="187"/>
      <c r="G850" s="187"/>
      <c r="H850" s="187"/>
      <c r="I850" s="187"/>
      <c r="J850" s="187"/>
      <c r="K850" s="187"/>
      <c r="L850" s="187"/>
      <c r="M850" s="187"/>
      <c r="N850" s="187"/>
      <c r="O850" s="187"/>
      <c r="P850" s="187"/>
      <c r="Q850" s="187"/>
      <c r="R850" s="187"/>
      <c r="S850" s="187"/>
      <c r="T850" s="187"/>
      <c r="U850" s="187"/>
      <c r="V850" s="187"/>
      <c r="W850" s="187"/>
      <c r="X850" s="187"/>
      <c r="Y850" s="187"/>
      <c r="Z850" s="187"/>
    </row>
    <row r="851" ht="15.75" customHeight="1">
      <c r="A851" s="203"/>
      <c r="B851" s="187"/>
      <c r="C851" s="187"/>
      <c r="D851" s="187"/>
      <c r="E851" s="187"/>
      <c r="F851" s="187"/>
      <c r="G851" s="187"/>
      <c r="H851" s="187"/>
      <c r="I851" s="187"/>
      <c r="J851" s="187"/>
      <c r="K851" s="187"/>
      <c r="L851" s="187"/>
      <c r="M851" s="187"/>
      <c r="N851" s="187"/>
      <c r="O851" s="187"/>
      <c r="P851" s="187"/>
      <c r="Q851" s="187"/>
      <c r="R851" s="187"/>
      <c r="S851" s="187"/>
      <c r="T851" s="187"/>
      <c r="U851" s="187"/>
      <c r="V851" s="187"/>
      <c r="W851" s="187"/>
      <c r="X851" s="187"/>
      <c r="Y851" s="187"/>
      <c r="Z851" s="187"/>
    </row>
    <row r="852" ht="15.75" customHeight="1">
      <c r="A852" s="203"/>
      <c r="B852" s="187"/>
      <c r="C852" s="187"/>
      <c r="D852" s="187"/>
      <c r="E852" s="187"/>
      <c r="F852" s="187"/>
      <c r="G852" s="187"/>
      <c r="H852" s="187"/>
      <c r="I852" s="187"/>
      <c r="J852" s="187"/>
      <c r="K852" s="187"/>
      <c r="L852" s="187"/>
      <c r="M852" s="187"/>
      <c r="N852" s="187"/>
      <c r="O852" s="187"/>
      <c r="P852" s="187"/>
      <c r="Q852" s="187"/>
      <c r="R852" s="187"/>
      <c r="S852" s="187"/>
      <c r="T852" s="187"/>
      <c r="U852" s="187"/>
      <c r="V852" s="187"/>
      <c r="W852" s="187"/>
      <c r="X852" s="187"/>
      <c r="Y852" s="187"/>
      <c r="Z852" s="187"/>
    </row>
    <row r="853" ht="15.75" customHeight="1">
      <c r="A853" s="203"/>
      <c r="B853" s="187"/>
      <c r="C853" s="187"/>
      <c r="D853" s="187"/>
      <c r="E853" s="187"/>
      <c r="F853" s="187"/>
      <c r="G853" s="187"/>
      <c r="H853" s="187"/>
      <c r="I853" s="187"/>
      <c r="J853" s="187"/>
      <c r="K853" s="187"/>
      <c r="L853" s="187"/>
      <c r="M853" s="187"/>
      <c r="N853" s="187"/>
      <c r="O853" s="187"/>
      <c r="P853" s="187"/>
      <c r="Q853" s="187"/>
      <c r="R853" s="187"/>
      <c r="S853" s="187"/>
      <c r="T853" s="187"/>
      <c r="U853" s="187"/>
      <c r="V853" s="187"/>
      <c r="W853" s="187"/>
      <c r="X853" s="187"/>
      <c r="Y853" s="187"/>
      <c r="Z853" s="187"/>
    </row>
    <row r="854" ht="15.75" customHeight="1">
      <c r="A854" s="203"/>
      <c r="B854" s="187"/>
      <c r="C854" s="187"/>
      <c r="D854" s="187"/>
      <c r="E854" s="187"/>
      <c r="F854" s="187"/>
      <c r="G854" s="187"/>
      <c r="H854" s="187"/>
      <c r="I854" s="187"/>
      <c r="J854" s="187"/>
      <c r="K854" s="187"/>
      <c r="L854" s="187"/>
      <c r="M854" s="187"/>
      <c r="N854" s="187"/>
      <c r="O854" s="187"/>
      <c r="P854" s="187"/>
      <c r="Q854" s="187"/>
      <c r="R854" s="187"/>
      <c r="S854" s="187"/>
      <c r="T854" s="187"/>
      <c r="U854" s="187"/>
      <c r="V854" s="187"/>
      <c r="W854" s="187"/>
      <c r="X854" s="187"/>
      <c r="Y854" s="187"/>
      <c r="Z854" s="187"/>
    </row>
    <row r="855" ht="15.75" customHeight="1">
      <c r="A855" s="203"/>
      <c r="B855" s="187"/>
      <c r="C855" s="187"/>
      <c r="D855" s="187"/>
      <c r="E855" s="187"/>
      <c r="F855" s="187"/>
      <c r="G855" s="187"/>
      <c r="H855" s="187"/>
      <c r="I855" s="187"/>
      <c r="J855" s="187"/>
      <c r="K855" s="187"/>
      <c r="L855" s="187"/>
      <c r="M855" s="187"/>
      <c r="N855" s="187"/>
      <c r="O855" s="187"/>
      <c r="P855" s="187"/>
      <c r="Q855" s="187"/>
      <c r="R855" s="187"/>
      <c r="S855" s="187"/>
      <c r="T855" s="187"/>
      <c r="U855" s="187"/>
      <c r="V855" s="187"/>
      <c r="W855" s="187"/>
      <c r="X855" s="187"/>
      <c r="Y855" s="187"/>
      <c r="Z855" s="187"/>
    </row>
    <row r="856" ht="15.75" customHeight="1">
      <c r="A856" s="203"/>
      <c r="B856" s="187"/>
      <c r="C856" s="187"/>
      <c r="D856" s="187"/>
      <c r="E856" s="187"/>
      <c r="F856" s="187"/>
      <c r="G856" s="187"/>
      <c r="H856" s="187"/>
      <c r="I856" s="187"/>
      <c r="J856" s="187"/>
      <c r="K856" s="187"/>
      <c r="L856" s="187"/>
      <c r="M856" s="187"/>
      <c r="N856" s="187"/>
      <c r="O856" s="187"/>
      <c r="P856" s="187"/>
      <c r="Q856" s="187"/>
      <c r="R856" s="187"/>
      <c r="S856" s="187"/>
      <c r="T856" s="187"/>
      <c r="U856" s="187"/>
      <c r="V856" s="187"/>
      <c r="W856" s="187"/>
      <c r="X856" s="187"/>
      <c r="Y856" s="187"/>
      <c r="Z856" s="187"/>
    </row>
    <row r="857" ht="15.75" customHeight="1">
      <c r="A857" s="203"/>
      <c r="B857" s="187"/>
      <c r="C857" s="187"/>
      <c r="D857" s="187"/>
      <c r="E857" s="187"/>
      <c r="F857" s="187"/>
      <c r="G857" s="187"/>
      <c r="H857" s="187"/>
      <c r="I857" s="187"/>
      <c r="J857" s="187"/>
      <c r="K857" s="187"/>
      <c r="L857" s="187"/>
      <c r="M857" s="187"/>
      <c r="N857" s="187"/>
      <c r="O857" s="187"/>
      <c r="P857" s="187"/>
      <c r="Q857" s="187"/>
      <c r="R857" s="187"/>
      <c r="S857" s="187"/>
      <c r="T857" s="187"/>
      <c r="U857" s="187"/>
      <c r="V857" s="187"/>
      <c r="W857" s="187"/>
      <c r="X857" s="187"/>
      <c r="Y857" s="187"/>
      <c r="Z857" s="187"/>
    </row>
    <row r="858" ht="15.75" customHeight="1">
      <c r="A858" s="203"/>
      <c r="B858" s="187"/>
      <c r="C858" s="187"/>
      <c r="D858" s="187"/>
      <c r="E858" s="187"/>
      <c r="F858" s="187"/>
      <c r="G858" s="187"/>
      <c r="H858" s="187"/>
      <c r="I858" s="187"/>
      <c r="J858" s="187"/>
      <c r="K858" s="187"/>
      <c r="L858" s="187"/>
      <c r="M858" s="187"/>
      <c r="N858" s="187"/>
      <c r="O858" s="187"/>
      <c r="P858" s="187"/>
      <c r="Q858" s="187"/>
      <c r="R858" s="187"/>
      <c r="S858" s="187"/>
      <c r="T858" s="187"/>
      <c r="U858" s="187"/>
      <c r="V858" s="187"/>
      <c r="W858" s="187"/>
      <c r="X858" s="187"/>
      <c r="Y858" s="187"/>
      <c r="Z858" s="187"/>
    </row>
    <row r="859" ht="15.75" customHeight="1">
      <c r="A859" s="203"/>
      <c r="B859" s="187"/>
      <c r="C859" s="187"/>
      <c r="D859" s="187"/>
      <c r="E859" s="187"/>
      <c r="F859" s="187"/>
      <c r="G859" s="187"/>
      <c r="H859" s="187"/>
      <c r="I859" s="187"/>
      <c r="J859" s="187"/>
      <c r="K859" s="187"/>
      <c r="L859" s="187"/>
      <c r="M859" s="187"/>
      <c r="N859" s="187"/>
      <c r="O859" s="187"/>
      <c r="P859" s="187"/>
      <c r="Q859" s="187"/>
      <c r="R859" s="187"/>
      <c r="S859" s="187"/>
      <c r="T859" s="187"/>
      <c r="U859" s="187"/>
      <c r="V859" s="187"/>
      <c r="W859" s="187"/>
      <c r="X859" s="187"/>
      <c r="Y859" s="187"/>
      <c r="Z859" s="187"/>
    </row>
    <row r="860" ht="15.75" customHeight="1">
      <c r="A860" s="203"/>
      <c r="B860" s="187"/>
      <c r="C860" s="187"/>
      <c r="D860" s="187"/>
      <c r="E860" s="187"/>
      <c r="F860" s="187"/>
      <c r="G860" s="187"/>
      <c r="H860" s="187"/>
      <c r="I860" s="187"/>
      <c r="J860" s="187"/>
      <c r="K860" s="187"/>
      <c r="L860" s="187"/>
      <c r="M860" s="187"/>
      <c r="N860" s="187"/>
      <c r="O860" s="187"/>
      <c r="P860" s="187"/>
      <c r="Q860" s="187"/>
      <c r="R860" s="187"/>
      <c r="S860" s="187"/>
      <c r="T860" s="187"/>
      <c r="U860" s="187"/>
      <c r="V860" s="187"/>
      <c r="W860" s="187"/>
      <c r="X860" s="187"/>
      <c r="Y860" s="187"/>
      <c r="Z860" s="187"/>
    </row>
    <row r="861" ht="15.75" customHeight="1">
      <c r="A861" s="203"/>
      <c r="B861" s="187"/>
      <c r="C861" s="187"/>
      <c r="D861" s="187"/>
      <c r="E861" s="187"/>
      <c r="F861" s="187"/>
      <c r="G861" s="187"/>
      <c r="H861" s="187"/>
      <c r="I861" s="187"/>
      <c r="J861" s="187"/>
      <c r="K861" s="187"/>
      <c r="L861" s="187"/>
      <c r="M861" s="187"/>
      <c r="N861" s="187"/>
      <c r="O861" s="187"/>
      <c r="P861" s="187"/>
      <c r="Q861" s="187"/>
      <c r="R861" s="187"/>
      <c r="S861" s="187"/>
      <c r="T861" s="187"/>
      <c r="U861" s="187"/>
      <c r="V861" s="187"/>
      <c r="W861" s="187"/>
      <c r="X861" s="187"/>
      <c r="Y861" s="187"/>
      <c r="Z861" s="187"/>
    </row>
    <row r="862" ht="15.75" customHeight="1">
      <c r="A862" s="203"/>
      <c r="B862" s="187"/>
      <c r="C862" s="187"/>
      <c r="D862" s="187"/>
      <c r="E862" s="187"/>
      <c r="F862" s="187"/>
      <c r="G862" s="187"/>
      <c r="H862" s="187"/>
      <c r="I862" s="187"/>
      <c r="J862" s="187"/>
      <c r="K862" s="187"/>
      <c r="L862" s="187"/>
      <c r="M862" s="187"/>
      <c r="N862" s="187"/>
      <c r="O862" s="187"/>
      <c r="P862" s="187"/>
      <c r="Q862" s="187"/>
      <c r="R862" s="187"/>
      <c r="S862" s="187"/>
      <c r="T862" s="187"/>
      <c r="U862" s="187"/>
      <c r="V862" s="187"/>
      <c r="W862" s="187"/>
      <c r="X862" s="187"/>
      <c r="Y862" s="187"/>
      <c r="Z862" s="187"/>
    </row>
    <row r="863" ht="15.75" customHeight="1">
      <c r="A863" s="203"/>
      <c r="B863" s="187"/>
      <c r="C863" s="187"/>
      <c r="D863" s="187"/>
      <c r="E863" s="187"/>
      <c r="F863" s="187"/>
      <c r="G863" s="187"/>
      <c r="H863" s="187"/>
      <c r="I863" s="187"/>
      <c r="J863" s="187"/>
      <c r="K863" s="187"/>
      <c r="L863" s="187"/>
      <c r="M863" s="187"/>
      <c r="N863" s="187"/>
      <c r="O863" s="187"/>
      <c r="P863" s="187"/>
      <c r="Q863" s="187"/>
      <c r="R863" s="187"/>
      <c r="S863" s="187"/>
      <c r="T863" s="187"/>
      <c r="U863" s="187"/>
      <c r="V863" s="187"/>
      <c r="W863" s="187"/>
      <c r="X863" s="187"/>
      <c r="Y863" s="187"/>
      <c r="Z863" s="187"/>
    </row>
    <row r="864" ht="15.75" customHeight="1">
      <c r="A864" s="203"/>
      <c r="B864" s="187"/>
      <c r="C864" s="187"/>
      <c r="D864" s="187"/>
      <c r="E864" s="187"/>
      <c r="F864" s="187"/>
      <c r="G864" s="187"/>
      <c r="H864" s="187"/>
      <c r="I864" s="187"/>
      <c r="J864" s="187"/>
      <c r="K864" s="187"/>
      <c r="L864" s="187"/>
      <c r="M864" s="187"/>
      <c r="N864" s="187"/>
      <c r="O864" s="187"/>
      <c r="P864" s="187"/>
      <c r="Q864" s="187"/>
      <c r="R864" s="187"/>
      <c r="S864" s="187"/>
      <c r="T864" s="187"/>
      <c r="U864" s="187"/>
      <c r="V864" s="187"/>
      <c r="W864" s="187"/>
      <c r="X864" s="187"/>
      <c r="Y864" s="187"/>
      <c r="Z864" s="187"/>
    </row>
    <row r="865" ht="15.75" customHeight="1">
      <c r="A865" s="203"/>
      <c r="B865" s="187"/>
      <c r="C865" s="187"/>
      <c r="D865" s="187"/>
      <c r="E865" s="187"/>
      <c r="F865" s="187"/>
      <c r="G865" s="187"/>
      <c r="H865" s="187"/>
      <c r="I865" s="187"/>
      <c r="J865" s="187"/>
      <c r="K865" s="187"/>
      <c r="L865" s="187"/>
      <c r="M865" s="187"/>
      <c r="N865" s="187"/>
      <c r="O865" s="187"/>
      <c r="P865" s="187"/>
      <c r="Q865" s="187"/>
      <c r="R865" s="187"/>
      <c r="S865" s="187"/>
      <c r="T865" s="187"/>
      <c r="U865" s="187"/>
      <c r="V865" s="187"/>
      <c r="W865" s="187"/>
      <c r="X865" s="187"/>
      <c r="Y865" s="187"/>
      <c r="Z865" s="187"/>
    </row>
    <row r="866" ht="15.75" customHeight="1">
      <c r="A866" s="203"/>
      <c r="B866" s="187"/>
      <c r="C866" s="187"/>
      <c r="D866" s="187"/>
      <c r="E866" s="187"/>
      <c r="F866" s="187"/>
      <c r="G866" s="187"/>
      <c r="H866" s="187"/>
      <c r="I866" s="187"/>
      <c r="J866" s="187"/>
      <c r="K866" s="187"/>
      <c r="L866" s="187"/>
      <c r="M866" s="187"/>
      <c r="N866" s="187"/>
      <c r="O866" s="187"/>
      <c r="P866" s="187"/>
      <c r="Q866" s="187"/>
      <c r="R866" s="187"/>
      <c r="S866" s="187"/>
      <c r="T866" s="187"/>
      <c r="U866" s="187"/>
      <c r="V866" s="187"/>
      <c r="W866" s="187"/>
      <c r="X866" s="187"/>
      <c r="Y866" s="187"/>
      <c r="Z866" s="187"/>
    </row>
    <row r="867" ht="15.75" customHeight="1">
      <c r="A867" s="203"/>
      <c r="B867" s="187"/>
      <c r="C867" s="187"/>
      <c r="D867" s="187"/>
      <c r="E867" s="187"/>
      <c r="F867" s="187"/>
      <c r="G867" s="187"/>
      <c r="H867" s="187"/>
      <c r="I867" s="187"/>
      <c r="J867" s="187"/>
      <c r="K867" s="187"/>
      <c r="L867" s="187"/>
      <c r="M867" s="187"/>
      <c r="N867" s="187"/>
      <c r="O867" s="187"/>
      <c r="P867" s="187"/>
      <c r="Q867" s="187"/>
      <c r="R867" s="187"/>
      <c r="S867" s="187"/>
      <c r="T867" s="187"/>
      <c r="U867" s="187"/>
      <c r="V867" s="187"/>
      <c r="W867" s="187"/>
      <c r="X867" s="187"/>
      <c r="Y867" s="187"/>
      <c r="Z867" s="187"/>
    </row>
    <row r="868" ht="15.75" customHeight="1">
      <c r="A868" s="203"/>
      <c r="B868" s="187"/>
      <c r="C868" s="187"/>
      <c r="D868" s="187"/>
      <c r="E868" s="187"/>
      <c r="F868" s="187"/>
      <c r="G868" s="187"/>
      <c r="H868" s="187"/>
      <c r="I868" s="187"/>
      <c r="J868" s="187"/>
      <c r="K868" s="187"/>
      <c r="L868" s="187"/>
      <c r="M868" s="187"/>
      <c r="N868" s="187"/>
      <c r="O868" s="187"/>
      <c r="P868" s="187"/>
      <c r="Q868" s="187"/>
      <c r="R868" s="187"/>
      <c r="S868" s="187"/>
      <c r="T868" s="187"/>
      <c r="U868" s="187"/>
      <c r="V868" s="187"/>
      <c r="W868" s="187"/>
      <c r="X868" s="187"/>
      <c r="Y868" s="187"/>
      <c r="Z868" s="187"/>
    </row>
    <row r="869" ht="15.75" customHeight="1">
      <c r="A869" s="203"/>
      <c r="B869" s="187"/>
      <c r="C869" s="187"/>
      <c r="D869" s="187"/>
      <c r="E869" s="187"/>
      <c r="F869" s="187"/>
      <c r="G869" s="187"/>
      <c r="H869" s="187"/>
      <c r="I869" s="187"/>
      <c r="J869" s="187"/>
      <c r="K869" s="187"/>
      <c r="L869" s="187"/>
      <c r="M869" s="187"/>
      <c r="N869" s="187"/>
      <c r="O869" s="187"/>
      <c r="P869" s="187"/>
      <c r="Q869" s="187"/>
      <c r="R869" s="187"/>
      <c r="S869" s="187"/>
      <c r="T869" s="187"/>
      <c r="U869" s="187"/>
      <c r="V869" s="187"/>
      <c r="W869" s="187"/>
      <c r="X869" s="187"/>
      <c r="Y869" s="187"/>
      <c r="Z869" s="187"/>
    </row>
    <row r="870" ht="15.75" customHeight="1">
      <c r="A870" s="203"/>
      <c r="B870" s="187"/>
      <c r="C870" s="187"/>
      <c r="D870" s="187"/>
      <c r="E870" s="187"/>
      <c r="F870" s="187"/>
      <c r="G870" s="187"/>
      <c r="H870" s="187"/>
      <c r="I870" s="187"/>
      <c r="J870" s="187"/>
      <c r="K870" s="187"/>
      <c r="L870" s="187"/>
      <c r="M870" s="187"/>
      <c r="N870" s="187"/>
      <c r="O870" s="187"/>
      <c r="P870" s="187"/>
      <c r="Q870" s="187"/>
      <c r="R870" s="187"/>
      <c r="S870" s="187"/>
      <c r="T870" s="187"/>
      <c r="U870" s="187"/>
      <c r="V870" s="187"/>
      <c r="W870" s="187"/>
      <c r="X870" s="187"/>
      <c r="Y870" s="187"/>
      <c r="Z870" s="187"/>
    </row>
    <row r="871" ht="15.75" customHeight="1">
      <c r="A871" s="203"/>
      <c r="B871" s="187"/>
      <c r="C871" s="187"/>
      <c r="D871" s="187"/>
      <c r="E871" s="187"/>
      <c r="F871" s="187"/>
      <c r="G871" s="187"/>
      <c r="H871" s="187"/>
      <c r="I871" s="187"/>
      <c r="J871" s="187"/>
      <c r="K871" s="187"/>
      <c r="L871" s="187"/>
      <c r="M871" s="187"/>
      <c r="N871" s="187"/>
      <c r="O871" s="187"/>
      <c r="P871" s="187"/>
      <c r="Q871" s="187"/>
      <c r="R871" s="187"/>
      <c r="S871" s="187"/>
      <c r="T871" s="187"/>
      <c r="U871" s="187"/>
      <c r="V871" s="187"/>
      <c r="W871" s="187"/>
      <c r="X871" s="187"/>
      <c r="Y871" s="187"/>
      <c r="Z871" s="187"/>
    </row>
    <row r="872" ht="15.75" customHeight="1">
      <c r="A872" s="203"/>
      <c r="B872" s="187"/>
      <c r="C872" s="187"/>
      <c r="D872" s="187"/>
      <c r="E872" s="187"/>
      <c r="F872" s="187"/>
      <c r="G872" s="187"/>
      <c r="H872" s="187"/>
      <c r="I872" s="187"/>
      <c r="J872" s="187"/>
      <c r="K872" s="187"/>
      <c r="L872" s="187"/>
      <c r="M872" s="187"/>
      <c r="N872" s="187"/>
      <c r="O872" s="187"/>
      <c r="P872" s="187"/>
      <c r="Q872" s="187"/>
      <c r="R872" s="187"/>
      <c r="S872" s="187"/>
      <c r="T872" s="187"/>
      <c r="U872" s="187"/>
      <c r="V872" s="187"/>
      <c r="W872" s="187"/>
      <c r="X872" s="187"/>
      <c r="Y872" s="187"/>
      <c r="Z872" s="187"/>
    </row>
    <row r="873" ht="15.75" customHeight="1">
      <c r="A873" s="203"/>
      <c r="B873" s="187"/>
      <c r="C873" s="187"/>
      <c r="D873" s="187"/>
      <c r="E873" s="187"/>
      <c r="F873" s="187"/>
      <c r="G873" s="187"/>
      <c r="H873" s="187"/>
      <c r="I873" s="187"/>
      <c r="J873" s="187"/>
      <c r="K873" s="187"/>
      <c r="L873" s="187"/>
      <c r="M873" s="187"/>
      <c r="N873" s="187"/>
      <c r="O873" s="187"/>
      <c r="P873" s="187"/>
      <c r="Q873" s="187"/>
      <c r="R873" s="187"/>
      <c r="S873" s="187"/>
      <c r="T873" s="187"/>
      <c r="U873" s="187"/>
      <c r="V873" s="187"/>
      <c r="W873" s="187"/>
      <c r="X873" s="187"/>
      <c r="Y873" s="187"/>
      <c r="Z873" s="187"/>
    </row>
    <row r="874" ht="15.75" customHeight="1">
      <c r="A874" s="203"/>
      <c r="B874" s="187"/>
      <c r="C874" s="187"/>
      <c r="D874" s="187"/>
      <c r="E874" s="187"/>
      <c r="F874" s="187"/>
      <c r="G874" s="187"/>
      <c r="H874" s="187"/>
      <c r="I874" s="187"/>
      <c r="J874" s="187"/>
      <c r="K874" s="187"/>
      <c r="L874" s="187"/>
      <c r="M874" s="187"/>
      <c r="N874" s="187"/>
      <c r="O874" s="187"/>
      <c r="P874" s="187"/>
      <c r="Q874" s="187"/>
      <c r="R874" s="187"/>
      <c r="S874" s="187"/>
      <c r="T874" s="187"/>
      <c r="U874" s="187"/>
      <c r="V874" s="187"/>
      <c r="W874" s="187"/>
      <c r="X874" s="187"/>
      <c r="Y874" s="187"/>
      <c r="Z874" s="187"/>
    </row>
    <row r="875" ht="15.75" customHeight="1">
      <c r="A875" s="203"/>
      <c r="B875" s="187"/>
      <c r="C875" s="187"/>
      <c r="D875" s="187"/>
      <c r="E875" s="187"/>
      <c r="F875" s="187"/>
      <c r="G875" s="187"/>
      <c r="H875" s="187"/>
      <c r="I875" s="187"/>
      <c r="J875" s="187"/>
      <c r="K875" s="187"/>
      <c r="L875" s="187"/>
      <c r="M875" s="187"/>
      <c r="N875" s="187"/>
      <c r="O875" s="187"/>
      <c r="P875" s="187"/>
      <c r="Q875" s="187"/>
      <c r="R875" s="187"/>
      <c r="S875" s="187"/>
      <c r="T875" s="187"/>
      <c r="U875" s="187"/>
      <c r="V875" s="187"/>
      <c r="W875" s="187"/>
      <c r="X875" s="187"/>
      <c r="Y875" s="187"/>
      <c r="Z875" s="187"/>
    </row>
    <row r="876" ht="15.75" customHeight="1">
      <c r="A876" s="203"/>
      <c r="B876" s="187"/>
      <c r="C876" s="187"/>
      <c r="D876" s="187"/>
      <c r="E876" s="187"/>
      <c r="F876" s="187"/>
      <c r="G876" s="187"/>
      <c r="H876" s="187"/>
      <c r="I876" s="187"/>
      <c r="J876" s="187"/>
      <c r="K876" s="187"/>
      <c r="L876" s="187"/>
      <c r="M876" s="187"/>
      <c r="N876" s="187"/>
      <c r="O876" s="187"/>
      <c r="P876" s="187"/>
      <c r="Q876" s="187"/>
      <c r="R876" s="187"/>
      <c r="S876" s="187"/>
      <c r="T876" s="187"/>
      <c r="U876" s="187"/>
      <c r="V876" s="187"/>
      <c r="W876" s="187"/>
      <c r="X876" s="187"/>
      <c r="Y876" s="187"/>
      <c r="Z876" s="187"/>
    </row>
    <row r="877" ht="15.75" customHeight="1">
      <c r="A877" s="203"/>
      <c r="B877" s="187"/>
      <c r="C877" s="187"/>
      <c r="D877" s="187"/>
      <c r="E877" s="187"/>
      <c r="F877" s="187"/>
      <c r="G877" s="187"/>
      <c r="H877" s="187"/>
      <c r="I877" s="187"/>
      <c r="J877" s="187"/>
      <c r="K877" s="187"/>
      <c r="L877" s="187"/>
      <c r="M877" s="187"/>
      <c r="N877" s="187"/>
      <c r="O877" s="187"/>
      <c r="P877" s="187"/>
      <c r="Q877" s="187"/>
      <c r="R877" s="187"/>
      <c r="S877" s="187"/>
      <c r="T877" s="187"/>
      <c r="U877" s="187"/>
      <c r="V877" s="187"/>
      <c r="W877" s="187"/>
      <c r="X877" s="187"/>
      <c r="Y877" s="187"/>
      <c r="Z877" s="187"/>
    </row>
    <row r="878" ht="15.75" customHeight="1">
      <c r="A878" s="203"/>
      <c r="B878" s="187"/>
      <c r="C878" s="187"/>
      <c r="D878" s="187"/>
      <c r="E878" s="187"/>
      <c r="F878" s="187"/>
      <c r="G878" s="187"/>
      <c r="H878" s="187"/>
      <c r="I878" s="187"/>
      <c r="J878" s="187"/>
      <c r="K878" s="187"/>
      <c r="L878" s="187"/>
      <c r="M878" s="187"/>
      <c r="N878" s="187"/>
      <c r="O878" s="187"/>
      <c r="P878" s="187"/>
      <c r="Q878" s="187"/>
      <c r="R878" s="187"/>
      <c r="S878" s="187"/>
      <c r="T878" s="187"/>
      <c r="U878" s="187"/>
      <c r="V878" s="187"/>
      <c r="W878" s="187"/>
      <c r="X878" s="187"/>
      <c r="Y878" s="187"/>
      <c r="Z878" s="187"/>
    </row>
    <row r="879" ht="15.75" customHeight="1">
      <c r="A879" s="203"/>
      <c r="B879" s="187"/>
      <c r="C879" s="187"/>
      <c r="D879" s="187"/>
      <c r="E879" s="187"/>
      <c r="F879" s="187"/>
      <c r="G879" s="187"/>
      <c r="H879" s="187"/>
      <c r="I879" s="187"/>
      <c r="J879" s="187"/>
      <c r="K879" s="187"/>
      <c r="L879" s="187"/>
      <c r="M879" s="187"/>
      <c r="N879" s="187"/>
      <c r="O879" s="187"/>
      <c r="P879" s="187"/>
      <c r="Q879" s="187"/>
      <c r="R879" s="187"/>
      <c r="S879" s="187"/>
      <c r="T879" s="187"/>
      <c r="U879" s="187"/>
      <c r="V879" s="187"/>
      <c r="W879" s="187"/>
      <c r="X879" s="187"/>
      <c r="Y879" s="187"/>
      <c r="Z879" s="187"/>
    </row>
    <row r="880" ht="15.75" customHeight="1">
      <c r="A880" s="203"/>
      <c r="B880" s="187"/>
      <c r="C880" s="187"/>
      <c r="D880" s="187"/>
      <c r="E880" s="187"/>
      <c r="F880" s="187"/>
      <c r="G880" s="187"/>
      <c r="H880" s="187"/>
      <c r="I880" s="187"/>
      <c r="J880" s="187"/>
      <c r="K880" s="187"/>
      <c r="L880" s="187"/>
      <c r="M880" s="187"/>
      <c r="N880" s="187"/>
      <c r="O880" s="187"/>
      <c r="P880" s="187"/>
      <c r="Q880" s="187"/>
      <c r="R880" s="187"/>
      <c r="S880" s="187"/>
      <c r="T880" s="187"/>
      <c r="U880" s="187"/>
      <c r="V880" s="187"/>
      <c r="W880" s="187"/>
      <c r="X880" s="187"/>
      <c r="Y880" s="187"/>
      <c r="Z880" s="187"/>
    </row>
    <row r="881" ht="15.75" customHeight="1">
      <c r="A881" s="203"/>
      <c r="B881" s="187"/>
      <c r="C881" s="187"/>
      <c r="D881" s="187"/>
      <c r="E881" s="187"/>
      <c r="F881" s="187"/>
      <c r="G881" s="187"/>
      <c r="H881" s="187"/>
      <c r="I881" s="187"/>
      <c r="J881" s="187"/>
      <c r="K881" s="187"/>
      <c r="L881" s="187"/>
      <c r="M881" s="187"/>
      <c r="N881" s="187"/>
      <c r="O881" s="187"/>
      <c r="P881" s="187"/>
      <c r="Q881" s="187"/>
      <c r="R881" s="187"/>
      <c r="S881" s="187"/>
      <c r="T881" s="187"/>
      <c r="U881" s="187"/>
      <c r="V881" s="187"/>
      <c r="W881" s="187"/>
      <c r="X881" s="187"/>
      <c r="Y881" s="187"/>
      <c r="Z881" s="187"/>
    </row>
    <row r="882" ht="15.75" customHeight="1">
      <c r="A882" s="203"/>
      <c r="B882" s="187"/>
      <c r="C882" s="187"/>
      <c r="D882" s="187"/>
      <c r="E882" s="187"/>
      <c r="F882" s="187"/>
      <c r="G882" s="187"/>
      <c r="H882" s="187"/>
      <c r="I882" s="187"/>
      <c r="J882" s="187"/>
      <c r="K882" s="187"/>
      <c r="L882" s="187"/>
      <c r="M882" s="187"/>
      <c r="N882" s="187"/>
      <c r="O882" s="187"/>
      <c r="P882" s="187"/>
      <c r="Q882" s="187"/>
      <c r="R882" s="187"/>
      <c r="S882" s="187"/>
      <c r="T882" s="187"/>
      <c r="U882" s="187"/>
      <c r="V882" s="187"/>
      <c r="W882" s="187"/>
      <c r="X882" s="187"/>
      <c r="Y882" s="187"/>
      <c r="Z882" s="187"/>
    </row>
    <row r="883" ht="15.75" customHeight="1">
      <c r="A883" s="203"/>
      <c r="B883" s="187"/>
      <c r="C883" s="187"/>
      <c r="D883" s="187"/>
      <c r="E883" s="187"/>
      <c r="F883" s="187"/>
      <c r="G883" s="187"/>
      <c r="H883" s="187"/>
      <c r="I883" s="187"/>
      <c r="J883" s="187"/>
      <c r="K883" s="187"/>
      <c r="L883" s="187"/>
      <c r="M883" s="187"/>
      <c r="N883" s="187"/>
      <c r="O883" s="187"/>
      <c r="P883" s="187"/>
      <c r="Q883" s="187"/>
      <c r="R883" s="187"/>
      <c r="S883" s="187"/>
      <c r="T883" s="187"/>
      <c r="U883" s="187"/>
      <c r="V883" s="187"/>
      <c r="W883" s="187"/>
      <c r="X883" s="187"/>
      <c r="Y883" s="187"/>
      <c r="Z883" s="187"/>
    </row>
    <row r="884" ht="15.75" customHeight="1">
      <c r="A884" s="203"/>
      <c r="B884" s="187"/>
      <c r="C884" s="187"/>
      <c r="D884" s="187"/>
      <c r="E884" s="187"/>
      <c r="F884" s="187"/>
      <c r="G884" s="187"/>
      <c r="H884" s="187"/>
      <c r="I884" s="187"/>
      <c r="J884" s="187"/>
      <c r="K884" s="187"/>
      <c r="L884" s="187"/>
      <c r="M884" s="187"/>
      <c r="N884" s="187"/>
      <c r="O884" s="187"/>
      <c r="P884" s="187"/>
      <c r="Q884" s="187"/>
      <c r="R884" s="187"/>
      <c r="S884" s="187"/>
      <c r="T884" s="187"/>
      <c r="U884" s="187"/>
      <c r="V884" s="187"/>
      <c r="W884" s="187"/>
      <c r="X884" s="187"/>
      <c r="Y884" s="187"/>
      <c r="Z884" s="187"/>
    </row>
    <row r="885" ht="15.75" customHeight="1">
      <c r="A885" s="203"/>
      <c r="B885" s="187"/>
      <c r="C885" s="187"/>
      <c r="D885" s="187"/>
      <c r="E885" s="187"/>
      <c r="F885" s="187"/>
      <c r="G885" s="187"/>
      <c r="H885" s="187"/>
      <c r="I885" s="187"/>
      <c r="J885" s="187"/>
      <c r="K885" s="187"/>
      <c r="L885" s="187"/>
      <c r="M885" s="187"/>
      <c r="N885" s="187"/>
      <c r="O885" s="187"/>
      <c r="P885" s="187"/>
      <c r="Q885" s="187"/>
      <c r="R885" s="187"/>
      <c r="S885" s="187"/>
      <c r="T885" s="187"/>
      <c r="U885" s="187"/>
      <c r="V885" s="187"/>
      <c r="W885" s="187"/>
      <c r="X885" s="187"/>
      <c r="Y885" s="187"/>
      <c r="Z885" s="187"/>
    </row>
    <row r="886" ht="15.75" customHeight="1">
      <c r="A886" s="203"/>
      <c r="B886" s="187"/>
      <c r="C886" s="187"/>
      <c r="D886" s="187"/>
      <c r="E886" s="187"/>
      <c r="F886" s="187"/>
      <c r="G886" s="187"/>
      <c r="H886" s="187"/>
      <c r="I886" s="187"/>
      <c r="J886" s="187"/>
      <c r="K886" s="187"/>
      <c r="L886" s="187"/>
      <c r="M886" s="187"/>
      <c r="N886" s="187"/>
      <c r="O886" s="187"/>
      <c r="P886" s="187"/>
      <c r="Q886" s="187"/>
      <c r="R886" s="187"/>
      <c r="S886" s="187"/>
      <c r="T886" s="187"/>
      <c r="U886" s="187"/>
      <c r="V886" s="187"/>
      <c r="W886" s="187"/>
      <c r="X886" s="187"/>
      <c r="Y886" s="187"/>
      <c r="Z886" s="187"/>
    </row>
    <row r="887" ht="15.75" customHeight="1">
      <c r="A887" s="203"/>
      <c r="B887" s="187"/>
      <c r="C887" s="187"/>
      <c r="D887" s="187"/>
      <c r="E887" s="187"/>
      <c r="F887" s="187"/>
      <c r="G887" s="187"/>
      <c r="H887" s="187"/>
      <c r="I887" s="187"/>
      <c r="J887" s="187"/>
      <c r="K887" s="187"/>
      <c r="L887" s="187"/>
      <c r="M887" s="187"/>
      <c r="N887" s="187"/>
      <c r="O887" s="187"/>
      <c r="P887" s="187"/>
      <c r="Q887" s="187"/>
      <c r="R887" s="187"/>
      <c r="S887" s="187"/>
      <c r="T887" s="187"/>
      <c r="U887" s="187"/>
      <c r="V887" s="187"/>
      <c r="W887" s="187"/>
      <c r="X887" s="187"/>
      <c r="Y887" s="187"/>
      <c r="Z887" s="187"/>
    </row>
    <row r="888" ht="15.75" customHeight="1">
      <c r="A888" s="203"/>
      <c r="B888" s="187"/>
      <c r="C888" s="187"/>
      <c r="D888" s="187"/>
      <c r="E888" s="187"/>
      <c r="F888" s="187"/>
      <c r="G888" s="187"/>
      <c r="H888" s="187"/>
      <c r="I888" s="187"/>
      <c r="J888" s="187"/>
      <c r="K888" s="187"/>
      <c r="L888" s="187"/>
      <c r="M888" s="187"/>
      <c r="N888" s="187"/>
      <c r="O888" s="187"/>
      <c r="P888" s="187"/>
      <c r="Q888" s="187"/>
      <c r="R888" s="187"/>
      <c r="S888" s="187"/>
      <c r="T888" s="187"/>
      <c r="U888" s="187"/>
      <c r="V888" s="187"/>
      <c r="W888" s="187"/>
      <c r="X888" s="187"/>
      <c r="Y888" s="187"/>
      <c r="Z888" s="187"/>
    </row>
    <row r="889" ht="15.75" customHeight="1">
      <c r="A889" s="203"/>
      <c r="B889" s="187"/>
      <c r="C889" s="187"/>
      <c r="D889" s="187"/>
      <c r="E889" s="187"/>
      <c r="F889" s="187"/>
      <c r="G889" s="187"/>
      <c r="H889" s="187"/>
      <c r="I889" s="187"/>
      <c r="J889" s="187"/>
      <c r="K889" s="187"/>
      <c r="L889" s="187"/>
      <c r="M889" s="187"/>
      <c r="N889" s="187"/>
      <c r="O889" s="187"/>
      <c r="P889" s="187"/>
      <c r="Q889" s="187"/>
      <c r="R889" s="187"/>
      <c r="S889" s="187"/>
      <c r="T889" s="187"/>
      <c r="U889" s="187"/>
      <c r="V889" s="187"/>
      <c r="W889" s="187"/>
      <c r="X889" s="187"/>
      <c r="Y889" s="187"/>
      <c r="Z889" s="187"/>
    </row>
    <row r="890" ht="15.75" customHeight="1">
      <c r="A890" s="203"/>
      <c r="B890" s="187"/>
      <c r="C890" s="187"/>
      <c r="D890" s="187"/>
      <c r="E890" s="187"/>
      <c r="F890" s="187"/>
      <c r="G890" s="187"/>
      <c r="H890" s="187"/>
      <c r="I890" s="187"/>
      <c r="J890" s="187"/>
      <c r="K890" s="187"/>
      <c r="L890" s="187"/>
      <c r="M890" s="187"/>
      <c r="N890" s="187"/>
      <c r="O890" s="187"/>
      <c r="P890" s="187"/>
      <c r="Q890" s="187"/>
      <c r="R890" s="187"/>
      <c r="S890" s="187"/>
      <c r="T890" s="187"/>
      <c r="U890" s="187"/>
      <c r="V890" s="187"/>
      <c r="W890" s="187"/>
      <c r="X890" s="187"/>
      <c r="Y890" s="187"/>
      <c r="Z890" s="187"/>
    </row>
    <row r="891" ht="15.75" customHeight="1">
      <c r="A891" s="203"/>
      <c r="B891" s="187"/>
      <c r="C891" s="187"/>
      <c r="D891" s="187"/>
      <c r="E891" s="187"/>
      <c r="F891" s="187"/>
      <c r="G891" s="187"/>
      <c r="H891" s="187"/>
      <c r="I891" s="187"/>
      <c r="J891" s="187"/>
      <c r="K891" s="187"/>
      <c r="L891" s="187"/>
      <c r="M891" s="187"/>
      <c r="N891" s="187"/>
      <c r="O891" s="187"/>
      <c r="P891" s="187"/>
      <c r="Q891" s="187"/>
      <c r="R891" s="187"/>
      <c r="S891" s="187"/>
      <c r="T891" s="187"/>
      <c r="U891" s="187"/>
      <c r="V891" s="187"/>
      <c r="W891" s="187"/>
      <c r="X891" s="187"/>
      <c r="Y891" s="187"/>
      <c r="Z891" s="187"/>
    </row>
    <row r="892" ht="15.75" customHeight="1">
      <c r="A892" s="203"/>
      <c r="B892" s="187"/>
      <c r="C892" s="187"/>
      <c r="D892" s="187"/>
      <c r="E892" s="187"/>
      <c r="F892" s="187"/>
      <c r="G892" s="187"/>
      <c r="H892" s="187"/>
      <c r="I892" s="187"/>
      <c r="J892" s="187"/>
      <c r="K892" s="187"/>
      <c r="L892" s="187"/>
      <c r="M892" s="187"/>
      <c r="N892" s="187"/>
      <c r="O892" s="187"/>
      <c r="P892" s="187"/>
      <c r="Q892" s="187"/>
      <c r="R892" s="187"/>
      <c r="S892" s="187"/>
      <c r="T892" s="187"/>
      <c r="U892" s="187"/>
      <c r="V892" s="187"/>
      <c r="W892" s="187"/>
      <c r="X892" s="187"/>
      <c r="Y892" s="187"/>
      <c r="Z892" s="187"/>
    </row>
    <row r="893" ht="15.75" customHeight="1">
      <c r="A893" s="203"/>
      <c r="B893" s="187"/>
      <c r="C893" s="187"/>
      <c r="D893" s="187"/>
      <c r="E893" s="187"/>
      <c r="F893" s="187"/>
      <c r="G893" s="187"/>
      <c r="H893" s="187"/>
      <c r="I893" s="187"/>
      <c r="J893" s="187"/>
      <c r="K893" s="187"/>
      <c r="L893" s="187"/>
      <c r="M893" s="187"/>
      <c r="N893" s="187"/>
      <c r="O893" s="187"/>
      <c r="P893" s="187"/>
      <c r="Q893" s="187"/>
      <c r="R893" s="187"/>
      <c r="S893" s="187"/>
      <c r="T893" s="187"/>
      <c r="U893" s="187"/>
      <c r="V893" s="187"/>
      <c r="W893" s="187"/>
      <c r="X893" s="187"/>
      <c r="Y893" s="187"/>
      <c r="Z893" s="187"/>
    </row>
    <row r="894" ht="15.75" customHeight="1">
      <c r="A894" s="203"/>
      <c r="B894" s="187"/>
      <c r="C894" s="187"/>
      <c r="D894" s="187"/>
      <c r="E894" s="187"/>
      <c r="F894" s="187"/>
      <c r="G894" s="187"/>
      <c r="H894" s="187"/>
      <c r="I894" s="187"/>
      <c r="J894" s="187"/>
      <c r="K894" s="187"/>
      <c r="L894" s="187"/>
      <c r="M894" s="187"/>
      <c r="N894" s="187"/>
      <c r="O894" s="187"/>
      <c r="P894" s="187"/>
      <c r="Q894" s="187"/>
      <c r="R894" s="187"/>
      <c r="S894" s="187"/>
      <c r="T894" s="187"/>
      <c r="U894" s="187"/>
      <c r="V894" s="187"/>
      <c r="W894" s="187"/>
      <c r="X894" s="187"/>
      <c r="Y894" s="187"/>
      <c r="Z894" s="187"/>
    </row>
    <row r="895" ht="15.75" customHeight="1">
      <c r="A895" s="203"/>
      <c r="B895" s="187"/>
      <c r="C895" s="187"/>
      <c r="D895" s="187"/>
      <c r="E895" s="187"/>
      <c r="F895" s="187"/>
      <c r="G895" s="187"/>
      <c r="H895" s="187"/>
      <c r="I895" s="187"/>
      <c r="J895" s="187"/>
      <c r="K895" s="187"/>
      <c r="L895" s="187"/>
      <c r="M895" s="187"/>
      <c r="N895" s="187"/>
      <c r="O895" s="187"/>
      <c r="P895" s="187"/>
      <c r="Q895" s="187"/>
      <c r="R895" s="187"/>
      <c r="S895" s="187"/>
      <c r="T895" s="187"/>
      <c r="U895" s="187"/>
      <c r="V895" s="187"/>
      <c r="W895" s="187"/>
      <c r="X895" s="187"/>
      <c r="Y895" s="187"/>
      <c r="Z895" s="187"/>
    </row>
    <row r="896" ht="15.75" customHeight="1">
      <c r="A896" s="203"/>
      <c r="B896" s="187"/>
      <c r="C896" s="187"/>
      <c r="D896" s="187"/>
      <c r="E896" s="187"/>
      <c r="F896" s="187"/>
      <c r="G896" s="187"/>
      <c r="H896" s="187"/>
      <c r="I896" s="187"/>
      <c r="J896" s="187"/>
      <c r="K896" s="187"/>
      <c r="L896" s="187"/>
      <c r="M896" s="187"/>
      <c r="N896" s="187"/>
      <c r="O896" s="187"/>
      <c r="P896" s="187"/>
      <c r="Q896" s="187"/>
      <c r="R896" s="187"/>
      <c r="S896" s="187"/>
      <c r="T896" s="187"/>
      <c r="U896" s="187"/>
      <c r="V896" s="187"/>
      <c r="W896" s="187"/>
      <c r="X896" s="187"/>
      <c r="Y896" s="187"/>
      <c r="Z896" s="187"/>
    </row>
    <row r="897" ht="15.75" customHeight="1">
      <c r="A897" s="203"/>
      <c r="B897" s="187"/>
      <c r="C897" s="187"/>
      <c r="D897" s="187"/>
      <c r="E897" s="187"/>
      <c r="F897" s="187"/>
      <c r="G897" s="187"/>
      <c r="H897" s="187"/>
      <c r="I897" s="187"/>
      <c r="J897" s="187"/>
      <c r="K897" s="187"/>
      <c r="L897" s="187"/>
      <c r="M897" s="187"/>
      <c r="N897" s="187"/>
      <c r="O897" s="187"/>
      <c r="P897" s="187"/>
      <c r="Q897" s="187"/>
      <c r="R897" s="187"/>
      <c r="S897" s="187"/>
      <c r="T897" s="187"/>
      <c r="U897" s="187"/>
      <c r="V897" s="187"/>
      <c r="W897" s="187"/>
      <c r="X897" s="187"/>
      <c r="Y897" s="187"/>
      <c r="Z897" s="187"/>
    </row>
    <row r="898" ht="15.75" customHeight="1">
      <c r="A898" s="203"/>
      <c r="B898" s="187"/>
      <c r="C898" s="187"/>
      <c r="D898" s="187"/>
      <c r="E898" s="187"/>
      <c r="F898" s="187"/>
      <c r="G898" s="187"/>
      <c r="H898" s="187"/>
      <c r="I898" s="187"/>
      <c r="J898" s="187"/>
      <c r="K898" s="187"/>
      <c r="L898" s="187"/>
      <c r="M898" s="187"/>
      <c r="N898" s="187"/>
      <c r="O898" s="187"/>
      <c r="P898" s="187"/>
      <c r="Q898" s="187"/>
      <c r="R898" s="187"/>
      <c r="S898" s="187"/>
      <c r="T898" s="187"/>
      <c r="U898" s="187"/>
      <c r="V898" s="187"/>
      <c r="W898" s="187"/>
      <c r="X898" s="187"/>
      <c r="Y898" s="187"/>
      <c r="Z898" s="187"/>
    </row>
    <row r="899" ht="15.75" customHeight="1">
      <c r="A899" s="203"/>
      <c r="B899" s="187"/>
      <c r="C899" s="187"/>
      <c r="D899" s="187"/>
      <c r="E899" s="187"/>
      <c r="F899" s="187"/>
      <c r="G899" s="187"/>
      <c r="H899" s="187"/>
      <c r="I899" s="187"/>
      <c r="J899" s="187"/>
      <c r="K899" s="187"/>
      <c r="L899" s="187"/>
      <c r="M899" s="187"/>
      <c r="N899" s="187"/>
      <c r="O899" s="187"/>
      <c r="P899" s="187"/>
      <c r="Q899" s="187"/>
      <c r="R899" s="187"/>
      <c r="S899" s="187"/>
      <c r="T899" s="187"/>
      <c r="U899" s="187"/>
      <c r="V899" s="187"/>
      <c r="W899" s="187"/>
      <c r="X899" s="187"/>
      <c r="Y899" s="187"/>
      <c r="Z899" s="187"/>
    </row>
    <row r="900" ht="15.75" customHeight="1">
      <c r="A900" s="203"/>
      <c r="B900" s="187"/>
      <c r="C900" s="187"/>
      <c r="D900" s="187"/>
      <c r="E900" s="187"/>
      <c r="F900" s="187"/>
      <c r="G900" s="187"/>
      <c r="H900" s="187"/>
      <c r="I900" s="187"/>
      <c r="J900" s="187"/>
      <c r="K900" s="187"/>
      <c r="L900" s="187"/>
      <c r="M900" s="187"/>
      <c r="N900" s="187"/>
      <c r="O900" s="187"/>
      <c r="P900" s="187"/>
      <c r="Q900" s="187"/>
      <c r="R900" s="187"/>
      <c r="S900" s="187"/>
      <c r="T900" s="187"/>
      <c r="U900" s="187"/>
      <c r="V900" s="187"/>
      <c r="W900" s="187"/>
      <c r="X900" s="187"/>
      <c r="Y900" s="187"/>
      <c r="Z900" s="187"/>
    </row>
    <row r="901" ht="15.75" customHeight="1">
      <c r="A901" s="203"/>
      <c r="B901" s="187"/>
      <c r="C901" s="187"/>
      <c r="D901" s="187"/>
      <c r="E901" s="187"/>
      <c r="F901" s="187"/>
      <c r="G901" s="187"/>
      <c r="H901" s="187"/>
      <c r="I901" s="187"/>
      <c r="J901" s="187"/>
      <c r="K901" s="187"/>
      <c r="L901" s="187"/>
      <c r="M901" s="187"/>
      <c r="N901" s="187"/>
      <c r="O901" s="187"/>
      <c r="P901" s="187"/>
      <c r="Q901" s="187"/>
      <c r="R901" s="187"/>
      <c r="S901" s="187"/>
      <c r="T901" s="187"/>
      <c r="U901" s="187"/>
      <c r="V901" s="187"/>
      <c r="W901" s="187"/>
      <c r="X901" s="187"/>
      <c r="Y901" s="187"/>
      <c r="Z901" s="187"/>
    </row>
    <row r="902" ht="15.75" customHeight="1">
      <c r="A902" s="203"/>
      <c r="B902" s="187"/>
      <c r="C902" s="187"/>
      <c r="D902" s="187"/>
      <c r="E902" s="187"/>
      <c r="F902" s="187"/>
      <c r="G902" s="187"/>
      <c r="H902" s="187"/>
      <c r="I902" s="187"/>
      <c r="J902" s="187"/>
      <c r="K902" s="187"/>
      <c r="L902" s="187"/>
      <c r="M902" s="187"/>
      <c r="N902" s="187"/>
      <c r="O902" s="187"/>
      <c r="P902" s="187"/>
      <c r="Q902" s="187"/>
      <c r="R902" s="187"/>
      <c r="S902" s="187"/>
      <c r="T902" s="187"/>
      <c r="U902" s="187"/>
      <c r="V902" s="187"/>
      <c r="W902" s="187"/>
      <c r="X902" s="187"/>
      <c r="Y902" s="187"/>
      <c r="Z902" s="187"/>
    </row>
    <row r="903" ht="15.75" customHeight="1">
      <c r="A903" s="203"/>
      <c r="B903" s="187"/>
      <c r="C903" s="187"/>
      <c r="D903" s="187"/>
      <c r="E903" s="187"/>
      <c r="F903" s="187"/>
      <c r="G903" s="187"/>
      <c r="H903" s="187"/>
      <c r="I903" s="187"/>
      <c r="J903" s="187"/>
      <c r="K903" s="187"/>
      <c r="L903" s="187"/>
      <c r="M903" s="187"/>
      <c r="N903" s="187"/>
      <c r="O903" s="187"/>
      <c r="P903" s="187"/>
      <c r="Q903" s="187"/>
      <c r="R903" s="187"/>
      <c r="S903" s="187"/>
      <c r="T903" s="187"/>
      <c r="U903" s="187"/>
      <c r="V903" s="187"/>
      <c r="W903" s="187"/>
      <c r="X903" s="187"/>
      <c r="Y903" s="187"/>
      <c r="Z903" s="187"/>
    </row>
    <row r="904" ht="15.75" customHeight="1">
      <c r="A904" s="203"/>
      <c r="B904" s="187"/>
      <c r="C904" s="187"/>
      <c r="D904" s="187"/>
      <c r="E904" s="187"/>
      <c r="F904" s="187"/>
      <c r="G904" s="187"/>
      <c r="H904" s="187"/>
      <c r="I904" s="187"/>
      <c r="J904" s="187"/>
      <c r="K904" s="187"/>
      <c r="L904" s="187"/>
      <c r="M904" s="187"/>
      <c r="N904" s="187"/>
      <c r="O904" s="187"/>
      <c r="P904" s="187"/>
      <c r="Q904" s="187"/>
      <c r="R904" s="187"/>
      <c r="S904" s="187"/>
      <c r="T904" s="187"/>
      <c r="U904" s="187"/>
      <c r="V904" s="187"/>
      <c r="W904" s="187"/>
      <c r="X904" s="187"/>
      <c r="Y904" s="187"/>
      <c r="Z904" s="187"/>
    </row>
    <row r="905" ht="15.75" customHeight="1">
      <c r="A905" s="203"/>
      <c r="B905" s="187"/>
      <c r="C905" s="187"/>
      <c r="D905" s="187"/>
      <c r="E905" s="187"/>
      <c r="F905" s="187"/>
      <c r="G905" s="187"/>
      <c r="H905" s="187"/>
      <c r="I905" s="187"/>
      <c r="J905" s="187"/>
      <c r="K905" s="187"/>
      <c r="L905" s="187"/>
      <c r="M905" s="187"/>
      <c r="N905" s="187"/>
      <c r="O905" s="187"/>
      <c r="P905" s="187"/>
      <c r="Q905" s="187"/>
      <c r="R905" s="187"/>
      <c r="S905" s="187"/>
      <c r="T905" s="187"/>
      <c r="U905" s="187"/>
      <c r="V905" s="187"/>
      <c r="W905" s="187"/>
      <c r="X905" s="187"/>
      <c r="Y905" s="187"/>
      <c r="Z905" s="187"/>
    </row>
    <row r="906" ht="15.75" customHeight="1">
      <c r="A906" s="203"/>
      <c r="B906" s="187"/>
      <c r="C906" s="187"/>
      <c r="D906" s="187"/>
      <c r="E906" s="187"/>
      <c r="F906" s="187"/>
      <c r="G906" s="187"/>
      <c r="H906" s="187"/>
      <c r="I906" s="187"/>
      <c r="J906" s="187"/>
      <c r="K906" s="187"/>
      <c r="L906" s="187"/>
      <c r="M906" s="187"/>
      <c r="N906" s="187"/>
      <c r="O906" s="187"/>
      <c r="P906" s="187"/>
      <c r="Q906" s="187"/>
      <c r="R906" s="187"/>
      <c r="S906" s="187"/>
      <c r="T906" s="187"/>
      <c r="U906" s="187"/>
      <c r="V906" s="187"/>
      <c r="W906" s="187"/>
      <c r="X906" s="187"/>
      <c r="Y906" s="187"/>
      <c r="Z906" s="187"/>
    </row>
    <row r="907" ht="15.75" customHeight="1">
      <c r="A907" s="203"/>
      <c r="B907" s="187"/>
      <c r="C907" s="187"/>
      <c r="D907" s="187"/>
      <c r="E907" s="187"/>
      <c r="F907" s="187"/>
      <c r="G907" s="187"/>
      <c r="H907" s="187"/>
      <c r="I907" s="187"/>
      <c r="J907" s="187"/>
      <c r="K907" s="187"/>
      <c r="L907" s="187"/>
      <c r="M907" s="187"/>
      <c r="N907" s="187"/>
      <c r="O907" s="187"/>
      <c r="P907" s="187"/>
      <c r="Q907" s="187"/>
      <c r="R907" s="187"/>
      <c r="S907" s="187"/>
      <c r="T907" s="187"/>
      <c r="U907" s="187"/>
      <c r="V907" s="187"/>
      <c r="W907" s="187"/>
      <c r="X907" s="187"/>
      <c r="Y907" s="187"/>
      <c r="Z907" s="187"/>
    </row>
    <row r="908" ht="15.75" customHeight="1">
      <c r="A908" s="203"/>
      <c r="B908" s="187"/>
      <c r="C908" s="187"/>
      <c r="D908" s="187"/>
      <c r="E908" s="187"/>
      <c r="F908" s="187"/>
      <c r="G908" s="187"/>
      <c r="H908" s="187"/>
      <c r="I908" s="187"/>
      <c r="J908" s="187"/>
      <c r="K908" s="187"/>
      <c r="L908" s="187"/>
      <c r="M908" s="187"/>
      <c r="N908" s="187"/>
      <c r="O908" s="187"/>
      <c r="P908" s="187"/>
      <c r="Q908" s="187"/>
      <c r="R908" s="187"/>
      <c r="S908" s="187"/>
      <c r="T908" s="187"/>
      <c r="U908" s="187"/>
      <c r="V908" s="187"/>
      <c r="W908" s="187"/>
      <c r="X908" s="187"/>
      <c r="Y908" s="187"/>
      <c r="Z908" s="187"/>
    </row>
    <row r="909" ht="15.75" customHeight="1">
      <c r="A909" s="203"/>
      <c r="B909" s="187"/>
      <c r="C909" s="187"/>
      <c r="D909" s="187"/>
      <c r="E909" s="187"/>
      <c r="F909" s="187"/>
      <c r="G909" s="187"/>
      <c r="H909" s="187"/>
      <c r="I909" s="187"/>
      <c r="J909" s="187"/>
      <c r="K909" s="187"/>
      <c r="L909" s="187"/>
      <c r="M909" s="187"/>
      <c r="N909" s="187"/>
      <c r="O909" s="187"/>
      <c r="P909" s="187"/>
      <c r="Q909" s="187"/>
      <c r="R909" s="187"/>
      <c r="S909" s="187"/>
      <c r="T909" s="187"/>
      <c r="U909" s="187"/>
      <c r="V909" s="187"/>
      <c r="W909" s="187"/>
      <c r="X909" s="187"/>
      <c r="Y909" s="187"/>
      <c r="Z909" s="187"/>
    </row>
    <row r="910" ht="15.75" customHeight="1">
      <c r="A910" s="203"/>
      <c r="B910" s="187"/>
      <c r="C910" s="187"/>
      <c r="D910" s="187"/>
      <c r="E910" s="187"/>
      <c r="F910" s="187"/>
      <c r="G910" s="187"/>
      <c r="H910" s="187"/>
      <c r="I910" s="187"/>
      <c r="J910" s="187"/>
      <c r="K910" s="187"/>
      <c r="L910" s="187"/>
      <c r="M910" s="187"/>
      <c r="N910" s="187"/>
      <c r="O910" s="187"/>
      <c r="P910" s="187"/>
      <c r="Q910" s="187"/>
      <c r="R910" s="187"/>
      <c r="S910" s="187"/>
      <c r="T910" s="187"/>
      <c r="U910" s="187"/>
      <c r="V910" s="187"/>
      <c r="W910" s="187"/>
      <c r="X910" s="187"/>
      <c r="Y910" s="187"/>
      <c r="Z910" s="187"/>
    </row>
    <row r="911" ht="15.75" customHeight="1">
      <c r="A911" s="203"/>
      <c r="B911" s="187"/>
      <c r="C911" s="187"/>
      <c r="D911" s="187"/>
      <c r="E911" s="187"/>
      <c r="F911" s="187"/>
      <c r="G911" s="187"/>
      <c r="H911" s="187"/>
      <c r="I911" s="187"/>
      <c r="J911" s="187"/>
      <c r="K911" s="187"/>
      <c r="L911" s="187"/>
      <c r="M911" s="187"/>
      <c r="N911" s="187"/>
      <c r="O911" s="187"/>
      <c r="P911" s="187"/>
      <c r="Q911" s="187"/>
      <c r="R911" s="187"/>
      <c r="S911" s="187"/>
      <c r="T911" s="187"/>
      <c r="U911" s="187"/>
      <c r="V911" s="187"/>
      <c r="W911" s="187"/>
      <c r="X911" s="187"/>
      <c r="Y911" s="187"/>
      <c r="Z911" s="187"/>
    </row>
    <row r="912" ht="15.75" customHeight="1">
      <c r="A912" s="203"/>
      <c r="B912" s="187"/>
      <c r="C912" s="187"/>
      <c r="D912" s="187"/>
      <c r="E912" s="187"/>
      <c r="F912" s="187"/>
      <c r="G912" s="187"/>
      <c r="H912" s="187"/>
      <c r="I912" s="187"/>
      <c r="J912" s="187"/>
      <c r="K912" s="187"/>
      <c r="L912" s="187"/>
      <c r="M912" s="187"/>
      <c r="N912" s="187"/>
      <c r="O912" s="187"/>
      <c r="P912" s="187"/>
      <c r="Q912" s="187"/>
      <c r="R912" s="187"/>
      <c r="S912" s="187"/>
      <c r="T912" s="187"/>
      <c r="U912" s="187"/>
      <c r="V912" s="187"/>
      <c r="W912" s="187"/>
      <c r="X912" s="187"/>
      <c r="Y912" s="187"/>
      <c r="Z912" s="187"/>
    </row>
    <row r="913" ht="15.75" customHeight="1">
      <c r="A913" s="203"/>
      <c r="B913" s="187"/>
      <c r="C913" s="187"/>
      <c r="D913" s="187"/>
      <c r="E913" s="187"/>
      <c r="F913" s="187"/>
      <c r="G913" s="187"/>
      <c r="H913" s="187"/>
      <c r="I913" s="187"/>
      <c r="J913" s="187"/>
      <c r="K913" s="187"/>
      <c r="L913" s="187"/>
      <c r="M913" s="187"/>
      <c r="N913" s="187"/>
      <c r="O913" s="187"/>
      <c r="P913" s="187"/>
      <c r="Q913" s="187"/>
      <c r="R913" s="187"/>
      <c r="S913" s="187"/>
      <c r="T913" s="187"/>
      <c r="U913" s="187"/>
      <c r="V913" s="187"/>
      <c r="W913" s="187"/>
      <c r="X913" s="187"/>
      <c r="Y913" s="187"/>
      <c r="Z913" s="187"/>
    </row>
    <row r="914" ht="15.75" customHeight="1">
      <c r="A914" s="203"/>
      <c r="B914" s="187"/>
      <c r="C914" s="187"/>
      <c r="D914" s="187"/>
      <c r="E914" s="187"/>
      <c r="F914" s="187"/>
      <c r="G914" s="187"/>
      <c r="H914" s="187"/>
      <c r="I914" s="187"/>
      <c r="J914" s="187"/>
      <c r="K914" s="187"/>
      <c r="L914" s="187"/>
      <c r="M914" s="187"/>
      <c r="N914" s="187"/>
      <c r="O914" s="187"/>
      <c r="P914" s="187"/>
      <c r="Q914" s="187"/>
      <c r="R914" s="187"/>
      <c r="S914" s="187"/>
      <c r="T914" s="187"/>
      <c r="U914" s="187"/>
      <c r="V914" s="187"/>
      <c r="W914" s="187"/>
      <c r="X914" s="187"/>
      <c r="Y914" s="187"/>
      <c r="Z914" s="187"/>
    </row>
    <row r="915" ht="15.75" customHeight="1">
      <c r="A915" s="203"/>
      <c r="B915" s="187"/>
      <c r="C915" s="187"/>
      <c r="D915" s="187"/>
      <c r="E915" s="187"/>
      <c r="F915" s="187"/>
      <c r="G915" s="187"/>
      <c r="H915" s="187"/>
      <c r="I915" s="187"/>
      <c r="J915" s="187"/>
      <c r="K915" s="187"/>
      <c r="L915" s="187"/>
      <c r="M915" s="187"/>
      <c r="N915" s="187"/>
      <c r="O915" s="187"/>
      <c r="P915" s="187"/>
      <c r="Q915" s="187"/>
      <c r="R915" s="187"/>
      <c r="S915" s="187"/>
      <c r="T915" s="187"/>
      <c r="U915" s="187"/>
      <c r="V915" s="187"/>
      <c r="W915" s="187"/>
      <c r="X915" s="187"/>
      <c r="Y915" s="187"/>
      <c r="Z915" s="187"/>
    </row>
    <row r="916" ht="15.75" customHeight="1">
      <c r="A916" s="203"/>
      <c r="B916" s="187"/>
      <c r="C916" s="187"/>
      <c r="D916" s="187"/>
      <c r="E916" s="187"/>
      <c r="F916" s="187"/>
      <c r="G916" s="187"/>
      <c r="H916" s="187"/>
      <c r="I916" s="187"/>
      <c r="J916" s="187"/>
      <c r="K916" s="187"/>
      <c r="L916" s="187"/>
      <c r="M916" s="187"/>
      <c r="N916" s="187"/>
      <c r="O916" s="187"/>
      <c r="P916" s="187"/>
      <c r="Q916" s="187"/>
      <c r="R916" s="187"/>
      <c r="S916" s="187"/>
      <c r="T916" s="187"/>
      <c r="U916" s="187"/>
      <c r="V916" s="187"/>
      <c r="W916" s="187"/>
      <c r="X916" s="187"/>
      <c r="Y916" s="187"/>
      <c r="Z916" s="187"/>
    </row>
    <row r="917" ht="15.75" customHeight="1">
      <c r="A917" s="203"/>
      <c r="B917" s="187"/>
      <c r="C917" s="187"/>
      <c r="D917" s="187"/>
      <c r="E917" s="187"/>
      <c r="F917" s="187"/>
      <c r="G917" s="187"/>
      <c r="H917" s="187"/>
      <c r="I917" s="187"/>
      <c r="J917" s="187"/>
      <c r="K917" s="187"/>
      <c r="L917" s="187"/>
      <c r="M917" s="187"/>
      <c r="N917" s="187"/>
      <c r="O917" s="187"/>
      <c r="P917" s="187"/>
      <c r="Q917" s="187"/>
      <c r="R917" s="187"/>
      <c r="S917" s="187"/>
      <c r="T917" s="187"/>
      <c r="U917" s="187"/>
      <c r="V917" s="187"/>
      <c r="W917" s="187"/>
      <c r="X917" s="187"/>
      <c r="Y917" s="187"/>
      <c r="Z917" s="187"/>
    </row>
    <row r="918" ht="15.75" customHeight="1">
      <c r="A918" s="203"/>
      <c r="B918" s="187"/>
      <c r="C918" s="187"/>
      <c r="D918" s="187"/>
      <c r="E918" s="187"/>
      <c r="F918" s="187"/>
      <c r="G918" s="187"/>
      <c r="H918" s="187"/>
      <c r="I918" s="187"/>
      <c r="J918" s="187"/>
      <c r="K918" s="187"/>
      <c r="L918" s="187"/>
      <c r="M918" s="187"/>
      <c r="N918" s="187"/>
      <c r="O918" s="187"/>
      <c r="P918" s="187"/>
      <c r="Q918" s="187"/>
      <c r="R918" s="187"/>
      <c r="S918" s="187"/>
      <c r="T918" s="187"/>
      <c r="U918" s="187"/>
      <c r="V918" s="187"/>
      <c r="W918" s="187"/>
      <c r="X918" s="187"/>
      <c r="Y918" s="187"/>
      <c r="Z918" s="187"/>
    </row>
    <row r="919" ht="15.75" customHeight="1">
      <c r="A919" s="203"/>
      <c r="B919" s="187"/>
      <c r="C919" s="187"/>
      <c r="D919" s="187"/>
      <c r="E919" s="187"/>
      <c r="F919" s="187"/>
      <c r="G919" s="187"/>
      <c r="H919" s="187"/>
      <c r="I919" s="187"/>
      <c r="J919" s="187"/>
      <c r="K919" s="187"/>
      <c r="L919" s="187"/>
      <c r="M919" s="187"/>
      <c r="N919" s="187"/>
      <c r="O919" s="187"/>
      <c r="P919" s="187"/>
      <c r="Q919" s="187"/>
      <c r="R919" s="187"/>
      <c r="S919" s="187"/>
      <c r="T919" s="187"/>
      <c r="U919" s="187"/>
      <c r="V919" s="187"/>
      <c r="W919" s="187"/>
      <c r="X919" s="187"/>
      <c r="Y919" s="187"/>
      <c r="Z919" s="187"/>
    </row>
    <row r="920" ht="15.75" customHeight="1">
      <c r="A920" s="203"/>
      <c r="B920" s="187"/>
      <c r="C920" s="187"/>
      <c r="D920" s="187"/>
      <c r="E920" s="187"/>
      <c r="F920" s="187"/>
      <c r="G920" s="187"/>
      <c r="H920" s="187"/>
      <c r="I920" s="187"/>
      <c r="J920" s="187"/>
      <c r="K920" s="187"/>
      <c r="L920" s="187"/>
      <c r="M920" s="187"/>
      <c r="N920" s="187"/>
      <c r="O920" s="187"/>
      <c r="P920" s="187"/>
      <c r="Q920" s="187"/>
      <c r="R920" s="187"/>
      <c r="S920" s="187"/>
      <c r="T920" s="187"/>
      <c r="U920" s="187"/>
      <c r="V920" s="187"/>
      <c r="W920" s="187"/>
      <c r="X920" s="187"/>
      <c r="Y920" s="187"/>
      <c r="Z920" s="187"/>
    </row>
    <row r="921" ht="15.75" customHeight="1">
      <c r="A921" s="203"/>
      <c r="B921" s="187"/>
      <c r="C921" s="187"/>
      <c r="D921" s="187"/>
      <c r="E921" s="187"/>
      <c r="F921" s="187"/>
      <c r="G921" s="187"/>
      <c r="H921" s="187"/>
      <c r="I921" s="187"/>
      <c r="J921" s="187"/>
      <c r="K921" s="187"/>
      <c r="L921" s="187"/>
      <c r="M921" s="187"/>
      <c r="N921" s="187"/>
      <c r="O921" s="187"/>
      <c r="P921" s="187"/>
      <c r="Q921" s="187"/>
      <c r="R921" s="187"/>
      <c r="S921" s="187"/>
      <c r="T921" s="187"/>
      <c r="U921" s="187"/>
      <c r="V921" s="187"/>
      <c r="W921" s="187"/>
      <c r="X921" s="187"/>
      <c r="Y921" s="187"/>
      <c r="Z921" s="187"/>
    </row>
    <row r="922" ht="15.75" customHeight="1">
      <c r="A922" s="203"/>
      <c r="B922" s="187"/>
      <c r="C922" s="187"/>
      <c r="D922" s="187"/>
      <c r="E922" s="187"/>
      <c r="F922" s="187"/>
      <c r="G922" s="187"/>
      <c r="H922" s="187"/>
      <c r="I922" s="187"/>
      <c r="J922" s="187"/>
      <c r="K922" s="187"/>
      <c r="L922" s="187"/>
      <c r="M922" s="187"/>
      <c r="N922" s="187"/>
      <c r="O922" s="187"/>
      <c r="P922" s="187"/>
      <c r="Q922" s="187"/>
      <c r="R922" s="187"/>
      <c r="S922" s="187"/>
      <c r="T922" s="187"/>
      <c r="U922" s="187"/>
      <c r="V922" s="187"/>
      <c r="W922" s="187"/>
      <c r="X922" s="187"/>
      <c r="Y922" s="187"/>
      <c r="Z922" s="187"/>
    </row>
    <row r="923" ht="15.75" customHeight="1">
      <c r="A923" s="203"/>
      <c r="B923" s="187"/>
      <c r="C923" s="187"/>
      <c r="D923" s="187"/>
      <c r="E923" s="187"/>
      <c r="F923" s="187"/>
      <c r="G923" s="187"/>
      <c r="H923" s="187"/>
      <c r="I923" s="187"/>
      <c r="J923" s="187"/>
      <c r="K923" s="187"/>
      <c r="L923" s="187"/>
      <c r="M923" s="187"/>
      <c r="N923" s="187"/>
      <c r="O923" s="187"/>
      <c r="P923" s="187"/>
      <c r="Q923" s="187"/>
      <c r="R923" s="187"/>
      <c r="S923" s="187"/>
      <c r="T923" s="187"/>
      <c r="U923" s="187"/>
      <c r="V923" s="187"/>
      <c r="W923" s="187"/>
      <c r="X923" s="187"/>
      <c r="Y923" s="187"/>
      <c r="Z923" s="187"/>
    </row>
    <row r="924" ht="15.75" customHeight="1">
      <c r="A924" s="203"/>
      <c r="B924" s="187"/>
      <c r="C924" s="187"/>
      <c r="D924" s="187"/>
      <c r="E924" s="187"/>
      <c r="F924" s="187"/>
      <c r="G924" s="187"/>
      <c r="H924" s="187"/>
      <c r="I924" s="187"/>
      <c r="J924" s="187"/>
      <c r="K924" s="187"/>
      <c r="L924" s="187"/>
      <c r="M924" s="187"/>
      <c r="N924" s="187"/>
      <c r="O924" s="187"/>
      <c r="P924" s="187"/>
      <c r="Q924" s="187"/>
      <c r="R924" s="187"/>
      <c r="S924" s="187"/>
      <c r="T924" s="187"/>
      <c r="U924" s="187"/>
      <c r="V924" s="187"/>
      <c r="W924" s="187"/>
      <c r="X924" s="187"/>
      <c r="Y924" s="187"/>
      <c r="Z924" s="187"/>
    </row>
    <row r="925" ht="15.75" customHeight="1">
      <c r="A925" s="203"/>
      <c r="B925" s="187"/>
      <c r="C925" s="187"/>
      <c r="D925" s="187"/>
      <c r="E925" s="187"/>
      <c r="F925" s="187"/>
      <c r="G925" s="187"/>
      <c r="H925" s="187"/>
      <c r="I925" s="187"/>
      <c r="J925" s="187"/>
      <c r="K925" s="187"/>
      <c r="L925" s="187"/>
      <c r="M925" s="187"/>
      <c r="N925" s="187"/>
      <c r="O925" s="187"/>
      <c r="P925" s="187"/>
      <c r="Q925" s="187"/>
      <c r="R925" s="187"/>
      <c r="S925" s="187"/>
      <c r="T925" s="187"/>
      <c r="U925" s="187"/>
      <c r="V925" s="187"/>
      <c r="W925" s="187"/>
      <c r="X925" s="187"/>
      <c r="Y925" s="187"/>
      <c r="Z925" s="187"/>
    </row>
    <row r="926" ht="15.75" customHeight="1">
      <c r="A926" s="203"/>
      <c r="B926" s="187"/>
      <c r="C926" s="187"/>
      <c r="D926" s="187"/>
      <c r="E926" s="187"/>
      <c r="F926" s="187"/>
      <c r="G926" s="187"/>
      <c r="H926" s="187"/>
      <c r="I926" s="187"/>
      <c r="J926" s="187"/>
      <c r="K926" s="187"/>
      <c r="L926" s="187"/>
      <c r="M926" s="187"/>
      <c r="N926" s="187"/>
      <c r="O926" s="187"/>
      <c r="P926" s="187"/>
      <c r="Q926" s="187"/>
      <c r="R926" s="187"/>
      <c r="S926" s="187"/>
      <c r="T926" s="187"/>
      <c r="U926" s="187"/>
      <c r="V926" s="187"/>
      <c r="W926" s="187"/>
      <c r="X926" s="187"/>
      <c r="Y926" s="187"/>
      <c r="Z926" s="187"/>
    </row>
    <row r="927" ht="15.75" customHeight="1">
      <c r="A927" s="203"/>
      <c r="B927" s="187"/>
      <c r="C927" s="187"/>
      <c r="D927" s="187"/>
      <c r="E927" s="187"/>
      <c r="F927" s="187"/>
      <c r="G927" s="187"/>
      <c r="H927" s="187"/>
      <c r="I927" s="187"/>
      <c r="J927" s="187"/>
      <c r="K927" s="187"/>
      <c r="L927" s="187"/>
      <c r="M927" s="187"/>
      <c r="N927" s="187"/>
      <c r="O927" s="187"/>
      <c r="P927" s="187"/>
      <c r="Q927" s="187"/>
      <c r="R927" s="187"/>
      <c r="S927" s="187"/>
      <c r="T927" s="187"/>
      <c r="U927" s="187"/>
      <c r="V927" s="187"/>
      <c r="W927" s="187"/>
      <c r="X927" s="187"/>
      <c r="Y927" s="187"/>
      <c r="Z927" s="187"/>
    </row>
    <row r="928" ht="15.75" customHeight="1">
      <c r="A928" s="203"/>
      <c r="B928" s="187"/>
      <c r="C928" s="187"/>
      <c r="D928" s="187"/>
      <c r="E928" s="187"/>
      <c r="F928" s="187"/>
      <c r="G928" s="187"/>
      <c r="H928" s="187"/>
      <c r="I928" s="187"/>
      <c r="J928" s="187"/>
      <c r="K928" s="187"/>
      <c r="L928" s="187"/>
      <c r="M928" s="187"/>
      <c r="N928" s="187"/>
      <c r="O928" s="187"/>
      <c r="P928" s="187"/>
      <c r="Q928" s="187"/>
      <c r="R928" s="187"/>
      <c r="S928" s="187"/>
      <c r="T928" s="187"/>
      <c r="U928" s="187"/>
      <c r="V928" s="187"/>
      <c r="W928" s="187"/>
      <c r="X928" s="187"/>
      <c r="Y928" s="187"/>
      <c r="Z928" s="187"/>
    </row>
    <row r="929" ht="15.75" customHeight="1">
      <c r="A929" s="203"/>
      <c r="B929" s="187"/>
      <c r="C929" s="187"/>
      <c r="D929" s="187"/>
      <c r="E929" s="187"/>
      <c r="F929" s="187"/>
      <c r="G929" s="187"/>
      <c r="H929" s="187"/>
      <c r="I929" s="187"/>
      <c r="J929" s="187"/>
      <c r="K929" s="187"/>
      <c r="L929" s="187"/>
      <c r="M929" s="187"/>
      <c r="N929" s="187"/>
      <c r="O929" s="187"/>
      <c r="P929" s="187"/>
      <c r="Q929" s="187"/>
      <c r="R929" s="187"/>
      <c r="S929" s="187"/>
      <c r="T929" s="187"/>
      <c r="U929" s="187"/>
      <c r="V929" s="187"/>
      <c r="W929" s="187"/>
      <c r="X929" s="187"/>
      <c r="Y929" s="187"/>
      <c r="Z929" s="187"/>
    </row>
    <row r="930" ht="15.75" customHeight="1">
      <c r="A930" s="203"/>
      <c r="B930" s="187"/>
      <c r="C930" s="187"/>
      <c r="D930" s="187"/>
      <c r="E930" s="187"/>
      <c r="F930" s="187"/>
      <c r="G930" s="187"/>
      <c r="H930" s="187"/>
      <c r="I930" s="187"/>
      <c r="J930" s="187"/>
      <c r="K930" s="187"/>
      <c r="L930" s="187"/>
      <c r="M930" s="187"/>
      <c r="N930" s="187"/>
      <c r="O930" s="187"/>
      <c r="P930" s="187"/>
      <c r="Q930" s="187"/>
      <c r="R930" s="187"/>
      <c r="S930" s="187"/>
      <c r="T930" s="187"/>
      <c r="U930" s="187"/>
      <c r="V930" s="187"/>
      <c r="W930" s="187"/>
      <c r="X930" s="187"/>
      <c r="Y930" s="187"/>
      <c r="Z930" s="187"/>
    </row>
    <row r="931" ht="15.75" customHeight="1">
      <c r="A931" s="203"/>
      <c r="B931" s="187"/>
      <c r="C931" s="187"/>
      <c r="D931" s="187"/>
      <c r="E931" s="187"/>
      <c r="F931" s="187"/>
      <c r="G931" s="187"/>
      <c r="H931" s="187"/>
      <c r="I931" s="187"/>
      <c r="J931" s="187"/>
      <c r="K931" s="187"/>
      <c r="L931" s="187"/>
      <c r="M931" s="187"/>
      <c r="N931" s="187"/>
      <c r="O931" s="187"/>
      <c r="P931" s="187"/>
      <c r="Q931" s="187"/>
      <c r="R931" s="187"/>
      <c r="S931" s="187"/>
      <c r="T931" s="187"/>
      <c r="U931" s="187"/>
      <c r="V931" s="187"/>
      <c r="W931" s="187"/>
      <c r="X931" s="187"/>
      <c r="Y931" s="187"/>
      <c r="Z931" s="187"/>
    </row>
    <row r="932" ht="15.75" customHeight="1">
      <c r="A932" s="203"/>
      <c r="B932" s="187"/>
      <c r="C932" s="187"/>
      <c r="D932" s="187"/>
      <c r="E932" s="187"/>
      <c r="F932" s="187"/>
      <c r="G932" s="187"/>
      <c r="H932" s="187"/>
      <c r="I932" s="187"/>
      <c r="J932" s="187"/>
      <c r="K932" s="187"/>
      <c r="L932" s="187"/>
      <c r="M932" s="187"/>
      <c r="N932" s="187"/>
      <c r="O932" s="187"/>
      <c r="P932" s="187"/>
      <c r="Q932" s="187"/>
      <c r="R932" s="187"/>
      <c r="S932" s="187"/>
      <c r="T932" s="187"/>
      <c r="U932" s="187"/>
      <c r="V932" s="187"/>
      <c r="W932" s="187"/>
      <c r="X932" s="187"/>
      <c r="Y932" s="187"/>
      <c r="Z932" s="187"/>
    </row>
    <row r="933" ht="15.75" customHeight="1">
      <c r="A933" s="203"/>
      <c r="B933" s="187"/>
      <c r="C933" s="187"/>
      <c r="D933" s="187"/>
      <c r="E933" s="187"/>
      <c r="F933" s="187"/>
      <c r="G933" s="187"/>
      <c r="H933" s="187"/>
      <c r="I933" s="187"/>
      <c r="J933" s="187"/>
      <c r="K933" s="187"/>
      <c r="L933" s="187"/>
      <c r="M933" s="187"/>
      <c r="N933" s="187"/>
      <c r="O933" s="187"/>
      <c r="P933" s="187"/>
      <c r="Q933" s="187"/>
      <c r="R933" s="187"/>
      <c r="S933" s="187"/>
      <c r="T933" s="187"/>
      <c r="U933" s="187"/>
      <c r="V933" s="187"/>
      <c r="W933" s="187"/>
      <c r="X933" s="187"/>
      <c r="Y933" s="187"/>
      <c r="Z933" s="187"/>
    </row>
    <row r="934" ht="15.75" customHeight="1">
      <c r="A934" s="203"/>
      <c r="B934" s="187"/>
      <c r="C934" s="187"/>
      <c r="D934" s="187"/>
      <c r="E934" s="187"/>
      <c r="F934" s="187"/>
      <c r="G934" s="187"/>
      <c r="H934" s="187"/>
      <c r="I934" s="187"/>
      <c r="J934" s="187"/>
      <c r="K934" s="187"/>
      <c r="L934" s="187"/>
      <c r="M934" s="187"/>
      <c r="N934" s="187"/>
      <c r="O934" s="187"/>
      <c r="P934" s="187"/>
      <c r="Q934" s="187"/>
      <c r="R934" s="187"/>
      <c r="S934" s="187"/>
      <c r="T934" s="187"/>
      <c r="U934" s="187"/>
      <c r="V934" s="187"/>
      <c r="W934" s="187"/>
      <c r="X934" s="187"/>
      <c r="Y934" s="187"/>
      <c r="Z934" s="187"/>
    </row>
    <row r="935" ht="15.75" customHeight="1">
      <c r="A935" s="203"/>
      <c r="B935" s="187"/>
      <c r="C935" s="187"/>
      <c r="D935" s="187"/>
      <c r="E935" s="187"/>
      <c r="F935" s="187"/>
      <c r="G935" s="187"/>
      <c r="H935" s="187"/>
      <c r="I935" s="187"/>
      <c r="J935" s="187"/>
      <c r="K935" s="187"/>
      <c r="L935" s="187"/>
      <c r="M935" s="187"/>
      <c r="N935" s="187"/>
      <c r="O935" s="187"/>
      <c r="P935" s="187"/>
      <c r="Q935" s="187"/>
      <c r="R935" s="187"/>
      <c r="S935" s="187"/>
      <c r="T935" s="187"/>
      <c r="U935" s="187"/>
      <c r="V935" s="187"/>
      <c r="W935" s="187"/>
      <c r="X935" s="187"/>
      <c r="Y935" s="187"/>
      <c r="Z935" s="187"/>
    </row>
    <row r="936" ht="15.75" customHeight="1">
      <c r="A936" s="203"/>
      <c r="B936" s="187"/>
      <c r="C936" s="187"/>
      <c r="D936" s="187"/>
      <c r="E936" s="187"/>
      <c r="F936" s="187"/>
      <c r="G936" s="187"/>
      <c r="H936" s="187"/>
      <c r="I936" s="187"/>
      <c r="J936" s="187"/>
      <c r="K936" s="187"/>
      <c r="L936" s="187"/>
      <c r="M936" s="187"/>
      <c r="N936" s="187"/>
      <c r="O936" s="187"/>
      <c r="P936" s="187"/>
      <c r="Q936" s="187"/>
      <c r="R936" s="187"/>
      <c r="S936" s="187"/>
      <c r="T936" s="187"/>
      <c r="U936" s="187"/>
      <c r="V936" s="187"/>
      <c r="W936" s="187"/>
      <c r="X936" s="187"/>
      <c r="Y936" s="187"/>
      <c r="Z936" s="187"/>
    </row>
    <row r="937" ht="15.75" customHeight="1">
      <c r="A937" s="203"/>
      <c r="B937" s="187"/>
      <c r="C937" s="187"/>
      <c r="D937" s="187"/>
      <c r="E937" s="187"/>
      <c r="F937" s="187"/>
      <c r="G937" s="187"/>
      <c r="H937" s="187"/>
      <c r="I937" s="187"/>
      <c r="J937" s="187"/>
      <c r="K937" s="187"/>
      <c r="L937" s="187"/>
      <c r="M937" s="187"/>
      <c r="N937" s="187"/>
      <c r="O937" s="187"/>
      <c r="P937" s="187"/>
      <c r="Q937" s="187"/>
      <c r="R937" s="187"/>
      <c r="S937" s="187"/>
      <c r="T937" s="187"/>
      <c r="U937" s="187"/>
      <c r="V937" s="187"/>
      <c r="W937" s="187"/>
      <c r="X937" s="187"/>
      <c r="Y937" s="187"/>
      <c r="Z937" s="187"/>
    </row>
    <row r="938" ht="15.75" customHeight="1">
      <c r="A938" s="203"/>
      <c r="B938" s="187"/>
      <c r="C938" s="187"/>
      <c r="D938" s="187"/>
      <c r="E938" s="187"/>
      <c r="F938" s="187"/>
      <c r="G938" s="187"/>
      <c r="H938" s="187"/>
      <c r="I938" s="187"/>
      <c r="J938" s="187"/>
      <c r="K938" s="187"/>
      <c r="L938" s="187"/>
      <c r="M938" s="187"/>
      <c r="N938" s="187"/>
      <c r="O938" s="187"/>
      <c r="P938" s="187"/>
      <c r="Q938" s="187"/>
      <c r="R938" s="187"/>
      <c r="S938" s="187"/>
      <c r="T938" s="187"/>
      <c r="U938" s="187"/>
      <c r="V938" s="187"/>
      <c r="W938" s="187"/>
      <c r="X938" s="187"/>
      <c r="Y938" s="187"/>
      <c r="Z938" s="187"/>
    </row>
    <row r="939" ht="15.75" customHeight="1">
      <c r="A939" s="203"/>
      <c r="B939" s="187"/>
      <c r="C939" s="187"/>
      <c r="D939" s="187"/>
      <c r="E939" s="187"/>
      <c r="F939" s="187"/>
      <c r="G939" s="187"/>
      <c r="H939" s="187"/>
      <c r="I939" s="187"/>
      <c r="J939" s="187"/>
      <c r="K939" s="187"/>
      <c r="L939" s="187"/>
      <c r="M939" s="187"/>
      <c r="N939" s="187"/>
      <c r="O939" s="187"/>
      <c r="P939" s="187"/>
      <c r="Q939" s="187"/>
      <c r="R939" s="187"/>
      <c r="S939" s="187"/>
      <c r="T939" s="187"/>
      <c r="U939" s="187"/>
      <c r="V939" s="187"/>
      <c r="W939" s="187"/>
      <c r="X939" s="187"/>
      <c r="Y939" s="187"/>
      <c r="Z939" s="187"/>
    </row>
    <row r="940" ht="15.75" customHeight="1">
      <c r="A940" s="203"/>
      <c r="B940" s="187"/>
      <c r="C940" s="187"/>
      <c r="D940" s="187"/>
      <c r="E940" s="187"/>
      <c r="F940" s="187"/>
      <c r="G940" s="187"/>
      <c r="H940" s="187"/>
      <c r="I940" s="187"/>
      <c r="J940" s="187"/>
      <c r="K940" s="187"/>
      <c r="L940" s="187"/>
      <c r="M940" s="187"/>
      <c r="N940" s="187"/>
      <c r="O940" s="187"/>
      <c r="P940" s="187"/>
      <c r="Q940" s="187"/>
      <c r="R940" s="187"/>
      <c r="S940" s="187"/>
      <c r="T940" s="187"/>
      <c r="U940" s="187"/>
      <c r="V940" s="187"/>
      <c r="W940" s="187"/>
      <c r="X940" s="187"/>
      <c r="Y940" s="187"/>
      <c r="Z940" s="187"/>
    </row>
    <row r="941" ht="15.75" customHeight="1">
      <c r="A941" s="203"/>
      <c r="B941" s="187"/>
      <c r="C941" s="187"/>
      <c r="D941" s="187"/>
      <c r="E941" s="187"/>
      <c r="F941" s="187"/>
      <c r="G941" s="187"/>
      <c r="H941" s="187"/>
      <c r="I941" s="187"/>
      <c r="J941" s="187"/>
      <c r="K941" s="187"/>
      <c r="L941" s="187"/>
      <c r="M941" s="187"/>
      <c r="N941" s="187"/>
      <c r="O941" s="187"/>
      <c r="P941" s="187"/>
      <c r="Q941" s="187"/>
      <c r="R941" s="187"/>
      <c r="S941" s="187"/>
      <c r="T941" s="187"/>
      <c r="U941" s="187"/>
      <c r="V941" s="187"/>
      <c r="W941" s="187"/>
      <c r="X941" s="187"/>
      <c r="Y941" s="187"/>
      <c r="Z941" s="187"/>
    </row>
    <row r="942" ht="15.75" customHeight="1">
      <c r="A942" s="203"/>
      <c r="B942" s="187"/>
      <c r="C942" s="187"/>
      <c r="D942" s="187"/>
      <c r="E942" s="187"/>
      <c r="F942" s="187"/>
      <c r="G942" s="187"/>
      <c r="H942" s="187"/>
      <c r="I942" s="187"/>
      <c r="J942" s="187"/>
      <c r="K942" s="187"/>
      <c r="L942" s="187"/>
      <c r="M942" s="187"/>
      <c r="N942" s="187"/>
      <c r="O942" s="187"/>
      <c r="P942" s="187"/>
      <c r="Q942" s="187"/>
      <c r="R942" s="187"/>
      <c r="S942" s="187"/>
      <c r="T942" s="187"/>
      <c r="U942" s="187"/>
      <c r="V942" s="187"/>
      <c r="W942" s="187"/>
      <c r="X942" s="187"/>
      <c r="Y942" s="187"/>
      <c r="Z942" s="187"/>
    </row>
    <row r="943" ht="15.75" customHeight="1">
      <c r="A943" s="203"/>
      <c r="B943" s="187"/>
      <c r="C943" s="187"/>
      <c r="D943" s="187"/>
      <c r="E943" s="187"/>
      <c r="F943" s="187"/>
      <c r="G943" s="187"/>
      <c r="H943" s="187"/>
      <c r="I943" s="187"/>
      <c r="J943" s="187"/>
      <c r="K943" s="187"/>
      <c r="L943" s="187"/>
      <c r="M943" s="187"/>
      <c r="N943" s="187"/>
      <c r="O943" s="187"/>
      <c r="P943" s="187"/>
      <c r="Q943" s="187"/>
      <c r="R943" s="187"/>
      <c r="S943" s="187"/>
      <c r="T943" s="187"/>
      <c r="U943" s="187"/>
      <c r="V943" s="187"/>
      <c r="W943" s="187"/>
      <c r="X943" s="187"/>
      <c r="Y943" s="187"/>
      <c r="Z943" s="187"/>
    </row>
    <row r="944" ht="15.75" customHeight="1">
      <c r="A944" s="203"/>
      <c r="B944" s="187"/>
      <c r="C944" s="187"/>
      <c r="D944" s="187"/>
      <c r="E944" s="187"/>
      <c r="F944" s="187"/>
      <c r="G944" s="187"/>
      <c r="H944" s="187"/>
      <c r="I944" s="187"/>
      <c r="J944" s="187"/>
      <c r="K944" s="187"/>
      <c r="L944" s="187"/>
      <c r="M944" s="187"/>
      <c r="N944" s="187"/>
      <c r="O944" s="187"/>
      <c r="P944" s="187"/>
      <c r="Q944" s="187"/>
      <c r="R944" s="187"/>
      <c r="S944" s="187"/>
      <c r="T944" s="187"/>
      <c r="U944" s="187"/>
      <c r="V944" s="187"/>
      <c r="W944" s="187"/>
      <c r="X944" s="187"/>
      <c r="Y944" s="187"/>
      <c r="Z944" s="187"/>
    </row>
    <row r="945" ht="15.75" customHeight="1">
      <c r="A945" s="203"/>
      <c r="B945" s="187"/>
      <c r="C945" s="187"/>
      <c r="D945" s="187"/>
      <c r="E945" s="187"/>
      <c r="F945" s="187"/>
      <c r="G945" s="187"/>
      <c r="H945" s="187"/>
      <c r="I945" s="187"/>
      <c r="J945" s="187"/>
      <c r="K945" s="187"/>
      <c r="L945" s="187"/>
      <c r="M945" s="187"/>
      <c r="N945" s="187"/>
      <c r="O945" s="187"/>
      <c r="P945" s="187"/>
      <c r="Q945" s="187"/>
      <c r="R945" s="187"/>
      <c r="S945" s="187"/>
      <c r="T945" s="187"/>
      <c r="U945" s="187"/>
      <c r="V945" s="187"/>
      <c r="W945" s="187"/>
      <c r="X945" s="187"/>
      <c r="Y945" s="187"/>
      <c r="Z945" s="187"/>
    </row>
    <row r="946" ht="15.75" customHeight="1">
      <c r="A946" s="203"/>
      <c r="B946" s="187"/>
      <c r="C946" s="187"/>
      <c r="D946" s="187"/>
      <c r="E946" s="187"/>
      <c r="F946" s="187"/>
      <c r="G946" s="187"/>
      <c r="H946" s="187"/>
      <c r="I946" s="187"/>
      <c r="J946" s="187"/>
      <c r="K946" s="187"/>
      <c r="L946" s="187"/>
      <c r="M946" s="187"/>
      <c r="N946" s="187"/>
      <c r="O946" s="187"/>
      <c r="P946" s="187"/>
      <c r="Q946" s="187"/>
      <c r="R946" s="187"/>
      <c r="S946" s="187"/>
      <c r="T946" s="187"/>
      <c r="U946" s="187"/>
      <c r="V946" s="187"/>
      <c r="W946" s="187"/>
      <c r="X946" s="187"/>
      <c r="Y946" s="187"/>
      <c r="Z946" s="187"/>
    </row>
    <row r="947" ht="15.75" customHeight="1">
      <c r="A947" s="203"/>
      <c r="B947" s="187"/>
      <c r="C947" s="187"/>
      <c r="D947" s="187"/>
      <c r="E947" s="187"/>
      <c r="F947" s="187"/>
      <c r="G947" s="187"/>
      <c r="H947" s="187"/>
      <c r="I947" s="187"/>
      <c r="J947" s="187"/>
      <c r="K947" s="187"/>
      <c r="L947" s="187"/>
      <c r="M947" s="187"/>
      <c r="N947" s="187"/>
      <c r="O947" s="187"/>
      <c r="P947" s="187"/>
      <c r="Q947" s="187"/>
      <c r="R947" s="187"/>
      <c r="S947" s="187"/>
      <c r="T947" s="187"/>
      <c r="U947" s="187"/>
      <c r="V947" s="187"/>
      <c r="W947" s="187"/>
      <c r="X947" s="187"/>
      <c r="Y947" s="187"/>
      <c r="Z947" s="187"/>
    </row>
    <row r="948" ht="15.75" customHeight="1">
      <c r="A948" s="203"/>
      <c r="B948" s="187"/>
      <c r="C948" s="187"/>
      <c r="D948" s="187"/>
      <c r="E948" s="187"/>
      <c r="F948" s="187"/>
      <c r="G948" s="187"/>
      <c r="H948" s="187"/>
      <c r="I948" s="187"/>
      <c r="J948" s="187"/>
      <c r="K948" s="187"/>
      <c r="L948" s="187"/>
      <c r="M948" s="187"/>
      <c r="N948" s="187"/>
      <c r="O948" s="187"/>
      <c r="P948" s="187"/>
      <c r="Q948" s="187"/>
      <c r="R948" s="187"/>
      <c r="S948" s="187"/>
      <c r="T948" s="187"/>
      <c r="U948" s="187"/>
      <c r="V948" s="187"/>
      <c r="W948" s="187"/>
      <c r="X948" s="187"/>
      <c r="Y948" s="187"/>
      <c r="Z948" s="187"/>
    </row>
    <row r="949" ht="15.75" customHeight="1">
      <c r="A949" s="203"/>
      <c r="B949" s="187"/>
      <c r="C949" s="187"/>
      <c r="D949" s="187"/>
      <c r="E949" s="187"/>
      <c r="F949" s="187"/>
      <c r="G949" s="187"/>
      <c r="H949" s="187"/>
      <c r="I949" s="187"/>
      <c r="J949" s="187"/>
      <c r="K949" s="187"/>
      <c r="L949" s="187"/>
      <c r="M949" s="187"/>
      <c r="N949" s="187"/>
      <c r="O949" s="187"/>
      <c r="P949" s="187"/>
      <c r="Q949" s="187"/>
      <c r="R949" s="187"/>
      <c r="S949" s="187"/>
      <c r="T949" s="187"/>
      <c r="U949" s="187"/>
      <c r="V949" s="187"/>
      <c r="W949" s="187"/>
      <c r="X949" s="187"/>
      <c r="Y949" s="187"/>
      <c r="Z949" s="187"/>
    </row>
    <row r="950" ht="15.75" customHeight="1">
      <c r="A950" s="203"/>
      <c r="B950" s="187"/>
      <c r="C950" s="187"/>
      <c r="D950" s="187"/>
      <c r="E950" s="187"/>
      <c r="F950" s="187"/>
      <c r="G950" s="187"/>
      <c r="H950" s="187"/>
      <c r="I950" s="187"/>
      <c r="J950" s="187"/>
      <c r="K950" s="187"/>
      <c r="L950" s="187"/>
      <c r="M950" s="187"/>
      <c r="N950" s="187"/>
      <c r="O950" s="187"/>
      <c r="P950" s="187"/>
      <c r="Q950" s="187"/>
      <c r="R950" s="187"/>
      <c r="S950" s="187"/>
      <c r="T950" s="187"/>
      <c r="U950" s="187"/>
      <c r="V950" s="187"/>
      <c r="W950" s="187"/>
      <c r="X950" s="187"/>
      <c r="Y950" s="187"/>
      <c r="Z950" s="187"/>
    </row>
    <row r="951" ht="15.75" customHeight="1">
      <c r="A951" s="203"/>
      <c r="B951" s="187"/>
      <c r="C951" s="187"/>
      <c r="D951" s="187"/>
      <c r="E951" s="187"/>
      <c r="F951" s="187"/>
      <c r="G951" s="187"/>
      <c r="H951" s="187"/>
      <c r="I951" s="187"/>
      <c r="J951" s="187"/>
      <c r="K951" s="187"/>
      <c r="L951" s="187"/>
      <c r="M951" s="187"/>
      <c r="N951" s="187"/>
      <c r="O951" s="187"/>
      <c r="P951" s="187"/>
      <c r="Q951" s="187"/>
      <c r="R951" s="187"/>
      <c r="S951" s="187"/>
      <c r="T951" s="187"/>
      <c r="U951" s="187"/>
      <c r="V951" s="187"/>
      <c r="W951" s="187"/>
      <c r="X951" s="187"/>
      <c r="Y951" s="187"/>
      <c r="Z951" s="187"/>
    </row>
    <row r="952" ht="15.75" customHeight="1">
      <c r="A952" s="203"/>
      <c r="B952" s="187"/>
      <c r="C952" s="187"/>
      <c r="D952" s="187"/>
      <c r="E952" s="187"/>
      <c r="F952" s="187"/>
      <c r="G952" s="187"/>
      <c r="H952" s="187"/>
      <c r="I952" s="187"/>
      <c r="J952" s="187"/>
      <c r="K952" s="187"/>
      <c r="L952" s="187"/>
      <c r="M952" s="187"/>
      <c r="N952" s="187"/>
      <c r="O952" s="187"/>
      <c r="P952" s="187"/>
      <c r="Q952" s="187"/>
      <c r="R952" s="187"/>
      <c r="S952" s="187"/>
      <c r="T952" s="187"/>
      <c r="U952" s="187"/>
      <c r="V952" s="187"/>
      <c r="W952" s="187"/>
      <c r="X952" s="187"/>
      <c r="Y952" s="187"/>
      <c r="Z952" s="187"/>
    </row>
    <row r="953" ht="15.75" customHeight="1">
      <c r="A953" s="203"/>
      <c r="B953" s="187"/>
      <c r="C953" s="187"/>
      <c r="D953" s="187"/>
      <c r="E953" s="187"/>
      <c r="F953" s="187"/>
      <c r="G953" s="187"/>
      <c r="H953" s="187"/>
      <c r="I953" s="187"/>
      <c r="J953" s="187"/>
      <c r="K953" s="187"/>
      <c r="L953" s="187"/>
      <c r="M953" s="187"/>
      <c r="N953" s="187"/>
      <c r="O953" s="187"/>
      <c r="P953" s="187"/>
      <c r="Q953" s="187"/>
      <c r="R953" s="187"/>
      <c r="S953" s="187"/>
      <c r="T953" s="187"/>
      <c r="U953" s="187"/>
      <c r="V953" s="187"/>
      <c r="W953" s="187"/>
      <c r="X953" s="187"/>
      <c r="Y953" s="187"/>
      <c r="Z953" s="187"/>
    </row>
    <row r="954" ht="15.75" customHeight="1">
      <c r="A954" s="203"/>
      <c r="B954" s="187"/>
      <c r="C954" s="187"/>
      <c r="D954" s="187"/>
      <c r="E954" s="187"/>
      <c r="F954" s="187"/>
      <c r="G954" s="187"/>
      <c r="H954" s="187"/>
      <c r="I954" s="187"/>
      <c r="J954" s="187"/>
      <c r="K954" s="187"/>
      <c r="L954" s="187"/>
      <c r="M954" s="187"/>
      <c r="N954" s="187"/>
      <c r="O954" s="187"/>
      <c r="P954" s="187"/>
      <c r="Q954" s="187"/>
      <c r="R954" s="187"/>
      <c r="S954" s="187"/>
      <c r="T954" s="187"/>
      <c r="U954" s="187"/>
      <c r="V954" s="187"/>
      <c r="W954" s="187"/>
      <c r="X954" s="187"/>
      <c r="Y954" s="187"/>
      <c r="Z954" s="187"/>
    </row>
    <row r="955" ht="15.75" customHeight="1">
      <c r="A955" s="203"/>
      <c r="B955" s="187"/>
      <c r="C955" s="187"/>
      <c r="D955" s="187"/>
      <c r="E955" s="187"/>
      <c r="F955" s="187"/>
      <c r="G955" s="187"/>
      <c r="H955" s="187"/>
      <c r="I955" s="187"/>
      <c r="J955" s="187"/>
      <c r="K955" s="187"/>
      <c r="L955" s="187"/>
      <c r="M955" s="187"/>
      <c r="N955" s="187"/>
      <c r="O955" s="187"/>
      <c r="P955" s="187"/>
      <c r="Q955" s="187"/>
      <c r="R955" s="187"/>
      <c r="S955" s="187"/>
      <c r="T955" s="187"/>
      <c r="U955" s="187"/>
      <c r="V955" s="187"/>
      <c r="W955" s="187"/>
      <c r="X955" s="187"/>
      <c r="Y955" s="187"/>
      <c r="Z955" s="187"/>
    </row>
    <row r="956" ht="15.75" customHeight="1">
      <c r="A956" s="203"/>
      <c r="B956" s="187"/>
      <c r="C956" s="187"/>
      <c r="D956" s="187"/>
      <c r="E956" s="187"/>
      <c r="F956" s="187"/>
      <c r="G956" s="187"/>
      <c r="H956" s="187"/>
      <c r="I956" s="187"/>
      <c r="J956" s="187"/>
      <c r="K956" s="187"/>
      <c r="L956" s="187"/>
      <c r="M956" s="187"/>
      <c r="N956" s="187"/>
      <c r="O956" s="187"/>
      <c r="P956" s="187"/>
      <c r="Q956" s="187"/>
      <c r="R956" s="187"/>
      <c r="S956" s="187"/>
      <c r="T956" s="187"/>
      <c r="U956" s="187"/>
      <c r="V956" s="187"/>
      <c r="W956" s="187"/>
      <c r="X956" s="187"/>
      <c r="Y956" s="187"/>
      <c r="Z956" s="187"/>
    </row>
    <row r="957" ht="15.75" customHeight="1">
      <c r="A957" s="203"/>
      <c r="B957" s="187"/>
      <c r="C957" s="187"/>
      <c r="D957" s="187"/>
      <c r="E957" s="187"/>
      <c r="F957" s="187"/>
      <c r="G957" s="187"/>
      <c r="H957" s="187"/>
      <c r="I957" s="187"/>
      <c r="J957" s="187"/>
      <c r="K957" s="187"/>
      <c r="L957" s="187"/>
      <c r="M957" s="187"/>
      <c r="N957" s="187"/>
      <c r="O957" s="187"/>
      <c r="P957" s="187"/>
      <c r="Q957" s="187"/>
      <c r="R957" s="187"/>
      <c r="S957" s="187"/>
      <c r="T957" s="187"/>
      <c r="U957" s="187"/>
      <c r="V957" s="187"/>
      <c r="W957" s="187"/>
      <c r="X957" s="187"/>
      <c r="Y957" s="187"/>
      <c r="Z957" s="187"/>
    </row>
    <row r="958" ht="15.75" customHeight="1">
      <c r="A958" s="203"/>
      <c r="B958" s="187"/>
      <c r="C958" s="187"/>
      <c r="D958" s="187"/>
      <c r="E958" s="187"/>
      <c r="F958" s="187"/>
      <c r="G958" s="187"/>
      <c r="H958" s="187"/>
      <c r="I958" s="187"/>
      <c r="J958" s="187"/>
      <c r="K958" s="187"/>
      <c r="L958" s="187"/>
      <c r="M958" s="187"/>
      <c r="N958" s="187"/>
      <c r="O958" s="187"/>
      <c r="P958" s="187"/>
      <c r="Q958" s="187"/>
      <c r="R958" s="187"/>
      <c r="S958" s="187"/>
      <c r="T958" s="187"/>
      <c r="U958" s="187"/>
      <c r="V958" s="187"/>
      <c r="W958" s="187"/>
      <c r="X958" s="187"/>
      <c r="Y958" s="187"/>
      <c r="Z958" s="187"/>
    </row>
    <row r="959" ht="15.75" customHeight="1">
      <c r="A959" s="203"/>
      <c r="B959" s="187"/>
      <c r="C959" s="187"/>
      <c r="D959" s="187"/>
      <c r="E959" s="187"/>
      <c r="F959" s="187"/>
      <c r="G959" s="187"/>
      <c r="H959" s="187"/>
      <c r="I959" s="187"/>
      <c r="J959" s="187"/>
      <c r="K959" s="187"/>
      <c r="L959" s="187"/>
      <c r="M959" s="187"/>
      <c r="N959" s="187"/>
      <c r="O959" s="187"/>
      <c r="P959" s="187"/>
      <c r="Q959" s="187"/>
      <c r="R959" s="187"/>
      <c r="S959" s="187"/>
      <c r="T959" s="187"/>
      <c r="U959" s="187"/>
      <c r="V959" s="187"/>
      <c r="W959" s="187"/>
      <c r="X959" s="187"/>
      <c r="Y959" s="187"/>
      <c r="Z959" s="187"/>
    </row>
    <row r="960" ht="15.75" customHeight="1">
      <c r="A960" s="203"/>
      <c r="B960" s="187"/>
      <c r="C960" s="187"/>
      <c r="D960" s="187"/>
      <c r="E960" s="187"/>
      <c r="F960" s="187"/>
      <c r="G960" s="187"/>
      <c r="H960" s="187"/>
      <c r="I960" s="187"/>
      <c r="J960" s="187"/>
      <c r="K960" s="187"/>
      <c r="L960" s="187"/>
      <c r="M960" s="187"/>
      <c r="N960" s="187"/>
      <c r="O960" s="187"/>
      <c r="P960" s="187"/>
      <c r="Q960" s="187"/>
      <c r="R960" s="187"/>
      <c r="S960" s="187"/>
      <c r="T960" s="187"/>
      <c r="U960" s="187"/>
      <c r="V960" s="187"/>
      <c r="W960" s="187"/>
      <c r="X960" s="187"/>
      <c r="Y960" s="187"/>
      <c r="Z960" s="187"/>
    </row>
    <row r="961" ht="15.75" customHeight="1">
      <c r="A961" s="203"/>
      <c r="B961" s="187"/>
      <c r="C961" s="187"/>
      <c r="D961" s="187"/>
      <c r="E961" s="187"/>
      <c r="F961" s="187"/>
      <c r="G961" s="187"/>
      <c r="H961" s="187"/>
      <c r="I961" s="187"/>
      <c r="J961" s="187"/>
      <c r="K961" s="187"/>
      <c r="L961" s="187"/>
      <c r="M961" s="187"/>
      <c r="N961" s="187"/>
      <c r="O961" s="187"/>
      <c r="P961" s="187"/>
      <c r="Q961" s="187"/>
      <c r="R961" s="187"/>
      <c r="S961" s="187"/>
      <c r="T961" s="187"/>
      <c r="U961" s="187"/>
      <c r="V961" s="187"/>
      <c r="W961" s="187"/>
      <c r="X961" s="187"/>
      <c r="Y961" s="187"/>
      <c r="Z961" s="187"/>
    </row>
    <row r="962" ht="15.75" customHeight="1">
      <c r="A962" s="203"/>
      <c r="B962" s="187"/>
      <c r="C962" s="187"/>
      <c r="D962" s="187"/>
      <c r="E962" s="187"/>
      <c r="F962" s="187"/>
      <c r="G962" s="187"/>
      <c r="H962" s="187"/>
      <c r="I962" s="187"/>
      <c r="J962" s="187"/>
      <c r="K962" s="187"/>
      <c r="L962" s="187"/>
      <c r="M962" s="187"/>
      <c r="N962" s="187"/>
      <c r="O962" s="187"/>
      <c r="P962" s="187"/>
      <c r="Q962" s="187"/>
      <c r="R962" s="187"/>
      <c r="S962" s="187"/>
      <c r="T962" s="187"/>
      <c r="U962" s="187"/>
      <c r="V962" s="187"/>
      <c r="W962" s="187"/>
      <c r="X962" s="187"/>
      <c r="Y962" s="187"/>
      <c r="Z962" s="187"/>
    </row>
    <row r="963" ht="15.75" customHeight="1">
      <c r="A963" s="203"/>
      <c r="B963" s="187"/>
      <c r="C963" s="187"/>
      <c r="D963" s="187"/>
      <c r="E963" s="187"/>
      <c r="F963" s="187"/>
      <c r="G963" s="187"/>
      <c r="H963" s="187"/>
      <c r="I963" s="187"/>
      <c r="J963" s="187"/>
      <c r="K963" s="187"/>
      <c r="L963" s="187"/>
      <c r="M963" s="187"/>
      <c r="N963" s="187"/>
      <c r="O963" s="187"/>
      <c r="P963" s="187"/>
      <c r="Q963" s="187"/>
      <c r="R963" s="187"/>
      <c r="S963" s="187"/>
      <c r="T963" s="187"/>
      <c r="U963" s="187"/>
      <c r="V963" s="187"/>
      <c r="W963" s="187"/>
      <c r="X963" s="187"/>
      <c r="Y963" s="187"/>
      <c r="Z963" s="187"/>
    </row>
    <row r="964" ht="15.75" customHeight="1">
      <c r="A964" s="203"/>
      <c r="B964" s="187"/>
      <c r="C964" s="187"/>
      <c r="D964" s="187"/>
      <c r="E964" s="187"/>
      <c r="F964" s="187"/>
      <c r="G964" s="187"/>
      <c r="H964" s="187"/>
      <c r="I964" s="187"/>
      <c r="J964" s="187"/>
      <c r="K964" s="187"/>
      <c r="L964" s="187"/>
      <c r="M964" s="187"/>
      <c r="N964" s="187"/>
      <c r="O964" s="187"/>
      <c r="P964" s="187"/>
      <c r="Q964" s="187"/>
      <c r="R964" s="187"/>
      <c r="S964" s="187"/>
      <c r="T964" s="187"/>
      <c r="U964" s="187"/>
      <c r="V964" s="187"/>
      <c r="W964" s="187"/>
      <c r="X964" s="187"/>
      <c r="Y964" s="187"/>
      <c r="Z964" s="187"/>
    </row>
    <row r="965" ht="15.75" customHeight="1">
      <c r="A965" s="203"/>
      <c r="B965" s="187"/>
      <c r="C965" s="187"/>
      <c r="D965" s="187"/>
      <c r="E965" s="187"/>
      <c r="F965" s="187"/>
      <c r="G965" s="187"/>
      <c r="H965" s="187"/>
      <c r="I965" s="187"/>
      <c r="J965" s="187"/>
      <c r="K965" s="187"/>
      <c r="L965" s="187"/>
      <c r="M965" s="187"/>
      <c r="N965" s="187"/>
      <c r="O965" s="187"/>
      <c r="P965" s="187"/>
      <c r="Q965" s="187"/>
      <c r="R965" s="187"/>
      <c r="S965" s="187"/>
      <c r="T965" s="187"/>
      <c r="U965" s="187"/>
      <c r="V965" s="187"/>
      <c r="W965" s="187"/>
      <c r="X965" s="187"/>
      <c r="Y965" s="187"/>
      <c r="Z965" s="187"/>
    </row>
    <row r="966" ht="15.75" customHeight="1">
      <c r="A966" s="203"/>
      <c r="B966" s="187"/>
      <c r="C966" s="187"/>
      <c r="D966" s="187"/>
      <c r="E966" s="187"/>
      <c r="F966" s="187"/>
      <c r="G966" s="187"/>
      <c r="H966" s="187"/>
      <c r="I966" s="187"/>
      <c r="J966" s="187"/>
      <c r="K966" s="187"/>
      <c r="L966" s="187"/>
      <c r="M966" s="187"/>
      <c r="N966" s="187"/>
      <c r="O966" s="187"/>
      <c r="P966" s="187"/>
      <c r="Q966" s="187"/>
      <c r="R966" s="187"/>
      <c r="S966" s="187"/>
      <c r="T966" s="187"/>
      <c r="U966" s="187"/>
      <c r="V966" s="187"/>
      <c r="W966" s="187"/>
      <c r="X966" s="187"/>
      <c r="Y966" s="187"/>
      <c r="Z966" s="187"/>
    </row>
    <row r="967" ht="15.75" customHeight="1">
      <c r="A967" s="203"/>
      <c r="B967" s="187"/>
      <c r="C967" s="187"/>
      <c r="D967" s="187"/>
      <c r="E967" s="187"/>
      <c r="F967" s="187"/>
      <c r="G967" s="187"/>
      <c r="H967" s="187"/>
      <c r="I967" s="187"/>
      <c r="J967" s="187"/>
      <c r="K967" s="187"/>
      <c r="L967" s="187"/>
      <c r="M967" s="187"/>
      <c r="N967" s="187"/>
      <c r="O967" s="187"/>
      <c r="P967" s="187"/>
      <c r="Q967" s="187"/>
      <c r="R967" s="187"/>
      <c r="S967" s="187"/>
      <c r="T967" s="187"/>
      <c r="U967" s="187"/>
      <c r="V967" s="187"/>
      <c r="W967" s="187"/>
      <c r="X967" s="187"/>
      <c r="Y967" s="187"/>
      <c r="Z967" s="187"/>
    </row>
    <row r="968" ht="15.75" customHeight="1">
      <c r="A968" s="203"/>
      <c r="B968" s="187"/>
      <c r="C968" s="187"/>
      <c r="D968" s="187"/>
      <c r="E968" s="187"/>
      <c r="F968" s="187"/>
      <c r="G968" s="187"/>
      <c r="H968" s="187"/>
      <c r="I968" s="187"/>
      <c r="J968" s="187"/>
      <c r="K968" s="187"/>
      <c r="L968" s="187"/>
      <c r="M968" s="187"/>
      <c r="N968" s="187"/>
      <c r="O968" s="187"/>
      <c r="P968" s="187"/>
      <c r="Q968" s="187"/>
      <c r="R968" s="187"/>
      <c r="S968" s="187"/>
      <c r="T968" s="187"/>
      <c r="U968" s="187"/>
      <c r="V968" s="187"/>
      <c r="W968" s="187"/>
      <c r="X968" s="187"/>
      <c r="Y968" s="187"/>
      <c r="Z968" s="187"/>
    </row>
    <row r="969" ht="15.75" customHeight="1">
      <c r="A969" s="203"/>
      <c r="B969" s="187"/>
      <c r="C969" s="187"/>
      <c r="D969" s="187"/>
      <c r="E969" s="187"/>
      <c r="F969" s="187"/>
      <c r="G969" s="187"/>
      <c r="H969" s="187"/>
      <c r="I969" s="187"/>
      <c r="J969" s="187"/>
      <c r="K969" s="187"/>
      <c r="L969" s="187"/>
      <c r="M969" s="187"/>
      <c r="N969" s="187"/>
      <c r="O969" s="187"/>
      <c r="P969" s="187"/>
      <c r="Q969" s="187"/>
      <c r="R969" s="187"/>
      <c r="S969" s="187"/>
      <c r="T969" s="187"/>
      <c r="U969" s="187"/>
      <c r="V969" s="187"/>
      <c r="W969" s="187"/>
      <c r="X969" s="187"/>
      <c r="Y969" s="187"/>
      <c r="Z969" s="187"/>
    </row>
    <row r="970" ht="15.75" customHeight="1">
      <c r="A970" s="203"/>
      <c r="B970" s="187"/>
      <c r="C970" s="187"/>
      <c r="D970" s="187"/>
      <c r="E970" s="187"/>
      <c r="F970" s="187"/>
      <c r="G970" s="187"/>
      <c r="H970" s="187"/>
      <c r="I970" s="187"/>
      <c r="J970" s="187"/>
      <c r="K970" s="187"/>
      <c r="L970" s="187"/>
      <c r="M970" s="187"/>
      <c r="N970" s="187"/>
      <c r="O970" s="187"/>
      <c r="P970" s="187"/>
      <c r="Q970" s="187"/>
      <c r="R970" s="187"/>
      <c r="S970" s="187"/>
      <c r="T970" s="187"/>
      <c r="U970" s="187"/>
      <c r="V970" s="187"/>
      <c r="W970" s="187"/>
      <c r="X970" s="187"/>
      <c r="Y970" s="187"/>
      <c r="Z970" s="187"/>
    </row>
    <row r="971" ht="15.75" customHeight="1">
      <c r="A971" s="203"/>
      <c r="B971" s="187"/>
      <c r="C971" s="187"/>
      <c r="D971" s="187"/>
      <c r="E971" s="187"/>
      <c r="F971" s="187"/>
      <c r="G971" s="187"/>
      <c r="H971" s="187"/>
      <c r="I971" s="187"/>
      <c r="J971" s="187"/>
      <c r="K971" s="187"/>
      <c r="L971" s="187"/>
      <c r="M971" s="187"/>
      <c r="N971" s="187"/>
      <c r="O971" s="187"/>
      <c r="P971" s="187"/>
      <c r="Q971" s="187"/>
      <c r="R971" s="187"/>
      <c r="S971" s="187"/>
      <c r="T971" s="187"/>
      <c r="U971" s="187"/>
      <c r="V971" s="187"/>
      <c r="W971" s="187"/>
      <c r="X971" s="187"/>
      <c r="Y971" s="187"/>
      <c r="Z971" s="187"/>
    </row>
    <row r="972" ht="15.75" customHeight="1">
      <c r="A972" s="203"/>
      <c r="B972" s="187"/>
      <c r="C972" s="187"/>
      <c r="D972" s="187"/>
      <c r="E972" s="187"/>
      <c r="F972" s="187"/>
      <c r="G972" s="187"/>
      <c r="H972" s="187"/>
      <c r="I972" s="187"/>
      <c r="J972" s="187"/>
      <c r="K972" s="187"/>
      <c r="L972" s="187"/>
      <c r="M972" s="187"/>
      <c r="N972" s="187"/>
      <c r="O972" s="187"/>
      <c r="P972" s="187"/>
      <c r="Q972" s="187"/>
      <c r="R972" s="187"/>
      <c r="S972" s="187"/>
      <c r="T972" s="187"/>
      <c r="U972" s="187"/>
      <c r="V972" s="187"/>
      <c r="W972" s="187"/>
      <c r="X972" s="187"/>
      <c r="Y972" s="187"/>
      <c r="Z972" s="187"/>
    </row>
    <row r="973" ht="15.75" customHeight="1">
      <c r="A973" s="203"/>
      <c r="B973" s="187"/>
      <c r="C973" s="187"/>
      <c r="D973" s="187"/>
      <c r="E973" s="187"/>
      <c r="F973" s="187"/>
      <c r="G973" s="187"/>
      <c r="H973" s="187"/>
      <c r="I973" s="187"/>
      <c r="J973" s="187"/>
      <c r="K973" s="187"/>
      <c r="L973" s="187"/>
      <c r="M973" s="187"/>
      <c r="N973" s="187"/>
      <c r="O973" s="187"/>
      <c r="P973" s="187"/>
      <c r="Q973" s="187"/>
      <c r="R973" s="187"/>
      <c r="S973" s="187"/>
      <c r="T973" s="187"/>
      <c r="U973" s="187"/>
      <c r="V973" s="187"/>
      <c r="W973" s="187"/>
      <c r="X973" s="187"/>
      <c r="Y973" s="187"/>
      <c r="Z973" s="187"/>
    </row>
    <row r="974" ht="15.75" customHeight="1">
      <c r="A974" s="203"/>
      <c r="B974" s="187"/>
      <c r="C974" s="187"/>
      <c r="D974" s="187"/>
      <c r="E974" s="187"/>
      <c r="F974" s="187"/>
      <c r="G974" s="187"/>
      <c r="H974" s="187"/>
      <c r="I974" s="187"/>
      <c r="J974" s="187"/>
      <c r="K974" s="187"/>
      <c r="L974" s="187"/>
      <c r="M974" s="187"/>
      <c r="N974" s="187"/>
      <c r="O974" s="187"/>
      <c r="P974" s="187"/>
      <c r="Q974" s="187"/>
      <c r="R974" s="187"/>
      <c r="S974" s="187"/>
      <c r="T974" s="187"/>
      <c r="U974" s="187"/>
      <c r="V974" s="187"/>
      <c r="W974" s="187"/>
      <c r="X974" s="187"/>
      <c r="Y974" s="187"/>
      <c r="Z974" s="187"/>
    </row>
    <row r="975" ht="15.75" customHeight="1">
      <c r="A975" s="203"/>
      <c r="B975" s="187"/>
      <c r="C975" s="187"/>
      <c r="D975" s="187"/>
      <c r="E975" s="187"/>
      <c r="F975" s="187"/>
      <c r="G975" s="187"/>
      <c r="H975" s="187"/>
      <c r="I975" s="187"/>
      <c r="J975" s="187"/>
      <c r="K975" s="187"/>
      <c r="L975" s="187"/>
      <c r="M975" s="187"/>
      <c r="N975" s="187"/>
      <c r="O975" s="187"/>
      <c r="P975" s="187"/>
      <c r="Q975" s="187"/>
      <c r="R975" s="187"/>
      <c r="S975" s="187"/>
      <c r="T975" s="187"/>
      <c r="U975" s="187"/>
      <c r="V975" s="187"/>
      <c r="W975" s="187"/>
      <c r="X975" s="187"/>
      <c r="Y975" s="187"/>
      <c r="Z975" s="187"/>
    </row>
    <row r="976" ht="15.75" customHeight="1">
      <c r="A976" s="203"/>
      <c r="B976" s="187"/>
      <c r="C976" s="187"/>
      <c r="D976" s="187"/>
      <c r="E976" s="187"/>
      <c r="F976" s="187"/>
      <c r="G976" s="187"/>
      <c r="H976" s="187"/>
      <c r="I976" s="187"/>
      <c r="J976" s="187"/>
      <c r="K976" s="187"/>
      <c r="L976" s="187"/>
      <c r="M976" s="187"/>
      <c r="N976" s="187"/>
      <c r="O976" s="187"/>
      <c r="P976" s="187"/>
      <c r="Q976" s="187"/>
      <c r="R976" s="187"/>
      <c r="S976" s="187"/>
      <c r="T976" s="187"/>
      <c r="U976" s="187"/>
      <c r="V976" s="187"/>
      <c r="W976" s="187"/>
      <c r="X976" s="187"/>
      <c r="Y976" s="187"/>
      <c r="Z976" s="187"/>
    </row>
    <row r="977" ht="15.75" customHeight="1">
      <c r="A977" s="203"/>
      <c r="B977" s="187"/>
      <c r="C977" s="187"/>
      <c r="D977" s="187"/>
      <c r="E977" s="187"/>
      <c r="F977" s="187"/>
      <c r="G977" s="187"/>
      <c r="H977" s="187"/>
      <c r="I977" s="187"/>
      <c r="J977" s="187"/>
      <c r="K977" s="187"/>
      <c r="L977" s="187"/>
      <c r="M977" s="187"/>
      <c r="N977" s="187"/>
      <c r="O977" s="187"/>
      <c r="P977" s="187"/>
      <c r="Q977" s="187"/>
      <c r="R977" s="187"/>
      <c r="S977" s="187"/>
      <c r="T977" s="187"/>
      <c r="U977" s="187"/>
      <c r="V977" s="187"/>
      <c r="W977" s="187"/>
      <c r="X977" s="187"/>
      <c r="Y977" s="187"/>
      <c r="Z977" s="187"/>
    </row>
    <row r="978" ht="15.75" customHeight="1">
      <c r="A978" s="203"/>
      <c r="B978" s="187"/>
      <c r="C978" s="187"/>
      <c r="D978" s="187"/>
      <c r="E978" s="187"/>
      <c r="F978" s="187"/>
      <c r="G978" s="187"/>
      <c r="H978" s="187"/>
      <c r="I978" s="187"/>
      <c r="J978" s="187"/>
      <c r="K978" s="187"/>
      <c r="L978" s="187"/>
      <c r="M978" s="187"/>
      <c r="N978" s="187"/>
      <c r="O978" s="187"/>
      <c r="P978" s="187"/>
      <c r="Q978" s="187"/>
      <c r="R978" s="187"/>
      <c r="S978" s="187"/>
      <c r="T978" s="187"/>
      <c r="U978" s="187"/>
      <c r="V978" s="187"/>
      <c r="W978" s="187"/>
      <c r="X978" s="187"/>
      <c r="Y978" s="187"/>
      <c r="Z978" s="187"/>
    </row>
    <row r="979" ht="15.75" customHeight="1">
      <c r="A979" s="203"/>
      <c r="B979" s="187"/>
      <c r="C979" s="187"/>
      <c r="D979" s="187"/>
      <c r="E979" s="187"/>
      <c r="F979" s="187"/>
      <c r="G979" s="187"/>
      <c r="H979" s="187"/>
      <c r="I979" s="187"/>
      <c r="J979" s="187"/>
      <c r="K979" s="187"/>
      <c r="L979" s="187"/>
      <c r="M979" s="187"/>
      <c r="N979" s="187"/>
      <c r="O979" s="187"/>
      <c r="P979" s="187"/>
      <c r="Q979" s="187"/>
      <c r="R979" s="187"/>
      <c r="S979" s="187"/>
      <c r="T979" s="187"/>
      <c r="U979" s="187"/>
      <c r="V979" s="187"/>
      <c r="W979" s="187"/>
      <c r="X979" s="187"/>
      <c r="Y979" s="187"/>
      <c r="Z979" s="187"/>
    </row>
    <row r="980" ht="15.75" customHeight="1">
      <c r="A980" s="203"/>
      <c r="B980" s="187"/>
      <c r="C980" s="187"/>
      <c r="D980" s="187"/>
      <c r="E980" s="187"/>
      <c r="F980" s="187"/>
      <c r="G980" s="187"/>
      <c r="H980" s="187"/>
      <c r="I980" s="187"/>
      <c r="J980" s="187"/>
      <c r="K980" s="187"/>
      <c r="L980" s="187"/>
      <c r="M980" s="187"/>
      <c r="N980" s="187"/>
      <c r="O980" s="187"/>
      <c r="P980" s="187"/>
      <c r="Q980" s="187"/>
      <c r="R980" s="187"/>
      <c r="S980" s="187"/>
      <c r="T980" s="187"/>
      <c r="U980" s="187"/>
      <c r="V980" s="187"/>
      <c r="W980" s="187"/>
      <c r="X980" s="187"/>
      <c r="Y980" s="187"/>
      <c r="Z980" s="187"/>
    </row>
    <row r="981" ht="15.75" customHeight="1">
      <c r="A981" s="203"/>
      <c r="B981" s="187"/>
      <c r="C981" s="187"/>
      <c r="D981" s="187"/>
      <c r="E981" s="187"/>
      <c r="F981" s="187"/>
      <c r="G981" s="187"/>
      <c r="H981" s="187"/>
      <c r="I981" s="187"/>
      <c r="J981" s="187"/>
      <c r="K981" s="187"/>
      <c r="L981" s="187"/>
      <c r="M981" s="187"/>
      <c r="N981" s="187"/>
      <c r="O981" s="187"/>
      <c r="P981" s="187"/>
      <c r="Q981" s="187"/>
      <c r="R981" s="187"/>
      <c r="S981" s="187"/>
      <c r="T981" s="187"/>
      <c r="U981" s="187"/>
      <c r="V981" s="187"/>
      <c r="W981" s="187"/>
      <c r="X981" s="187"/>
      <c r="Y981" s="187"/>
      <c r="Z981" s="187"/>
    </row>
    <row r="982" ht="15.75" customHeight="1">
      <c r="A982" s="203"/>
      <c r="B982" s="187"/>
      <c r="C982" s="187"/>
      <c r="D982" s="187"/>
      <c r="E982" s="187"/>
      <c r="F982" s="187"/>
      <c r="G982" s="187"/>
      <c r="H982" s="187"/>
      <c r="I982" s="187"/>
      <c r="J982" s="187"/>
      <c r="K982" s="187"/>
      <c r="L982" s="187"/>
      <c r="M982" s="187"/>
      <c r="N982" s="187"/>
      <c r="O982" s="187"/>
      <c r="P982" s="187"/>
      <c r="Q982" s="187"/>
      <c r="R982" s="187"/>
      <c r="S982" s="187"/>
      <c r="T982" s="187"/>
      <c r="U982" s="187"/>
      <c r="V982" s="187"/>
      <c r="W982" s="187"/>
      <c r="X982" s="187"/>
      <c r="Y982" s="187"/>
      <c r="Z982" s="187"/>
    </row>
    <row r="983" ht="15.75" customHeight="1">
      <c r="A983" s="203"/>
      <c r="B983" s="187"/>
      <c r="C983" s="187"/>
      <c r="D983" s="187"/>
      <c r="E983" s="187"/>
      <c r="F983" s="187"/>
      <c r="G983" s="187"/>
      <c r="H983" s="187"/>
      <c r="I983" s="187"/>
      <c r="J983" s="187"/>
      <c r="K983" s="187"/>
      <c r="L983" s="187"/>
      <c r="M983" s="187"/>
      <c r="N983" s="187"/>
      <c r="O983" s="187"/>
      <c r="P983" s="187"/>
      <c r="Q983" s="187"/>
      <c r="R983" s="187"/>
      <c r="S983" s="187"/>
      <c r="T983" s="187"/>
      <c r="U983" s="187"/>
      <c r="V983" s="187"/>
      <c r="W983" s="187"/>
      <c r="X983" s="187"/>
      <c r="Y983" s="187"/>
      <c r="Z983" s="187"/>
    </row>
    <row r="984" ht="15.75" customHeight="1">
      <c r="A984" s="203"/>
      <c r="B984" s="187"/>
      <c r="C984" s="187"/>
      <c r="D984" s="187"/>
      <c r="E984" s="187"/>
      <c r="F984" s="187"/>
      <c r="G984" s="187"/>
      <c r="H984" s="187"/>
      <c r="I984" s="187"/>
      <c r="J984" s="187"/>
      <c r="K984" s="187"/>
      <c r="L984" s="187"/>
      <c r="M984" s="187"/>
      <c r="N984" s="187"/>
      <c r="O984" s="187"/>
      <c r="P984" s="187"/>
      <c r="Q984" s="187"/>
      <c r="R984" s="187"/>
      <c r="S984" s="187"/>
      <c r="T984" s="187"/>
      <c r="U984" s="187"/>
      <c r="V984" s="187"/>
      <c r="W984" s="187"/>
      <c r="X984" s="187"/>
      <c r="Y984" s="187"/>
      <c r="Z984" s="187"/>
    </row>
    <row r="985" ht="15.75" customHeight="1">
      <c r="A985" s="203"/>
      <c r="B985" s="187"/>
      <c r="C985" s="187"/>
      <c r="D985" s="187"/>
      <c r="E985" s="187"/>
      <c r="F985" s="187"/>
      <c r="G985" s="187"/>
      <c r="H985" s="187"/>
      <c r="I985" s="187"/>
      <c r="J985" s="187"/>
      <c r="K985" s="187"/>
      <c r="L985" s="187"/>
      <c r="M985" s="187"/>
      <c r="N985" s="187"/>
      <c r="O985" s="187"/>
      <c r="P985" s="187"/>
      <c r="Q985" s="187"/>
      <c r="R985" s="187"/>
      <c r="S985" s="187"/>
      <c r="T985" s="187"/>
      <c r="U985" s="187"/>
      <c r="V985" s="187"/>
      <c r="W985" s="187"/>
      <c r="X985" s="187"/>
      <c r="Y985" s="187"/>
      <c r="Z985" s="187"/>
    </row>
    <row r="986" ht="15.75" customHeight="1">
      <c r="A986" s="203"/>
      <c r="B986" s="187"/>
      <c r="C986" s="187"/>
      <c r="D986" s="187"/>
      <c r="E986" s="187"/>
      <c r="F986" s="187"/>
      <c r="G986" s="187"/>
      <c r="H986" s="187"/>
      <c r="I986" s="187"/>
      <c r="J986" s="187"/>
      <c r="K986" s="187"/>
      <c r="L986" s="187"/>
      <c r="M986" s="187"/>
      <c r="N986" s="187"/>
      <c r="O986" s="187"/>
      <c r="P986" s="187"/>
      <c r="Q986" s="187"/>
      <c r="R986" s="187"/>
      <c r="S986" s="187"/>
      <c r="T986" s="187"/>
      <c r="U986" s="187"/>
      <c r="V986" s="187"/>
      <c r="W986" s="187"/>
      <c r="X986" s="187"/>
      <c r="Y986" s="187"/>
      <c r="Z986" s="187"/>
    </row>
    <row r="987" ht="15.75" customHeight="1">
      <c r="A987" s="203"/>
      <c r="B987" s="187"/>
      <c r="C987" s="187"/>
      <c r="D987" s="187"/>
      <c r="E987" s="187"/>
      <c r="F987" s="187"/>
      <c r="G987" s="187"/>
      <c r="H987" s="187"/>
      <c r="I987" s="187"/>
      <c r="J987" s="187"/>
      <c r="K987" s="187"/>
      <c r="L987" s="187"/>
      <c r="M987" s="187"/>
      <c r="N987" s="187"/>
      <c r="O987" s="187"/>
      <c r="P987" s="187"/>
      <c r="Q987" s="187"/>
      <c r="R987" s="187"/>
      <c r="S987" s="187"/>
      <c r="T987" s="187"/>
      <c r="U987" s="187"/>
      <c r="V987" s="187"/>
      <c r="W987" s="187"/>
      <c r="X987" s="187"/>
      <c r="Y987" s="187"/>
      <c r="Z987" s="187"/>
    </row>
    <row r="988" ht="15.75" customHeight="1">
      <c r="A988" s="203"/>
      <c r="B988" s="187"/>
      <c r="C988" s="187"/>
      <c r="D988" s="187"/>
      <c r="E988" s="187"/>
      <c r="F988" s="187"/>
      <c r="G988" s="187"/>
      <c r="H988" s="187"/>
      <c r="I988" s="187"/>
      <c r="J988" s="187"/>
      <c r="K988" s="187"/>
      <c r="L988" s="187"/>
      <c r="M988" s="187"/>
      <c r="N988" s="187"/>
      <c r="O988" s="187"/>
      <c r="P988" s="187"/>
      <c r="Q988" s="187"/>
      <c r="R988" s="187"/>
      <c r="S988" s="187"/>
      <c r="T988" s="187"/>
      <c r="U988" s="187"/>
      <c r="V988" s="187"/>
      <c r="W988" s="187"/>
      <c r="X988" s="187"/>
      <c r="Y988" s="187"/>
      <c r="Z988" s="187"/>
    </row>
    <row r="989" ht="15.75" customHeight="1">
      <c r="A989" s="203"/>
      <c r="B989" s="187"/>
      <c r="C989" s="187"/>
      <c r="D989" s="187"/>
      <c r="E989" s="187"/>
      <c r="F989" s="187"/>
      <c r="G989" s="187"/>
      <c r="H989" s="187"/>
      <c r="I989" s="187"/>
      <c r="J989" s="187"/>
      <c r="K989" s="187"/>
      <c r="L989" s="187"/>
      <c r="M989" s="187"/>
      <c r="N989" s="187"/>
      <c r="O989" s="187"/>
      <c r="P989" s="187"/>
      <c r="Q989" s="187"/>
      <c r="R989" s="187"/>
      <c r="S989" s="187"/>
      <c r="T989" s="187"/>
      <c r="U989" s="187"/>
      <c r="V989" s="187"/>
      <c r="W989" s="187"/>
      <c r="X989" s="187"/>
      <c r="Y989" s="187"/>
      <c r="Z989" s="187"/>
    </row>
    <row r="990" ht="15.75" customHeight="1">
      <c r="A990" s="203"/>
      <c r="B990" s="187"/>
      <c r="C990" s="187"/>
      <c r="D990" s="187"/>
      <c r="E990" s="187"/>
      <c r="F990" s="187"/>
      <c r="G990" s="187"/>
      <c r="H990" s="187"/>
      <c r="I990" s="187"/>
      <c r="J990" s="187"/>
      <c r="K990" s="187"/>
      <c r="L990" s="187"/>
      <c r="M990" s="187"/>
      <c r="N990" s="187"/>
      <c r="O990" s="187"/>
      <c r="P990" s="187"/>
      <c r="Q990" s="187"/>
      <c r="R990" s="187"/>
      <c r="S990" s="187"/>
      <c r="T990" s="187"/>
      <c r="U990" s="187"/>
      <c r="V990" s="187"/>
      <c r="W990" s="187"/>
      <c r="X990" s="187"/>
      <c r="Y990" s="187"/>
      <c r="Z990" s="187"/>
    </row>
    <row r="991" ht="15.75" customHeight="1">
      <c r="A991" s="203"/>
      <c r="B991" s="187"/>
      <c r="C991" s="187"/>
      <c r="D991" s="187"/>
      <c r="E991" s="187"/>
      <c r="F991" s="187"/>
      <c r="G991" s="187"/>
      <c r="H991" s="187"/>
      <c r="I991" s="187"/>
      <c r="J991" s="187"/>
      <c r="K991" s="187"/>
      <c r="L991" s="187"/>
      <c r="M991" s="187"/>
      <c r="N991" s="187"/>
      <c r="O991" s="187"/>
      <c r="P991" s="187"/>
      <c r="Q991" s="187"/>
      <c r="R991" s="187"/>
      <c r="S991" s="187"/>
      <c r="T991" s="187"/>
      <c r="U991" s="187"/>
      <c r="V991" s="187"/>
      <c r="W991" s="187"/>
      <c r="X991" s="187"/>
      <c r="Y991" s="187"/>
      <c r="Z991" s="187"/>
    </row>
    <row r="992" ht="15.75" customHeight="1">
      <c r="A992" s="203"/>
      <c r="B992" s="187"/>
      <c r="C992" s="187"/>
      <c r="D992" s="187"/>
      <c r="E992" s="187"/>
      <c r="F992" s="187"/>
      <c r="G992" s="187"/>
      <c r="H992" s="187"/>
      <c r="I992" s="187"/>
      <c r="J992" s="187"/>
      <c r="K992" s="187"/>
      <c r="L992" s="187"/>
      <c r="M992" s="187"/>
      <c r="N992" s="187"/>
      <c r="O992" s="187"/>
      <c r="P992" s="187"/>
      <c r="Q992" s="187"/>
      <c r="R992" s="187"/>
      <c r="S992" s="187"/>
      <c r="T992" s="187"/>
      <c r="U992" s="187"/>
      <c r="V992" s="187"/>
      <c r="W992" s="187"/>
      <c r="X992" s="187"/>
      <c r="Y992" s="187"/>
      <c r="Z992" s="187"/>
    </row>
    <row r="993" ht="15.75" customHeight="1">
      <c r="A993" s="203"/>
      <c r="B993" s="187"/>
      <c r="C993" s="187"/>
      <c r="D993" s="187"/>
      <c r="E993" s="187"/>
      <c r="F993" s="187"/>
      <c r="G993" s="187"/>
      <c r="H993" s="187"/>
      <c r="I993" s="187"/>
      <c r="J993" s="187"/>
      <c r="K993" s="187"/>
      <c r="L993" s="187"/>
      <c r="M993" s="187"/>
      <c r="N993" s="187"/>
      <c r="O993" s="187"/>
      <c r="P993" s="187"/>
      <c r="Q993" s="187"/>
      <c r="R993" s="187"/>
      <c r="S993" s="187"/>
      <c r="T993" s="187"/>
      <c r="U993" s="187"/>
      <c r="V993" s="187"/>
      <c r="W993" s="187"/>
      <c r="X993" s="187"/>
      <c r="Y993" s="187"/>
      <c r="Z993" s="187"/>
    </row>
    <row r="994" ht="15.75" customHeight="1">
      <c r="A994" s="203"/>
      <c r="B994" s="187"/>
      <c r="C994" s="187"/>
      <c r="D994" s="187"/>
      <c r="E994" s="187"/>
      <c r="F994" s="187"/>
      <c r="G994" s="187"/>
      <c r="H994" s="187"/>
      <c r="I994" s="187"/>
      <c r="J994" s="187"/>
      <c r="K994" s="187"/>
      <c r="L994" s="187"/>
      <c r="M994" s="187"/>
      <c r="N994" s="187"/>
      <c r="O994" s="187"/>
      <c r="P994" s="187"/>
      <c r="Q994" s="187"/>
      <c r="R994" s="187"/>
      <c r="S994" s="187"/>
      <c r="T994" s="187"/>
      <c r="U994" s="187"/>
      <c r="V994" s="187"/>
      <c r="W994" s="187"/>
      <c r="X994" s="187"/>
      <c r="Y994" s="187"/>
      <c r="Z994" s="187"/>
    </row>
    <row r="995" ht="15.75" customHeight="1">
      <c r="A995" s="203"/>
      <c r="B995" s="187"/>
      <c r="C995" s="187"/>
      <c r="D995" s="187"/>
      <c r="E995" s="187"/>
      <c r="F995" s="187"/>
      <c r="G995" s="187"/>
      <c r="H995" s="187"/>
      <c r="I995" s="187"/>
      <c r="J995" s="187"/>
      <c r="K995" s="187"/>
      <c r="L995" s="187"/>
      <c r="M995" s="187"/>
      <c r="N995" s="187"/>
      <c r="O995" s="187"/>
      <c r="P995" s="187"/>
      <c r="Q995" s="187"/>
      <c r="R995" s="187"/>
      <c r="S995" s="187"/>
      <c r="T995" s="187"/>
      <c r="U995" s="187"/>
      <c r="V995" s="187"/>
      <c r="W995" s="187"/>
      <c r="X995" s="187"/>
      <c r="Y995" s="187"/>
      <c r="Z995" s="187"/>
    </row>
    <row r="996" ht="15.75" customHeight="1">
      <c r="A996" s="203"/>
      <c r="B996" s="187"/>
      <c r="C996" s="187"/>
      <c r="D996" s="187"/>
      <c r="E996" s="187"/>
      <c r="F996" s="187"/>
      <c r="G996" s="187"/>
      <c r="H996" s="187"/>
      <c r="I996" s="187"/>
      <c r="J996" s="187"/>
      <c r="K996" s="187"/>
      <c r="L996" s="187"/>
      <c r="M996" s="187"/>
      <c r="N996" s="187"/>
      <c r="O996" s="187"/>
      <c r="P996" s="187"/>
      <c r="Q996" s="187"/>
      <c r="R996" s="187"/>
      <c r="S996" s="187"/>
      <c r="T996" s="187"/>
      <c r="U996" s="187"/>
      <c r="V996" s="187"/>
      <c r="W996" s="187"/>
      <c r="X996" s="187"/>
      <c r="Y996" s="187"/>
      <c r="Z996" s="187"/>
    </row>
    <row r="997" ht="15.75" customHeight="1">
      <c r="A997" s="203"/>
      <c r="B997" s="187"/>
      <c r="C997" s="187"/>
      <c r="D997" s="187"/>
      <c r="E997" s="187"/>
      <c r="F997" s="187"/>
      <c r="G997" s="187"/>
      <c r="H997" s="187"/>
      <c r="I997" s="187"/>
      <c r="J997" s="187"/>
      <c r="K997" s="187"/>
      <c r="L997" s="187"/>
      <c r="M997" s="187"/>
      <c r="N997" s="187"/>
      <c r="O997" s="187"/>
      <c r="P997" s="187"/>
      <c r="Q997" s="187"/>
      <c r="R997" s="187"/>
      <c r="S997" s="187"/>
      <c r="T997" s="187"/>
      <c r="U997" s="187"/>
      <c r="V997" s="187"/>
      <c r="W997" s="187"/>
      <c r="X997" s="187"/>
      <c r="Y997" s="187"/>
      <c r="Z997" s="187"/>
    </row>
    <row r="998" ht="15.75" customHeight="1">
      <c r="A998" s="203"/>
      <c r="B998" s="187"/>
      <c r="C998" s="187"/>
      <c r="D998" s="187"/>
      <c r="E998" s="187"/>
      <c r="F998" s="187"/>
      <c r="G998" s="187"/>
      <c r="H998" s="187"/>
      <c r="I998" s="187"/>
      <c r="J998" s="187"/>
      <c r="K998" s="187"/>
      <c r="L998" s="187"/>
      <c r="M998" s="187"/>
      <c r="N998" s="187"/>
      <c r="O998" s="187"/>
      <c r="P998" s="187"/>
      <c r="Q998" s="187"/>
      <c r="R998" s="187"/>
      <c r="S998" s="187"/>
      <c r="T998" s="187"/>
      <c r="U998" s="187"/>
      <c r="V998" s="187"/>
      <c r="W998" s="187"/>
      <c r="X998" s="187"/>
      <c r="Y998" s="187"/>
      <c r="Z998" s="187"/>
    </row>
    <row r="999" ht="15.75" customHeight="1">
      <c r="A999" s="203"/>
      <c r="B999" s="187"/>
      <c r="C999" s="187"/>
      <c r="D999" s="187"/>
      <c r="E999" s="187"/>
      <c r="F999" s="187"/>
      <c r="G999" s="187"/>
      <c r="H999" s="187"/>
      <c r="I999" s="187"/>
      <c r="J999" s="187"/>
      <c r="K999" s="187"/>
      <c r="L999" s="187"/>
      <c r="M999" s="187"/>
      <c r="N999" s="187"/>
      <c r="O999" s="187"/>
      <c r="P999" s="187"/>
      <c r="Q999" s="187"/>
      <c r="R999" s="187"/>
      <c r="S999" s="187"/>
      <c r="T999" s="187"/>
      <c r="U999" s="187"/>
      <c r="V999" s="187"/>
      <c r="W999" s="187"/>
      <c r="X999" s="187"/>
      <c r="Y999" s="187"/>
      <c r="Z999" s="187"/>
    </row>
    <row r="1000" ht="15.75" customHeight="1">
      <c r="A1000" s="203"/>
      <c r="B1000" s="187"/>
      <c r="C1000" s="187"/>
      <c r="D1000" s="187"/>
      <c r="E1000" s="187"/>
      <c r="F1000" s="187"/>
      <c r="G1000" s="187"/>
      <c r="H1000" s="187"/>
      <c r="I1000" s="187"/>
      <c r="J1000" s="187"/>
      <c r="K1000" s="187"/>
      <c r="L1000" s="187"/>
      <c r="M1000" s="187"/>
      <c r="N1000" s="187"/>
      <c r="O1000" s="187"/>
      <c r="P1000" s="187"/>
      <c r="Q1000" s="187"/>
      <c r="R1000" s="187"/>
      <c r="S1000" s="187"/>
      <c r="T1000" s="187"/>
      <c r="U1000" s="187"/>
      <c r="V1000" s="187"/>
      <c r="W1000" s="187"/>
      <c r="X1000" s="187"/>
      <c r="Y1000" s="187"/>
      <c r="Z1000" s="187"/>
    </row>
    <row r="1001" ht="15.75" customHeight="1">
      <c r="A1001" s="203"/>
      <c r="B1001" s="187"/>
      <c r="C1001" s="187"/>
      <c r="D1001" s="187"/>
      <c r="E1001" s="187"/>
      <c r="F1001" s="187"/>
      <c r="G1001" s="187"/>
      <c r="H1001" s="187"/>
      <c r="I1001" s="187"/>
      <c r="J1001" s="187"/>
      <c r="K1001" s="187"/>
      <c r="L1001" s="187"/>
      <c r="M1001" s="187"/>
      <c r="N1001" s="187"/>
      <c r="O1001" s="187"/>
      <c r="P1001" s="187"/>
      <c r="Q1001" s="187"/>
      <c r="R1001" s="187"/>
      <c r="S1001" s="187"/>
      <c r="T1001" s="187"/>
      <c r="U1001" s="187"/>
      <c r="V1001" s="187"/>
      <c r="W1001" s="187"/>
      <c r="X1001" s="187"/>
      <c r="Y1001" s="187"/>
      <c r="Z1001" s="187"/>
    </row>
    <row r="1002" ht="15.75" customHeight="1">
      <c r="A1002" s="203"/>
      <c r="B1002" s="187"/>
      <c r="C1002" s="187"/>
      <c r="D1002" s="187"/>
      <c r="E1002" s="187"/>
      <c r="F1002" s="187"/>
      <c r="G1002" s="187"/>
      <c r="H1002" s="187"/>
      <c r="I1002" s="187"/>
      <c r="J1002" s="187"/>
      <c r="K1002" s="187"/>
      <c r="L1002" s="187"/>
      <c r="M1002" s="187"/>
      <c r="N1002" s="187"/>
      <c r="O1002" s="187"/>
      <c r="P1002" s="187"/>
      <c r="Q1002" s="187"/>
      <c r="R1002" s="187"/>
      <c r="S1002" s="187"/>
      <c r="T1002" s="187"/>
      <c r="U1002" s="187"/>
      <c r="V1002" s="187"/>
      <c r="W1002" s="187"/>
      <c r="X1002" s="187"/>
      <c r="Y1002" s="187"/>
      <c r="Z1002" s="187"/>
    </row>
    <row r="1003" ht="15.75" customHeight="1">
      <c r="A1003" s="203"/>
      <c r="B1003" s="187"/>
      <c r="C1003" s="187"/>
      <c r="D1003" s="187"/>
      <c r="E1003" s="187"/>
      <c r="F1003" s="187"/>
      <c r="G1003" s="187"/>
      <c r="H1003" s="187"/>
      <c r="I1003" s="187"/>
      <c r="J1003" s="187"/>
      <c r="K1003" s="187"/>
      <c r="L1003" s="187"/>
      <c r="M1003" s="187"/>
      <c r="N1003" s="187"/>
      <c r="O1003" s="187"/>
      <c r="P1003" s="187"/>
      <c r="Q1003" s="187"/>
      <c r="R1003" s="187"/>
      <c r="S1003" s="187"/>
      <c r="T1003" s="187"/>
      <c r="U1003" s="187"/>
      <c r="V1003" s="187"/>
      <c r="W1003" s="187"/>
      <c r="X1003" s="187"/>
      <c r="Y1003" s="187"/>
      <c r="Z1003" s="187"/>
    </row>
    <row r="1004" ht="15.75" customHeight="1">
      <c r="A1004" s="203"/>
      <c r="B1004" s="187"/>
      <c r="C1004" s="187"/>
      <c r="D1004" s="187"/>
      <c r="E1004" s="187"/>
      <c r="F1004" s="187"/>
      <c r="G1004" s="187"/>
      <c r="H1004" s="187"/>
      <c r="I1004" s="187"/>
      <c r="J1004" s="187"/>
      <c r="K1004" s="187"/>
      <c r="L1004" s="187"/>
      <c r="M1004" s="187"/>
      <c r="N1004" s="187"/>
      <c r="O1004" s="187"/>
      <c r="P1004" s="187"/>
      <c r="Q1004" s="187"/>
      <c r="R1004" s="187"/>
      <c r="S1004" s="187"/>
      <c r="T1004" s="187"/>
      <c r="U1004" s="187"/>
      <c r="V1004" s="187"/>
      <c r="W1004" s="187"/>
      <c r="X1004" s="187"/>
      <c r="Y1004" s="187"/>
      <c r="Z1004" s="187"/>
    </row>
    <row r="1005" ht="15.75" customHeight="1">
      <c r="A1005" s="203"/>
      <c r="B1005" s="187"/>
      <c r="C1005" s="187"/>
      <c r="D1005" s="187"/>
      <c r="E1005" s="187"/>
      <c r="F1005" s="187"/>
      <c r="G1005" s="187"/>
      <c r="H1005" s="187"/>
      <c r="I1005" s="187"/>
      <c r="J1005" s="187"/>
      <c r="K1005" s="187"/>
      <c r="L1005" s="187"/>
      <c r="M1005" s="187"/>
      <c r="N1005" s="187"/>
      <c r="O1005" s="187"/>
      <c r="P1005" s="187"/>
      <c r="Q1005" s="187"/>
      <c r="R1005" s="187"/>
      <c r="S1005" s="187"/>
      <c r="T1005" s="187"/>
      <c r="U1005" s="187"/>
      <c r="V1005" s="187"/>
      <c r="W1005" s="187"/>
      <c r="X1005" s="187"/>
      <c r="Y1005" s="187"/>
      <c r="Z1005" s="187"/>
    </row>
    <row r="1006" ht="15.75" customHeight="1">
      <c r="A1006" s="203"/>
      <c r="B1006" s="187"/>
      <c r="C1006" s="187"/>
      <c r="D1006" s="187"/>
      <c r="E1006" s="187"/>
      <c r="F1006" s="187"/>
      <c r="G1006" s="187"/>
      <c r="H1006" s="187"/>
      <c r="I1006" s="187"/>
      <c r="J1006" s="187"/>
      <c r="K1006" s="187"/>
      <c r="L1006" s="187"/>
      <c r="M1006" s="187"/>
      <c r="N1006" s="187"/>
      <c r="O1006" s="187"/>
      <c r="P1006" s="187"/>
      <c r="Q1006" s="187"/>
      <c r="R1006" s="187"/>
      <c r="S1006" s="187"/>
      <c r="T1006" s="187"/>
      <c r="U1006" s="187"/>
      <c r="V1006" s="187"/>
      <c r="W1006" s="187"/>
      <c r="X1006" s="187"/>
      <c r="Y1006" s="187"/>
      <c r="Z1006" s="187"/>
    </row>
  </sheetData>
  <hyperlinks>
    <hyperlink r:id="rId1" ref="A2"/>
    <hyperlink r:id="rId2" ref="A4"/>
  </hyperlinks>
  <printOptions/>
  <pageMargins bottom="0.75" footer="0.0" header="0.0" left="0.7" right="0.7" top="0.75"/>
  <pageSetup orientation="portrait"/>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43"/>
    <col customWidth="1" min="2" max="2" width="17.43"/>
    <col customWidth="1" min="3" max="26" width="9.43"/>
  </cols>
  <sheetData>
    <row r="1">
      <c r="A1" s="274" t="s">
        <v>745</v>
      </c>
      <c r="B1" s="42"/>
    </row>
    <row r="2">
      <c r="A2" s="275"/>
      <c r="B2" s="275"/>
    </row>
    <row r="3">
      <c r="A3" s="6" t="s">
        <v>746</v>
      </c>
      <c r="B3" s="42"/>
    </row>
    <row r="4">
      <c r="A4" s="42"/>
      <c r="B4" s="6"/>
    </row>
    <row r="5">
      <c r="A5" s="276" t="s">
        <v>747</v>
      </c>
      <c r="B5" s="275"/>
    </row>
    <row r="6">
      <c r="A6" s="6" t="s">
        <v>748</v>
      </c>
      <c r="B6" s="6"/>
    </row>
    <row r="7">
      <c r="A7" s="277"/>
      <c r="B7" s="278"/>
    </row>
    <row r="8">
      <c r="A8" s="6" t="s">
        <v>749</v>
      </c>
      <c r="B8" s="6"/>
    </row>
    <row r="9">
      <c r="A9" s="277"/>
      <c r="B9" s="278"/>
    </row>
    <row r="10">
      <c r="A10" s="6" t="s">
        <v>750</v>
      </c>
      <c r="B10" s="6" t="s">
        <v>4</v>
      </c>
    </row>
    <row r="11">
      <c r="A11" s="277"/>
      <c r="B11" s="278"/>
    </row>
    <row r="12">
      <c r="A12" s="6" t="s">
        <v>751</v>
      </c>
      <c r="B12" s="6"/>
    </row>
    <row r="13">
      <c r="A13" s="277"/>
      <c r="B13" s="278"/>
    </row>
    <row r="14">
      <c r="A14" s="6"/>
      <c r="B14" s="6"/>
    </row>
    <row r="15">
      <c r="A15" s="277"/>
      <c r="B15" s="278"/>
    </row>
    <row r="16">
      <c r="A16" s="6" t="s">
        <v>748</v>
      </c>
      <c r="B16" s="6"/>
    </row>
    <row r="17">
      <c r="A17" s="277"/>
      <c r="B17" s="278"/>
    </row>
    <row r="18">
      <c r="A18" s="6" t="s">
        <v>749</v>
      </c>
      <c r="B18" s="6"/>
    </row>
    <row r="19">
      <c r="A19" s="277"/>
      <c r="B19" s="278"/>
    </row>
    <row r="20">
      <c r="A20" s="6" t="s">
        <v>750</v>
      </c>
      <c r="B20" s="6" t="s">
        <v>4</v>
      </c>
    </row>
    <row r="21" ht="15.75" customHeight="1">
      <c r="A21" s="277"/>
      <c r="B21" s="278"/>
    </row>
    <row r="22" ht="15.75" customHeight="1">
      <c r="A22" s="6" t="s">
        <v>751</v>
      </c>
      <c r="B22" s="6"/>
    </row>
    <row r="23" ht="15.75" customHeight="1">
      <c r="A23" s="277"/>
      <c r="B23" s="278"/>
    </row>
    <row r="24" ht="15.75" customHeight="1">
      <c r="A24" s="42"/>
      <c r="B24" s="42"/>
    </row>
    <row r="25" ht="15.75" customHeight="1">
      <c r="A25" s="6" t="s">
        <v>748</v>
      </c>
      <c r="B25" s="6"/>
    </row>
    <row r="26" ht="15.75" customHeight="1">
      <c r="A26" s="277"/>
      <c r="B26" s="278"/>
    </row>
    <row r="27" ht="15.75" customHeight="1">
      <c r="A27" s="6" t="s">
        <v>749</v>
      </c>
      <c r="B27" s="6"/>
    </row>
    <row r="28" ht="15.75" customHeight="1">
      <c r="A28" s="277"/>
      <c r="B28" s="278"/>
    </row>
    <row r="29" ht="15.75" customHeight="1">
      <c r="A29" s="6" t="s">
        <v>750</v>
      </c>
      <c r="B29" s="6" t="s">
        <v>4</v>
      </c>
    </row>
    <row r="30" ht="15.75" customHeight="1">
      <c r="A30" s="277"/>
      <c r="B30" s="278"/>
    </row>
    <row r="31" ht="15.75" customHeight="1">
      <c r="A31" s="6" t="s">
        <v>751</v>
      </c>
      <c r="B31" s="6"/>
    </row>
    <row r="32" ht="15.75" customHeight="1">
      <c r="A32" s="277"/>
      <c r="B32" s="278"/>
    </row>
    <row r="33" ht="15.75" customHeight="1">
      <c r="A33" s="42"/>
      <c r="B33" s="42"/>
    </row>
    <row r="34" ht="15.75" customHeight="1">
      <c r="A34" s="6" t="s">
        <v>748</v>
      </c>
      <c r="B34" s="6"/>
    </row>
    <row r="35" ht="15.75" customHeight="1">
      <c r="A35" s="277"/>
      <c r="B35" s="278"/>
    </row>
    <row r="36" ht="15.75" customHeight="1">
      <c r="A36" s="6" t="s">
        <v>749</v>
      </c>
      <c r="B36" s="6"/>
    </row>
    <row r="37" ht="15.75" customHeight="1">
      <c r="A37" s="277"/>
      <c r="B37" s="278"/>
    </row>
    <row r="38" ht="15.75" customHeight="1">
      <c r="A38" s="6" t="s">
        <v>750</v>
      </c>
      <c r="B38" s="6" t="s">
        <v>4</v>
      </c>
    </row>
    <row r="39" ht="15.75" customHeight="1">
      <c r="A39" s="277"/>
      <c r="B39" s="278"/>
    </row>
    <row r="40" ht="15.75" customHeight="1">
      <c r="A40" s="6" t="s">
        <v>751</v>
      </c>
      <c r="B40" s="6"/>
    </row>
    <row r="41" ht="15.75" customHeight="1">
      <c r="A41" s="277"/>
      <c r="B41" s="278"/>
    </row>
    <row r="42" ht="15.75" customHeight="1">
      <c r="A42" s="42"/>
      <c r="B42" s="42"/>
    </row>
    <row r="43" ht="15.75" customHeight="1">
      <c r="A43" s="42"/>
      <c r="B43" s="42"/>
    </row>
    <row r="44" ht="15.75" customHeight="1">
      <c r="A44" s="42"/>
      <c r="B44" s="42"/>
    </row>
    <row r="45" ht="15.75" customHeight="1">
      <c r="A45" s="42"/>
      <c r="B45" s="42"/>
    </row>
    <row r="46" ht="15.75" customHeight="1">
      <c r="A46" s="42"/>
      <c r="B46" s="42"/>
    </row>
    <row r="47" ht="15.75" customHeight="1">
      <c r="A47" s="42"/>
      <c r="B47" s="42"/>
    </row>
    <row r="48" ht="15.75" customHeight="1">
      <c r="A48" s="42"/>
      <c r="B48" s="42"/>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43"/>
    <col customWidth="1" min="2" max="2" width="53.0"/>
    <col customWidth="1" min="3" max="3" width="12.43"/>
    <col customWidth="1" min="4" max="4" width="31.43"/>
    <col customWidth="1" min="5" max="5" width="65.14"/>
    <col customWidth="1" min="6" max="6" width="9.14"/>
    <col customWidth="1" min="7" max="26" width="8.86"/>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279" t="s">
        <v>752</v>
      </c>
      <c r="B2" s="280"/>
      <c r="C2" s="280"/>
      <c r="D2" s="280"/>
      <c r="E2" s="280"/>
      <c r="F2" s="281"/>
      <c r="G2" s="281"/>
      <c r="H2" s="281"/>
      <c r="I2" s="281"/>
      <c r="J2" s="281"/>
      <c r="K2" s="281"/>
      <c r="L2" s="281"/>
      <c r="M2" s="281"/>
      <c r="N2" s="281"/>
      <c r="O2" s="281"/>
      <c r="P2" s="281"/>
      <c r="Q2" s="281"/>
      <c r="R2" s="281"/>
      <c r="S2" s="281"/>
      <c r="T2" s="281"/>
      <c r="U2" s="281"/>
      <c r="V2" s="281"/>
      <c r="W2" s="281"/>
      <c r="X2" s="281"/>
      <c r="Y2" s="281"/>
      <c r="Z2" s="281"/>
    </row>
    <row r="3" ht="12.75" customHeight="1">
      <c r="A3" s="282" t="s">
        <v>753</v>
      </c>
      <c r="B3" s="282" t="s">
        <v>754</v>
      </c>
      <c r="C3" s="282" t="s">
        <v>755</v>
      </c>
      <c r="D3" s="282" t="str">
        <f>"Explanation"</f>
        <v>Explanation</v>
      </c>
      <c r="E3" s="282" t="s">
        <v>756</v>
      </c>
      <c r="F3" s="283"/>
      <c r="G3" s="283"/>
      <c r="H3" s="283"/>
      <c r="I3" s="283"/>
      <c r="J3" s="283"/>
      <c r="K3" s="283"/>
      <c r="L3" s="283"/>
      <c r="M3" s="283"/>
      <c r="N3" s="283"/>
      <c r="O3" s="283"/>
      <c r="P3" s="283"/>
      <c r="Q3" s="283"/>
      <c r="R3" s="283"/>
      <c r="S3" s="283"/>
      <c r="T3" s="283"/>
      <c r="U3" s="283"/>
      <c r="V3" s="283"/>
      <c r="W3" s="283"/>
      <c r="X3" s="283"/>
      <c r="Y3" s="283"/>
      <c r="Z3" s="283"/>
    </row>
    <row r="4" ht="12.75" customHeight="1">
      <c r="A4" s="284" t="s">
        <v>757</v>
      </c>
      <c r="B4" s="86" t="s">
        <v>758</v>
      </c>
      <c r="C4" s="1"/>
      <c r="D4" s="1" t="s">
        <v>759</v>
      </c>
      <c r="E4" s="1" t="str">
        <f>NA()</f>
        <v>#N/A</v>
      </c>
      <c r="F4" s="1"/>
      <c r="G4" s="1"/>
      <c r="H4" s="1"/>
      <c r="I4" s="1"/>
      <c r="J4" s="1"/>
      <c r="K4" s="1"/>
      <c r="L4" s="1"/>
      <c r="M4" s="1"/>
      <c r="N4" s="1"/>
      <c r="O4" s="1"/>
      <c r="P4" s="1"/>
      <c r="Q4" s="1"/>
      <c r="R4" s="1"/>
      <c r="S4" s="1"/>
      <c r="T4" s="1"/>
      <c r="U4" s="1"/>
      <c r="V4" s="1"/>
      <c r="W4" s="1"/>
      <c r="X4" s="1"/>
      <c r="Y4" s="1"/>
      <c r="Z4" s="1"/>
    </row>
    <row r="5" ht="12.75" customHeight="1">
      <c r="A5" s="284" t="s">
        <v>760</v>
      </c>
      <c r="B5" s="86" t="s">
        <v>761</v>
      </c>
      <c r="C5" s="1"/>
      <c r="D5" s="1"/>
      <c r="E5" s="1"/>
      <c r="F5" s="1"/>
      <c r="G5" s="1"/>
      <c r="H5" s="1"/>
      <c r="I5" s="1"/>
      <c r="J5" s="1"/>
      <c r="K5" s="1"/>
      <c r="L5" s="1"/>
      <c r="M5" s="1"/>
      <c r="N5" s="1"/>
      <c r="O5" s="1"/>
      <c r="P5" s="1"/>
      <c r="Q5" s="1"/>
      <c r="R5" s="1"/>
      <c r="S5" s="1"/>
      <c r="T5" s="1"/>
      <c r="U5" s="1"/>
      <c r="V5" s="1"/>
      <c r="W5" s="1"/>
      <c r="X5" s="1"/>
      <c r="Y5" s="1"/>
      <c r="Z5" s="1"/>
    </row>
    <row r="6" ht="12.75" customHeight="1">
      <c r="A6" s="284" t="s">
        <v>762</v>
      </c>
      <c r="B6" s="86" t="s">
        <v>763</v>
      </c>
      <c r="C6" s="1"/>
      <c r="D6" s="1"/>
      <c r="E6" s="1"/>
      <c r="F6" s="1"/>
      <c r="G6" s="1"/>
      <c r="H6" s="1"/>
      <c r="I6" s="1"/>
      <c r="J6" s="1"/>
      <c r="K6" s="1"/>
      <c r="L6" s="1"/>
      <c r="M6" s="1"/>
      <c r="N6" s="1"/>
      <c r="O6" s="1"/>
      <c r="P6" s="1"/>
      <c r="Q6" s="1"/>
      <c r="R6" s="1"/>
      <c r="S6" s="1"/>
      <c r="T6" s="1"/>
      <c r="U6" s="1"/>
      <c r="V6" s="1"/>
      <c r="W6" s="1"/>
      <c r="X6" s="1"/>
      <c r="Y6" s="1"/>
      <c r="Z6" s="1"/>
    </row>
    <row r="7" ht="12.75" customHeight="1">
      <c r="A7" s="284" t="s">
        <v>764</v>
      </c>
      <c r="B7" s="86" t="s">
        <v>765</v>
      </c>
      <c r="C7" s="1"/>
      <c r="D7" s="1"/>
      <c r="E7" s="1"/>
      <c r="F7" s="1"/>
      <c r="G7" s="1"/>
      <c r="H7" s="1"/>
      <c r="I7" s="1"/>
      <c r="J7" s="1"/>
      <c r="K7" s="1"/>
      <c r="L7" s="1"/>
      <c r="M7" s="1"/>
      <c r="N7" s="1"/>
      <c r="O7" s="1"/>
      <c r="P7" s="1"/>
      <c r="Q7" s="1"/>
      <c r="R7" s="1"/>
      <c r="S7" s="1"/>
      <c r="T7" s="1"/>
      <c r="U7" s="1"/>
      <c r="V7" s="1"/>
      <c r="W7" s="1"/>
      <c r="X7" s="1"/>
      <c r="Y7" s="1"/>
      <c r="Z7" s="1"/>
    </row>
    <row r="8" ht="12.75" customHeight="1">
      <c r="A8" s="285">
        <v>15.0</v>
      </c>
      <c r="B8" s="86" t="s">
        <v>766</v>
      </c>
      <c r="C8" s="1"/>
      <c r="D8" s="1"/>
      <c r="E8" s="1"/>
      <c r="F8" s="1"/>
      <c r="G8" s="1"/>
      <c r="H8" s="1"/>
      <c r="I8" s="1"/>
      <c r="J8" s="1"/>
      <c r="K8" s="1"/>
      <c r="L8" s="1"/>
      <c r="M8" s="1"/>
      <c r="N8" s="1"/>
      <c r="O8" s="1"/>
      <c r="P8" s="1"/>
      <c r="Q8" s="1"/>
      <c r="R8" s="1"/>
      <c r="S8" s="1"/>
      <c r="T8" s="1"/>
      <c r="U8" s="1"/>
      <c r="V8" s="1"/>
      <c r="W8" s="1"/>
      <c r="X8" s="1"/>
      <c r="Y8" s="1"/>
      <c r="Z8" s="1"/>
    </row>
    <row r="9" ht="12.75" customHeight="1">
      <c r="A9" s="285">
        <v>20.0</v>
      </c>
      <c r="B9" s="86" t="s">
        <v>767</v>
      </c>
      <c r="C9" s="1"/>
      <c r="D9" s="1"/>
      <c r="E9" s="1"/>
      <c r="F9" s="1"/>
      <c r="G9" s="1"/>
      <c r="H9" s="1"/>
      <c r="I9" s="1"/>
      <c r="J9" s="1"/>
      <c r="K9" s="1"/>
      <c r="L9" s="1"/>
      <c r="M9" s="1"/>
      <c r="N9" s="1"/>
      <c r="O9" s="1"/>
      <c r="P9" s="1"/>
      <c r="Q9" s="1"/>
      <c r="R9" s="1"/>
      <c r="S9" s="1"/>
      <c r="T9" s="1"/>
      <c r="U9" s="1"/>
      <c r="V9" s="1"/>
      <c r="W9" s="1"/>
      <c r="X9" s="1"/>
      <c r="Y9" s="1"/>
      <c r="Z9" s="1"/>
    </row>
    <row r="10" ht="12.75" customHeight="1">
      <c r="A10" s="285">
        <v>29.0</v>
      </c>
      <c r="B10" s="86" t="s">
        <v>768</v>
      </c>
      <c r="C10" s="1"/>
      <c r="D10" s="1"/>
      <c r="E10" s="1"/>
      <c r="F10" s="1"/>
      <c r="G10" s="1"/>
      <c r="H10" s="1"/>
      <c r="I10" s="1"/>
      <c r="J10" s="1"/>
      <c r="K10" s="1"/>
      <c r="L10" s="1"/>
      <c r="M10" s="1"/>
      <c r="N10" s="1"/>
      <c r="O10" s="1"/>
      <c r="P10" s="1"/>
      <c r="Q10" s="1"/>
      <c r="R10" s="1"/>
      <c r="S10" s="1"/>
      <c r="T10" s="1"/>
      <c r="U10" s="1"/>
      <c r="V10" s="1"/>
      <c r="W10" s="1"/>
      <c r="X10" s="1"/>
      <c r="Y10" s="1"/>
      <c r="Z10" s="1"/>
    </row>
    <row r="11" ht="12.75" customHeight="1">
      <c r="A11" s="285">
        <v>99.0</v>
      </c>
      <c r="B11" s="86" t="s">
        <v>769</v>
      </c>
      <c r="C11" s="1"/>
      <c r="D11" s="1"/>
      <c r="E11" s="1"/>
      <c r="F11" s="1"/>
      <c r="G11" s="1"/>
      <c r="H11" s="1"/>
      <c r="I11" s="1"/>
      <c r="J11" s="1"/>
      <c r="K11" s="1"/>
      <c r="L11" s="1"/>
      <c r="M11" s="1"/>
      <c r="N11" s="1"/>
      <c r="O11" s="1"/>
      <c r="P11" s="1"/>
      <c r="Q11" s="1"/>
      <c r="R11" s="1"/>
      <c r="S11" s="1"/>
      <c r="T11" s="1"/>
      <c r="U11" s="1"/>
      <c r="V11" s="1"/>
      <c r="W11" s="1"/>
      <c r="X11" s="1"/>
      <c r="Y11" s="1"/>
      <c r="Z11" s="1"/>
    </row>
    <row r="12" ht="12.75" customHeight="1">
      <c r="A12" s="1" t="s">
        <v>770</v>
      </c>
      <c r="B12" s="86" t="s">
        <v>771</v>
      </c>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86"/>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86"/>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86"/>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86"/>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286"/>
      <c r="B17" s="86"/>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286"/>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286"/>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286"/>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286"/>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286"/>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286"/>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286"/>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286"/>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286"/>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288"/>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288"/>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43"/>
    <col customWidth="1" min="2" max="26" width="8.86"/>
  </cols>
  <sheetData>
    <row r="1" ht="12.75" customHeight="1">
      <c r="A1" s="279" t="s">
        <v>115</v>
      </c>
      <c r="B1" s="281"/>
      <c r="C1" s="281"/>
      <c r="D1" s="281"/>
      <c r="E1" s="281"/>
      <c r="F1" s="281"/>
      <c r="G1" s="281"/>
      <c r="H1" s="281"/>
      <c r="I1" s="281"/>
      <c r="J1" s="281"/>
      <c r="K1" s="281"/>
      <c r="L1" s="281"/>
      <c r="M1" s="281"/>
      <c r="N1" s="281"/>
      <c r="O1" s="281"/>
      <c r="P1" s="281"/>
      <c r="Q1" s="281"/>
      <c r="R1" s="281"/>
      <c r="S1" s="281"/>
      <c r="T1" s="281"/>
      <c r="U1" s="281"/>
      <c r="V1" s="281"/>
      <c r="W1" s="281"/>
      <c r="X1" s="281"/>
      <c r="Y1" s="281"/>
      <c r="Z1" s="281"/>
    </row>
    <row r="2" ht="12.75" customHeight="1">
      <c r="A2" s="282" t="s">
        <v>827</v>
      </c>
      <c r="B2" s="281"/>
      <c r="C2" s="281"/>
      <c r="D2" s="281"/>
      <c r="E2" s="281"/>
      <c r="F2" s="281"/>
      <c r="G2" s="281"/>
      <c r="H2" s="281"/>
      <c r="I2" s="281"/>
      <c r="J2" s="281"/>
      <c r="K2" s="281"/>
      <c r="L2" s="281"/>
      <c r="M2" s="281"/>
      <c r="N2" s="281"/>
      <c r="O2" s="281"/>
      <c r="P2" s="281"/>
      <c r="Q2" s="281"/>
      <c r="R2" s="281"/>
      <c r="S2" s="281"/>
      <c r="T2" s="281"/>
      <c r="U2" s="281"/>
      <c r="V2" s="281"/>
      <c r="W2" s="281"/>
      <c r="X2" s="281"/>
      <c r="Y2" s="281"/>
      <c r="Z2" s="281"/>
    </row>
    <row r="3" ht="12.75" customHeight="1">
      <c r="A3" s="1" t="s">
        <v>829</v>
      </c>
      <c r="B3" s="1"/>
      <c r="C3" s="1"/>
      <c r="D3" s="1"/>
      <c r="E3" s="1"/>
      <c r="F3" s="1"/>
      <c r="G3" s="1"/>
      <c r="H3" s="1"/>
      <c r="I3" s="1"/>
      <c r="J3" s="1"/>
      <c r="K3" s="1"/>
      <c r="L3" s="1"/>
      <c r="M3" s="1"/>
      <c r="N3" s="1"/>
      <c r="O3" s="1"/>
      <c r="P3" s="1"/>
      <c r="Q3" s="1"/>
      <c r="R3" s="1"/>
      <c r="S3" s="1"/>
      <c r="T3" s="1"/>
      <c r="U3" s="1"/>
      <c r="V3" s="1"/>
      <c r="W3" s="1"/>
      <c r="X3" s="1"/>
      <c r="Y3" s="1"/>
      <c r="Z3" s="1"/>
    </row>
    <row r="4" ht="12.75" customHeight="1">
      <c r="A4" s="1"/>
      <c r="B4" s="1"/>
      <c r="C4" s="1"/>
      <c r="D4" s="1"/>
      <c r="E4" s="1"/>
      <c r="F4" s="1"/>
      <c r="G4" s="1"/>
      <c r="H4" s="1"/>
      <c r="I4" s="1"/>
      <c r="J4" s="1"/>
      <c r="K4" s="1"/>
      <c r="L4" s="1"/>
      <c r="M4" s="1"/>
      <c r="N4" s="1"/>
      <c r="O4" s="1"/>
      <c r="P4" s="1"/>
      <c r="Q4" s="1"/>
      <c r="R4" s="1"/>
      <c r="S4" s="1"/>
      <c r="T4" s="1"/>
      <c r="U4" s="1"/>
      <c r="V4" s="1"/>
      <c r="W4" s="1"/>
      <c r="X4" s="1"/>
      <c r="Y4" s="1"/>
      <c r="Z4" s="1"/>
    </row>
    <row r="5" ht="12.75" customHeight="1">
      <c r="A5" s="1"/>
      <c r="B5" s="1"/>
      <c r="C5" s="1"/>
      <c r="D5" s="1"/>
      <c r="E5" s="1"/>
      <c r="F5" s="1"/>
      <c r="G5" s="1"/>
      <c r="H5" s="1"/>
      <c r="I5" s="1"/>
      <c r="J5" s="1"/>
      <c r="K5" s="1"/>
      <c r="L5" s="1"/>
      <c r="M5" s="1"/>
      <c r="N5" s="1"/>
      <c r="O5" s="1"/>
      <c r="P5" s="1"/>
      <c r="Q5" s="1"/>
      <c r="R5" s="1"/>
      <c r="S5" s="1"/>
      <c r="T5" s="1"/>
      <c r="U5" s="1"/>
      <c r="V5" s="1"/>
      <c r="W5" s="1"/>
      <c r="X5" s="1"/>
      <c r="Y5" s="1"/>
      <c r="Z5" s="1"/>
    </row>
    <row r="6" ht="12.75" customHeight="1">
      <c r="A6" s="1"/>
      <c r="B6" s="1"/>
      <c r="C6" s="1"/>
      <c r="D6" s="1"/>
      <c r="E6" s="1"/>
      <c r="F6" s="1"/>
      <c r="G6" s="1"/>
      <c r="H6" s="1"/>
      <c r="I6" s="1"/>
      <c r="J6" s="1"/>
      <c r="K6" s="1"/>
      <c r="L6" s="1"/>
      <c r="M6" s="1"/>
      <c r="N6" s="1"/>
      <c r="O6" s="1"/>
      <c r="P6" s="1"/>
      <c r="Q6" s="1"/>
      <c r="R6" s="1"/>
      <c r="S6" s="1"/>
      <c r="T6" s="1"/>
      <c r="U6" s="1"/>
      <c r="V6" s="1"/>
      <c r="W6" s="1"/>
      <c r="X6" s="1"/>
      <c r="Y6" s="1"/>
      <c r="Z6" s="1"/>
    </row>
    <row r="7" ht="12.75" customHeight="1">
      <c r="A7" s="1"/>
      <c r="B7" s="1"/>
      <c r="C7" s="1"/>
      <c r="D7" s="1"/>
      <c r="E7" s="1"/>
      <c r="F7" s="1"/>
      <c r="G7" s="1"/>
      <c r="H7" s="1"/>
      <c r="I7" s="1"/>
      <c r="J7" s="1"/>
      <c r="K7" s="1"/>
      <c r="L7" s="1"/>
      <c r="M7" s="1"/>
      <c r="N7" s="1"/>
      <c r="O7" s="1"/>
      <c r="P7" s="1"/>
      <c r="Q7" s="1"/>
      <c r="R7" s="1"/>
      <c r="S7" s="1"/>
      <c r="T7" s="1"/>
      <c r="U7" s="1"/>
      <c r="V7" s="1"/>
      <c r="W7" s="1"/>
      <c r="X7" s="1"/>
      <c r="Y7" s="1"/>
      <c r="Z7" s="1"/>
    </row>
    <row r="8" ht="12.75" customHeight="1">
      <c r="A8" s="1"/>
      <c r="B8" s="1"/>
      <c r="C8" s="1"/>
      <c r="D8" s="1"/>
      <c r="E8" s="1"/>
      <c r="F8" s="1"/>
      <c r="G8" s="1"/>
      <c r="H8" s="1"/>
      <c r="I8" s="1"/>
      <c r="J8" s="1"/>
      <c r="K8" s="1"/>
      <c r="L8" s="1"/>
      <c r="M8" s="1"/>
      <c r="N8" s="1"/>
      <c r="O8" s="1"/>
      <c r="P8" s="1"/>
      <c r="Q8" s="1"/>
      <c r="R8" s="1"/>
      <c r="S8" s="1"/>
      <c r="T8" s="1"/>
      <c r="U8" s="1"/>
      <c r="V8" s="1"/>
      <c r="W8" s="1"/>
      <c r="X8" s="1"/>
      <c r="Y8" s="1"/>
      <c r="Z8" s="1"/>
    </row>
    <row r="9" ht="12.75" customHeight="1">
      <c r="A9" s="1"/>
      <c r="B9" s="1"/>
      <c r="C9" s="1"/>
      <c r="D9" s="1"/>
      <c r="E9" s="1"/>
      <c r="F9" s="1"/>
      <c r="G9" s="1"/>
      <c r="H9" s="1"/>
      <c r="I9" s="1"/>
      <c r="J9" s="1"/>
      <c r="K9" s="1"/>
      <c r="L9" s="1"/>
      <c r="M9" s="1"/>
      <c r="N9" s="1"/>
      <c r="O9" s="1"/>
      <c r="P9" s="1"/>
      <c r="Q9" s="1"/>
      <c r="R9" s="1"/>
      <c r="S9" s="1"/>
      <c r="T9" s="1"/>
      <c r="U9" s="1"/>
      <c r="V9" s="1"/>
      <c r="W9" s="1"/>
      <c r="X9" s="1"/>
      <c r="Y9" s="1"/>
      <c r="Z9" s="1"/>
    </row>
    <row r="10"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2.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2.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282" t="s">
        <v>834</v>
      </c>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2010-12-15T21:28:20Z</dcterms:created>
  <dc:creator>IBM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0x0101008B9E7E65B2916C40B06A9E8F208B212A</vt:lpwstr>
  </property>
  <property fmtid="{D5CDD505-2E9C-101B-9397-08002B2CF9AE}" pid="3" name="S-Drive Version">
    <vt:lpwstr/>
  </property>
  <property fmtid="{D5CDD505-2E9C-101B-9397-08002B2CF9AE}" pid="4" name="Approved">
    <vt:lpwstr>false</vt:lpwstr>
  </property>
  <property fmtid="{D5CDD505-2E9C-101B-9397-08002B2CF9AE}" pid="5" name="Project Sponsor">
    <vt:lpwstr/>
  </property>
  <property fmtid="{D5CDD505-2E9C-101B-9397-08002B2CF9AE}" pid="6" name="Portfolio #">
    <vt:lpwstr>220262-001</vt:lpwstr>
  </property>
  <property fmtid="{D5CDD505-2E9C-101B-9397-08002B2CF9AE}" pid="7" name="Project Manager">
    <vt:lpwstr/>
  </property>
  <property fmtid="{D5CDD505-2E9C-101B-9397-08002B2CF9AE}" pid="8" name="Document Status">
    <vt:lpwstr>8</vt:lpwstr>
  </property>
</Properties>
</file>